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Assumptions" sheetId="2" state="visible" r:id="rId4"/>
    <sheet name="Summary" sheetId="3" state="visible" r:id="rId5"/>
    <sheet name="Leak 1 - Incentives" sheetId="4" state="visible" r:id="rId6"/>
    <sheet name="Leak 2 - Upgrade timing" sheetId="5" state="visible" r:id="rId7"/>
    <sheet name="Leak 3 - Residual value" sheetId="6" state="visible" r:id="rId8"/>
    <sheet name="Per car" sheetId="7" state="visible" r:id="rId9"/>
    <sheet name="Prior discounting" sheetId="8" state="visible" r:id="rId10"/>
    <sheet name="Provenance" sheetId="9" state="visible" r:id="rId11"/>
  </sheets>
  <definedNames>
    <definedName function="false" hidden="false" name="auction_vs_sale" vbProcedure="false">Assumptions!$C$72</definedName>
    <definedName function="false" hidden="false" name="backtest_gap_latvia" vbProcedure="false">Assumptions!$C$70</definedName>
    <definedName function="false" hidden="false" name="buyback_assets_eur_m" vbProcedure="false">Assumptions!$C$13</definedName>
    <definedName function="false" hidden="false" name="buyback_payables_current_eur_m" vbProcedure="false">Assumptions!$C$8</definedName>
    <definedName function="false" hidden="false" name="buyback_payables_eur_m" vbProcedure="false">Assumptions!$C$7</definedName>
    <definedName function="false" hidden="false" name="buyback_payables_noncurrent_eur_m" vbProcedure="false">Assumptions!$C$106</definedName>
    <definedName function="false" hidden="false" name="buyback_value_decrease_2023_eur_m" vbProcedure="false">Assumptions!$C$12</definedName>
    <definedName function="false" hidden="false" name="buyback_value_decrease_2024_eur_m" vbProcedure="false">Assumptions!$C$11</definedName>
    <definedName function="false" hidden="false" name="buyback_value_decrease_2025_eur_m" vbProcedure="false">Assumptions!$C$10</definedName>
    <definedName function="false" hidden="false" name="corsa_err_anchor25" vbProcedure="false">Assumptions!$C$63</definedName>
    <definedName function="false" hidden="false" name="corsa_err_asis" vbProcedure="false">Assumptions!$C$62</definedName>
    <definedName function="false" hidden="false" name="corsa_err_refit" vbProcedure="false">Assumptions!$C$64</definedName>
    <definedName function="false" hidden="false" name="corsa_fixed_rule_err" vbProcedure="false">Assumptions!$C$68</definedName>
    <definedName function="false" hidden="false" name="corsa_level_share" vbProcedure="false">Assumptions!$C$65</definedName>
    <definedName function="false" hidden="false" name="corsa_retained_2018" vbProcedure="false">Assumptions!$C$66</definedName>
    <definedName function="false" hidden="false" name="corsa_retained_2022" vbProcedure="false">Assumptions!$C$67</definedName>
    <definedName function="false" hidden="false" name="curve_1y_p80_known" vbProcedure="false">Assumptions!$C$53</definedName>
    <definedName function="false" hidden="false" name="curve_1y_p80_unknown" vbProcedure="false">Assumptions!$C$54</definedName>
    <definedName function="false" hidden="false" name="curve_p80_known" vbProcedure="false">Assumptions!$C$50</definedName>
    <definedName function="false" hidden="false" name="curve_p80_unknown" vbProcedure="false">Assumptions!$C$51</definedName>
    <definedName function="false" hidden="false" name="curve_points_known" vbProcedure="false">Assumptions!$C$48</definedName>
    <definedName function="false" hidden="false" name="curve_points_unknown" vbProcedure="false">Assumptions!$C$49</definedName>
    <definedName function="false" hidden="false" name="dealer_passthrough_low" vbProcedure="false">Assumptions!$C$19</definedName>
    <definedName function="false" hidden="false" name="dep_market_max" vbProcedure="false">Assumptions!$C$23</definedName>
    <definedName function="false" hidden="false" name="dep_market_min" vbProcedure="false">Assumptions!$C$22</definedName>
    <definedName function="false" hidden="false" name="dep_pi_hi" vbProcedure="false">Assumptions!$C$86</definedName>
    <definedName function="false" hidden="false" name="dep_pi_lo" vbProcedure="false">Assumptions!$C$85</definedName>
    <definedName function="false" hidden="false" name="dep_pooled" vbProcedure="false">Assumptions!$C$20</definedName>
    <definedName function="false" hidden="false" name="dep_stability_hi" vbProcedure="false">Assumptions!$C$26</definedName>
    <definedName function="false" hidden="false" name="dep_stability_lo" vbProcedure="false">Assumptions!$C$25</definedName>
    <definedName function="false" hidden="false" name="dep_uk" vbProcedure="false">Assumptions!$C$24</definedName>
    <definedName function="false" hidden="false" name="dep_with_mileage_3y" vbProcedure="false">Assumptions!$C$21</definedName>
    <definedName function="false" hidden="false" name="dpt_cost_10pct" vbProcedure="false">Assumptions!$C$138</definedName>
    <definedName function="false" hidden="false" name="dpt_market_lags" vbProcedure="false">Assumptions!$C$142</definedName>
    <definedName function="false" hidden="false" name="dpt_market_leads" vbProcedure="false">Assumptions!$C$143</definedName>
    <definedName function="false" hidden="false" name="dpt_passthrough" vbProcedure="false">Assumptions!$C$137</definedName>
    <definedName function="false" hidden="false" name="dpt_placebo" vbProcedure="false">Assumptions!$C$139</definedName>
    <definedName function="false" hidden="false" name="dpt_prereg_gap_model" vbProcedure="false">Assumptions!$C$140</definedName>
    <definedName function="false" hidden="false" name="dpt_prereg_gap_version" vbProcedure="false">Assumptions!$C$141</definedName>
    <definedName function="false" hidden="false" name="engine_band_coverage" vbProcedure="false">Assumptions!$C$69</definedName>
    <definedName function="false" hidden="false" name="engine_err_typical" vbProcedure="false">Assumptions!$C$103</definedName>
    <definedName function="false" hidden="false" name="er_auto_link_recall" vbProcedure="false">Assumptions!$C$96</definedName>
    <definedName function="false" hidden="false" name="er_exact_miss" vbProcedure="false">Assumptions!$C$91</definedName>
    <definedName function="false" hidden="false" name="er_exact_precision" vbProcedure="false">Assumptions!$C$92</definedName>
    <definedName function="false" hidden="false" name="er_pairs_measured" vbProcedure="false">Assumptions!$C$89</definedName>
    <definedName function="false" hidden="false" name="er_price_drift" vbProcedure="false">Assumptions!$C$90</definedName>
    <definedName function="false" hidden="false" name="er_relax_precision" vbProcedure="false">Assumptions!$C$94</definedName>
    <definedName function="false" hidden="false" name="er_relax_recall" vbProcedure="false">Assumptions!$C$93</definedName>
    <definedName function="false" hidden="false" name="er_review_band_pairs" vbProcedure="false">Assumptions!$C$98</definedName>
    <definedName function="false" hidden="false" name="er_review_band_recall" vbProcedure="false">Assumptions!$C$97</definedName>
    <definedName function="false" hidden="false" name="er_uk_exact_recall" vbProcedure="false">Assumptions!$C$95</definedName>
    <definedName function="false" hidden="false" name="eu_aoi_2024_eur_m" vbProcedure="false">Assumptions!$C$104</definedName>
    <definedName function="false" hidden="false" name="eu_aoi_eur_m" vbProcedure="false">Assumptions!$C$4</definedName>
    <definedName function="false" hidden="false" name="eu_revenue_eur_m" vbProcedure="false">Assumptions!$C$3</definedName>
    <definedName function="false" hidden="false" name="eu_shipments" vbProcedure="false">Assumptions!$C$2</definedName>
    <definedName function="false" hidden="false" name="eu_shipments_2024" vbProcedure="false">Assumptions!$C$105</definedName>
    <definedName function="false" hidden="false" name="ev_pi_hi" vbProcedure="false">Assumptions!$C$88</definedName>
    <definedName function="false" hidden="false" name="ev_pi_lo" vbProcedure="false">Assumptions!$C$87</definedName>
    <definedName function="false" hidden="false" name="finance_penetration" vbProcedure="false">Assumptions!$C$78</definedName>
    <definedName function="false" hidden="false" name="gate_adherence_pct" vbProcedure="false">Assumptions!$C$126</definedName>
    <definedName function="false" hidden="false" name="gate_benefits_eur_m" vbProcedure="false">Assumptions!$C$127</definedName>
    <definedName function="false" hidden="false" name="gate_dealer_xwalk_pct" vbProcedure="false">Assumptions!$C$119</definedName>
    <definedName function="false" hidden="false" name="gate_dup_precision_pct" vbProcedure="false">Assumptions!$C$120</definedName>
    <definedName function="false" hidden="false" name="gate_dup_recall_pct" vbProcedure="false">Assumptions!$C$121</definedName>
    <definedName function="false" hidden="false" name="gate_gl_reconcile_pct" vbProcedure="false">Assumptions!$C$122</definedName>
    <definedName function="false" hidden="false" name="gate_rv_cost_improvement_pct" vbProcedure="false">Assumptions!$C$125</definedName>
    <definedName function="false" hidden="false" name="gate_uplift_pp" vbProcedure="false">Assumptions!$C$123</definedName>
    <definedName function="false" hidden="false" name="gate_uplift_significance_pct" vbProcedure="false">Assumptions!$C$124</definedName>
    <definedName function="false" hidden="false" name="gate_vin_link_pct" vbProcedure="false">Assumptions!$C$118</definedName>
    <definedName function="false" hidden="false" name="group_revenue_eur_m" vbProcedure="false">Assumptions!$C$6</definedName>
    <definedName function="false" hidden="false" name="group_shipments" vbProcedure="false">Assumptions!$C$5</definedName>
    <definedName function="false" hidden="false" name="hk_passthrough_36m" vbProcedure="false">Assumptions!$C$144</definedName>
    <definedName function="false" hidden="false" name="hk_passthrough_now" vbProcedure="false">Assumptions!$C$145</definedName>
    <definedName function="false" hidden="false" name="incentive_pct_revenue" vbProcedure="false">Assumptions!$C$73</definedName>
    <definedName function="false" hidden="false" name="inv_change_eur_m" vbProcedure="false">Assumptions!$C$117</definedName>
    <definedName function="false" hidden="false" name="inv_people_eur_m" vbProcedure="false">Assumptions!$C$115</definedName>
    <definedName function="false" hidden="false" name="inv_platform_eur_m" vbProcedure="false">Assumptions!$C$116</definedName>
    <definedName function="false" hidden="false" name="inv_tranche_1_eur_m" vbProcedure="false">Assumptions!$C$133</definedName>
    <definedName function="false" hidden="false" name="inv_tranche_2_eur_m" vbProcedure="false">Assumptions!$C$134</definedName>
    <definedName function="false" hidden="false" name="inv_tranche_3_eur_m" vbProcedure="false">Assumptions!$C$135</definedName>
    <definedName function="false" hidden="false" name="inv_tranche_4_eur_m" vbProcedure="false">Assumptions!$C$136</definedName>
    <definedName function="false" hidden="false" name="kpi_claim_days" vbProcedure="false">Assumptions!$C$128</definedName>
    <definedName function="false" hidden="false" name="kpi_review_rate_pct" vbProcedure="false">Assumptions!$C$129</definedName>
    <definedName function="false" hidden="false" name="kpi_thin_error_points" vbProcedure="false">Assumptions!$C$131</definedName>
    <definedName function="false" hidden="false" name="kpi_unseen_drift_pct" vbProcedure="false">Assumptions!$C$130</definedName>
    <definedName function="false" hidden="false" name="latvia_index_corr" vbProcedure="false">Assumptions!$C$27</definedName>
    <definedName function="false" hidden="false" name="level_1m_p5" vbProcedure="false">Assumptions!$C$46</definedName>
    <definedName function="false" hidden="false" name="level_1y_p10" vbProcedure="false">Assumptions!$C$44</definedName>
    <definedName function="false" hidden="false" name="level_1y_p10_core" vbProcedure="false">Assumptions!$C$43</definedName>
    <definedName function="false" hidden="false" name="level_1y_worst" vbProcedure="false">Assumptions!$C$45</definedName>
    <definedName function="false" hidden="false" name="level_3m_p5" vbProcedure="false">Assumptions!$C$47</definedName>
    <definedName function="false" hidden="false" name="level_3y_p10" vbProcedure="false">Assumptions!$C$37</definedName>
    <definedName function="false" hidden="false" name="level_3y_p10_core" vbProcedure="false">Assumptions!$C$41</definedName>
    <definedName function="false" hidden="false" name="level_3y_p50" vbProcedure="false">Assumptions!$C$38</definedName>
    <definedName function="false" hidden="false" name="level_3y_p90" vbProcedure="false">Assumptions!$C$39</definedName>
    <definedName function="false" hidden="false" name="level_3y_worst" vbProcedure="false">Assumptions!$C$40</definedName>
    <definedName function="false" hidden="false" name="level_3y_worst_core" vbProcedure="false">Assumptions!$C$42</definedName>
    <definedName function="false" hidden="false" name="level_points" vbProcedure="false">Assumptions!$C$55</definedName>
    <definedName function="false" hidden="false" name="loan_apr" vbProcedure="false">Assumptions!$C$83</definedName>
    <definedName function="false" hidden="false" name="loan_deposit_pct" vbProcedure="false">Assumptions!$C$81</definedName>
    <definedName function="false" hidden="false" name="loan_term_months" vbProcedure="false">Assumptions!$C$82</definedName>
    <definedName function="false" hidden="false" name="lv_level_spread" vbProcedure="false">Assumptions!$C$99</definedName>
    <definedName function="false" hidden="false" name="lv_level_vs_rate" vbProcedure="false">Assumptions!$C$101</definedName>
    <definedName function="false" hidden="false" name="lv_rate_spread" vbProcedure="false">Assumptions!$C$100</definedName>
    <definedName function="false" hidden="false" name="margin_per_repeat_sale" vbProcedure="false">Assumptions!$C$80</definedName>
    <definedName function="false" hidden="false" name="model_err_uk" vbProcedure="false">Assumptions!$C$61</definedName>
    <definedName function="false" hidden="false" name="new_car_price" vbProcedure="false">Assumptions!$C$84</definedName>
    <definedName function="false" hidden="false" name="new_car_price_eur" vbProcedure="false">Assumptions!$C$102</definedName>
    <definedName function="false" hidden="false" name="no_sibling_penalty" vbProcedure="false">Assumptions!$C$59</definedName>
    <definedName function="false" hidden="false" name="no_sibling_penalty_europe" vbProcedure="false">Assumptions!$C$60</definedName>
    <definedName function="false" hidden="false" name="ons_uk_index_move" vbProcedure="false">Assumptions!$C$18</definedName>
    <definedName function="false" hidden="false" name="pl_credit_loss_eur" vbProcedure="false">Assumptions!$C$111</definedName>
    <definedName function="false" hidden="false" name="pl_finance_income_eur" vbProcedure="false">Assumptions!$C$110</definedName>
    <definedName function="false" hidden="false" name="pl_incentive_pct_list" vbProcedure="false">Assumptions!$C$108</definedName>
    <definedName function="false" hidden="false" name="pl_recon_logistics_eur" vbProcedure="false">Assumptions!$C$113</definedName>
    <definedName function="false" hidden="false" name="pl_remarketing_margin_eur" vbProcedure="false">Assumptions!$C$114</definedName>
    <definedName function="false" hidden="false" name="pl_sale_margin_pct_list" vbProcedure="false">Assumptions!$C$107</definedName>
    <definedName function="false" hidden="false" name="pl_service_parts_eur" vbProcedure="false">Assumptions!$C$112</definedName>
    <definedName function="false" hidden="false" name="pl_warranty_pct_list" vbProcedure="false">Assumptions!$C$109</definedName>
    <definedName function="false" hidden="false" name="pooling_gain_100" vbProcedure="false">Assumptions!$C$56</definedName>
    <definedName function="false" hidden="false" name="pooling_gain_250" vbProcedure="false">Assumptions!$C$57</definedName>
    <definedName function="false" hidden="false" name="price_band_pct" vbProcedure="false">Assumptions!$C$132</definedName>
    <definedName function="false" hidden="false" name="process_leak_pct" vbProcedure="false">Assumptions!$C$74</definedName>
    <definedName function="false" hidden="false" name="rd_advert_auc_age" vbProcedure="false">Assumptions!$C$181</definedName>
    <definedName function="false" hidden="false" name="rd_advert_auc_all" vbProcedure="false">Assumptions!$C$183</definedName>
    <definedName function="false" hidden="false" name="rd_advert_auc_mileage" vbProcedure="false">Assumptions!$C$182</definedName>
    <definedName function="false" hidden="false" name="rd_engine_auc" vbProcedure="false">Assumptions!$C$178</definedName>
    <definedName function="false" hidden="false" name="rd_event_24m" vbProcedure="false">Assumptions!$C$157</definedName>
    <definedName function="false" hidden="false" name="rd_event_36m" vbProcedure="false">Assumptions!$C$156</definedName>
    <definedName function="false" hidden="false" name="rd_event_60m" vbProcedure="false">Assumptions!$C$158</definedName>
    <definedName function="false" hidden="false" name="rd_event_artefact_36m" vbProcedure="false">Assumptions!$C$159</definedName>
    <definedName function="false" hidden="false" name="rd_market_median_age" vbProcedure="false">Assumptions!$C$162</definedName>
    <definedName function="false" hidden="false" name="rd_market_median_km" vbProcedure="false">Assumptions!$C$161</definedName>
    <definedName function="false" hidden="false" name="rd_market_share_old" vbProcedure="false">Assumptions!$C$160</definedName>
    <definedName function="false" hidden="false" name="rd_mileage_exit_elasticity" vbProcedure="false">Assumptions!$C$170</definedName>
    <definedName function="false" hidden="false" name="rd_mileage_market_elasticity" vbProcedure="false">Assumptions!$C$171</definedName>
    <definedName function="false" hidden="false" name="rd_model_auc" vbProcedure="false">Assumptions!$C$176</definedName>
    <definedName function="false" hidden="false" name="rd_model_auc_young" vbProcedure="false">Assumptions!$C$180</definedName>
    <definedName function="false" hidden="false" name="rd_model_lift10" vbProcedure="false">Assumptions!$C$177</definedName>
    <definedName function="false" hidden="false" name="rd_model_net_auc" vbProcedure="false">Assumptions!$C$179</definedName>
    <definedName function="false" hidden="false" name="rd_model_within_age_auc" vbProcedure="false">Assumptions!$C$185</definedName>
    <definedName function="false" hidden="false" name="rd_model_within_age_engine" vbProcedure="false">Assumptions!$C$186</definedName>
    <definedName function="false" hidden="false" name="rd_mot_id_chance" vbProcedure="false">Assumptions!$C$174</definedName>
    <definedName function="false" hidden="false" name="rd_mot_id_cross_release" vbProcedure="false">Assumptions!$C$172</definedName>
    <definedName function="false" hidden="false" name="rd_mot_id_make_model" vbProcedure="false">Assumptions!$C$173</definedName>
    <definedName function="false" hidden="false" name="rd_mot_odometer_monotone" vbProcedure="false">Assumptions!$C$175</definedName>
    <definedName function="false" hidden="false" name="rd_nl_bovag_gap" vbProcedure="false">Assumptions!$C$154</definedName>
    <definedName function="false" hidden="false" name="rd_nl_group_make_hi" vbProcedure="false">Assumptions!$C$191</definedName>
    <definedName function="false" hidden="false" name="rd_nl_group_make_lo" vbProcedure="false">Assumptions!$C$190</definedName>
    <definedName function="false" hidden="false" name="rd_nl_keeper_changes" vbProcedure="false">Assumptions!$C$153</definedName>
    <definedName function="false" hidden="false" name="rd_nl_make15_spread" vbProcedure="false">Assumptions!$C$192</definedName>
    <definedName function="false" hidden="false" name="rd_nl_make_hi" vbProcedure="false">Assumptions!$C$189</definedName>
    <definedName function="false" hidden="false" name="rd_nl_make_lo" vbProcedure="false">Assumptions!$C$188</definedName>
    <definedName function="false" hidden="false" name="rd_nl_make_spread" vbProcedure="false">Assumptions!$C$187</definedName>
    <definedName function="false" hidden="false" name="rd_nl_market_value" vbProcedure="false">Assumptions!$C$166</definedName>
    <definedName function="false" hidden="false" name="rd_nl_market_value_group" vbProcedure="false">Assumptions!$C$167</definedName>
    <definedName function="false" hidden="false" name="rd_nl_parc_measured" vbProcedure="false">Assumptions!$C$151</definedName>
    <definedName function="false" hidden="false" name="rd_nl_peak_age" vbProcedure="false">Assumptions!$C$148</definedName>
    <definedName function="false" hidden="false" name="rd_nl_peak_rate" vbProcedure="false">Assumptions!$C$147</definedName>
    <definedName function="false" hidden="false" name="rd_nl_peak_vs_trough" vbProcedure="false">Assumptions!$C$150</definedName>
    <definedName function="false" hidden="false" name="rd_nl_stellantis_share" vbProcedure="false">Assumptions!$C$152</definedName>
    <definedName function="false" hidden="false" name="rd_nl_transfer_rate" vbProcedure="false">Assumptions!$C$146</definedName>
    <definedName function="false" hidden="false" name="rd_nl_trough_rate" vbProcedure="false">Assumptions!$C$149</definedName>
    <definedName function="false" hidden="false" name="rd_nl_used_sales_2025" vbProcedure="false">Assumptions!$C$155</definedName>
    <definedName function="false" hidden="false" name="rd_nl_value_advert_priced" vbProcedure="false">Assumptions!$C$169</definedName>
    <definedName function="false" hidden="false" name="rd_nl_wave_value" vbProcedure="false">Assumptions!$C$168</definedName>
    <definedName function="false" hidden="false" name="recoverable_share" vbProcedure="false">Assumptions!$C$75</definedName>
    <definedName function="false" hidden="false" name="retained_1y_pooled" vbProcedure="false">Assumptions!$C$52</definedName>
    <definedName function="false" hidden="false" name="retained_1y_uk" vbProcedure="false">Assumptions!$C$33</definedName>
    <definedName function="false" hidden="false" name="retained_2y_uk" vbProcedure="false">Assumptions!$C$34</definedName>
    <definedName function="false" hidden="false" name="retained_3y_nl" vbProcedure="false">Assumptions!$C$31</definedName>
    <definedName function="false" hidden="false" name="retained_3y_pooled" vbProcedure="false">Assumptions!$C$28</definedName>
    <definedName function="false" hidden="false" name="retained_3y_uk" vbProcedure="false">Assumptions!$C$29</definedName>
    <definedName function="false" hidden="false" name="retained_3y_uk_2022" vbProcedure="false">Assumptions!$C$30</definedName>
    <definedName function="false" hidden="false" name="retained_3y_us" vbProcedure="false">Assumptions!$C$32</definedName>
    <definedName function="false" hidden="false" name="retained_4y_uk" vbProcedure="false">Assumptions!$C$35</definedName>
    <definedName function="false" hidden="false" name="retained_5y_uk" vbProcedure="false">Assumptions!$C$36</definedName>
    <definedName function="false" hidden="false" name="rv_review_months" vbProcedure="false">Assumptions!$C$14</definedName>
    <definedName function="false" hidden="false" name="sibling_penalty" vbProcedure="false">Assumptions!$C$58</definedName>
    <definedName function="false" hidden="false" name="targeting_leak_pct" vbProcedure="false">Assumptions!$C$76</definedName>
    <definedName function="false" hidden="false" name="tesla_pre_announcement" vbProcedure="false">Assumptions!$C$71</definedName>
    <definedName function="false" hidden="false" name="thin_share_of_book" vbProcedure="false">Assumptions!$C$77</definedName>
    <definedName function="false" hidden="false" name="upgrade_capture_uplift" vbProcedure="false">Assumptions!$C$79</definedName>
    <definedName function="false" hidden="false" name="up_ct_top_decile" vbProcedure="false">Assumptions!$C$163</definedName>
    <definedName function="false" hidden="false" name="up_gap_vs_response" vbProcedure="false">Assumptions!$C$184</definedName>
    <definedName function="false" hidden="false" name="up_random_top_decile" vbProcedure="false">Assumptions!$C$165</definedName>
    <definedName function="false" hidden="false" name="up_response_top_decile" vbProcedure="false">Assumptions!$C$164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<sst xmlns="http://schemas.openxmlformats.org/spreadsheetml/2006/main" count="2766" uniqueCount="954">
  <si>
    <t xml:space="preserve">Case 4 - value at risk</t>
  </si>
  <si>
    <t xml:space="preserve">What this is</t>
  </si>
  <si>
    <t xml:space="preserve">A value-at-risk model for the three leaks in Case 4, built so that every number can be traced to where it came from.</t>
  </si>
  <si>
    <t xml:space="preserve">How to use it</t>
  </si>
  <si>
    <t xml:space="preserve">Change any value in column C of the Assumptions sheet, or a low or high in columns D and E. Every other sheet is formulas, so the answer moves with it. No input is typed into a formula anywhere in this workbook; the only literals are unit conversions, the halving of a two-sided spread and the month arithmetic on the upgrade-timing sheet.</t>
  </si>
  <si>
    <t xml:space="preserve">The four tiers</t>
  </si>
  <si>
    <t xml:space="preserve">MEASURED (126 inputs) - our own analysis of 3.9 million used-car listings from 29 sources. The source column names the report and `check_assumptions.py` re-reads the figure out of it.</t>
  </si>
  <si>
    <t xml:space="preserve">SOURCED (24 inputs) - published figures with a URL: Stellantis's FY2025 results and Form 20-F, Eurostat and ONS price indices, one academic paper.</t>
  </si>
  <si>
    <t xml:space="preserve">ASSUMPTION (22 inputs) - our judgement, each with a low and a high and a caveat saying what it rests on. These are the rows a pilot should replace with evidence.</t>
  </si>
  <si>
    <t xml:space="preserve">TARGET (19 inputs) - a level the team chose rather than found: a phase gate, a KPI threshold, an investment tranche. These are commitments, not findings, so `check_assumptions.py` refuses to let one feed a value-at-risk formula.</t>
  </si>
  <si>
    <t xml:space="preserve">Which of them move the answer</t>
  </si>
  <si>
    <t xml:space="preserve">Only the ASSUMPTION and SOURCED rows used by the three leaks reach the total. The per-car profit and loss, the programme cost and every gate and KPI sit on the Per car sheet and in the roadmap; they are registered so they can be argued with, and they change no headline.</t>
  </si>
  <si>
    <t xml:space="preserve">What the colours mean</t>
  </si>
  <si>
    <t xml:space="preserve">Green MEASURED, blue SOURCED, orange ASSUMPTION, purple TARGET. The Summary sheet splits the answer the same way.</t>
  </si>
  <si>
    <t xml:space="preserve">Read this before quoting the total</t>
  </si>
  <si>
    <t xml:space="preserve">The three leaks are not equally well evidenced, and the split on the Summary sheet says so. Leak 3 rests on an exposure the group publishes and on shocks measured from official European price indices. Leak 1 has no measured input at all, because no total incentive spend is disclosed - the group's own 20-F records it as a critical estimate with no total given.</t>
  </si>
  <si>
    <t xml:space="preserve">All three leaks are yearly. Leak 3 applies a one-year shock to the part of the buy-back book due within twelve months; the whole book over a three-year lease is on its sheet for context, beside what the group actually booked on these contracts in 2023-2025.</t>
  </si>
  <si>
    <t xml:space="preserve">The discount-to-resale pass-through, and where it sits</t>
  </si>
  <si>
    <t xml:space="preserve">The Prior discounting sheet is a decomposition of leaks 1 and 3, not a fourth leak: those euros are already counted, in leak 1 as spend and in leak 3 as residual exposure, and are cut there by cause instead of by business. Adding them to the total would be double counting, so the headline is unaffected by them.</t>
  </si>
  <si>
    <t xml:space="preserve">The first attempt to measure the pass-through failed and stays withdrawn (analysis/tesla_event_report.md): 68% of the used-Tesla repricing had happened before the January 2023 US list-price cut, alongside earlier discounts and a price cut in China. The second attempt works because it compares a car with itself rather than a market with itself, and it passes a placebo the event study never had (analysis/discount_passthrough_report.md). The low end is ours and is an upper bound - the source carries no trim field; the high end is published. Quote the range, never one end.</t>
  </si>
  <si>
    <t xml:space="preserve">Currency and basis</t>
  </si>
  <si>
    <t xml:space="preserve">EUR millions a year unless stated. Group figures are Stellantis FY2025, used as a same-scale proxy for the anonymous group in the case. The upgrade-timing sheet works in shares of list price, so no exchange rate enters it.</t>
  </si>
  <si>
    <t xml:space="preserve">Rebuild</t>
  </si>
  <si>
    <t xml:space="preserve">.venv/bin/python check_assumptions.py   # every figure traces to its source</t>
  </si>
  <si>
    <t xml:space="preserve">.venv/bin/python build_var_model.py     # rebuilds this workbook</t>
  </si>
  <si>
    <t xml:space="preserve">id</t>
  </si>
  <si>
    <t xml:space="preserve">label</t>
  </si>
  <si>
    <t xml:space="preserve">value</t>
  </si>
  <si>
    <t xml:space="preserve">low</t>
  </si>
  <si>
    <t xml:space="preserve">high</t>
  </si>
  <si>
    <t xml:space="preserve">unit</t>
  </si>
  <si>
    <t xml:space="preserve">tier</t>
  </si>
  <si>
    <t xml:space="preserve">source</t>
  </si>
  <si>
    <t xml:space="preserve">url</t>
  </si>
  <si>
    <t xml:space="preserve">as of</t>
  </si>
  <si>
    <t xml:space="preserve">caveat</t>
  </si>
  <si>
    <t xml:space="preserve">used in</t>
  </si>
  <si>
    <t xml:space="preserve">eu_shipments</t>
  </si>
  <si>
    <t xml:space="preserve">Enlarged Europe consolidated shipments</t>
  </si>
  <si>
    <t xml:space="preserve">units</t>
  </si>
  <si>
    <t xml:space="preserve">SOURCED</t>
  </si>
  <si>
    <t xml:space="preserve">Stellantis FY2025 results press release (SEC-filed)</t>
  </si>
  <si>
    <t xml:space="preserve">https://www.sec.gov/Archives/edgar/data/1605484/000160548426000019/stellantisnvfy2025pressrel.htm</t>
  </si>
  <si>
    <t xml:space="preserve">FY2025</t>
  </si>
  <si>
    <t xml:space="preserve">Down from 2,576k in FY2024. Enlarged Europe is the EU-27, the UK and EFTA (plus Israel and Palestine from 2025); Middle East &amp; Africa is a separate segment.</t>
  </si>
  <si>
    <t xml:space="preserve">Leak 1;Leak 2</t>
  </si>
  <si>
    <t xml:space="preserve">eu_revenue_eur_m</t>
  </si>
  <si>
    <t xml:space="preserve">Enlarged Europe net revenues</t>
  </si>
  <si>
    <t xml:space="preserve">EUR m</t>
  </si>
  <si>
    <t xml:space="preserve">Segment revenue; not only new-vehicle sales.</t>
  </si>
  <si>
    <t xml:space="preserve">Leak 1</t>
  </si>
  <si>
    <t xml:space="preserve">eu_aoi_eur_m</t>
  </si>
  <si>
    <t xml:space="preserve">Enlarged Europe adjusted operating income</t>
  </si>
  <si>
    <t xml:space="preserve">A swing of -3,070m from +2,419m in FY2024. Context for urgency; not an input to the VaR.</t>
  </si>
  <si>
    <t xml:space="preserve">Context</t>
  </si>
  <si>
    <t xml:space="preserve">group_shipments</t>
  </si>
  <si>
    <t xml:space="preserve">Group consolidated shipments</t>
  </si>
  <si>
    <t xml:space="preserve">group_revenue_eur_m</t>
  </si>
  <si>
    <t xml:space="preserve">Group net revenues</t>
  </si>
  <si>
    <t xml:space="preserve">buyback_payables_eur_m</t>
  </si>
  <si>
    <t xml:space="preserve">Payables for buy-back agreements</t>
  </si>
  <si>
    <t xml:space="preserve">Stellantis Form 20-F FY2025 Note 24 Other liabilities</t>
  </si>
  <si>
    <t xml:space="preserve">https://www.sec.gov/Archives/edgar/data/1605484/000160548426000021/stellantis-20251231.htm</t>
  </si>
  <si>
    <t xml:space="preserve">2025-12-31</t>
  </si>
  <si>
    <t xml:space="preserve">Current 5313 + non-current 2576. This is the committed repurchase price and is the residual exposure base.</t>
  </si>
  <si>
    <t xml:space="preserve">Leak 3</t>
  </si>
  <si>
    <t xml:space="preserve">buyback_payables_current_eur_m</t>
  </si>
  <si>
    <t xml:space="preserve">Payables for buy-back agreements due within one year</t>
  </si>
  <si>
    <t xml:space="preserve">Stellantis Form 20-F FY2025 Note 24 Other liabilities, current column</t>
  </si>
  <si>
    <t xml:space="preserve">The part of the 7,889m that comes back within twelve months, so the base of a per-year figure. The 2,576m due after one year is counted in the year it falls due.</t>
  </si>
  <si>
    <t xml:space="preserve">buyback_term_policy</t>
  </si>
  <si>
    <t xml:space="preserve">Contracts of 12 months or less are booked as assets sold with a buy-back commitment</t>
  </si>
  <si>
    <t xml:space="preserve">text</t>
  </si>
  <si>
    <t xml:space="preserve">Stellantis Form 20-F FY2025, revenue recognition: "recorded within Assets sold with a buy-back commitment if the contract term is 12 months or less, and recorded in Property, plant and equipment if the contract term is greater than 12 months"</t>
  </si>
  <si>
    <t xml:space="preserve">Why most of the book is short-dated.</t>
  </si>
  <si>
    <t xml:space="preserve">buyback_value_decrease_2025_eur_m</t>
  </si>
  <si>
    <t xml:space="preserve">Decrease in value booked on assets sold with a buy-back commitment - 2025</t>
  </si>
  <si>
    <t xml:space="preserve">Stellantis Form 20-F FY2025, cost of revenues: "EUR 358 million, EUR 179 million and EUR 82 million related to the decrease in value for assets sold with buy-back commitments" (2025, 2024, 2023)</t>
  </si>
  <si>
    <t xml:space="preserve">What the group actually booked, on contracts of 12 months or less only. A reality check on the per-year leak 3, not an input.</t>
  </si>
  <si>
    <t xml:space="preserve">buyback_value_decrease_2024_eur_m</t>
  </si>
  <si>
    <t xml:space="preserve">Decrease in value booked on assets sold with a buy-back commitment - 2024</t>
  </si>
  <si>
    <t xml:space="preserve">Stellantis Form 20-F FY2025, cost of revenues (same sentence)</t>
  </si>
  <si>
    <t xml:space="preserve">FY2024</t>
  </si>
  <si>
    <t xml:space="preserve">See buyback_value_decrease_2025_eur_m.</t>
  </si>
  <si>
    <t xml:space="preserve">buyback_value_decrease_2023_eur_m</t>
  </si>
  <si>
    <t xml:space="preserve">Decrease in value booked on assets sold with a buy-back commitment - 2023</t>
  </si>
  <si>
    <t xml:space="preserve">FY2023</t>
  </si>
  <si>
    <t xml:space="preserve">buyback_assets_eur_m</t>
  </si>
  <si>
    <t xml:space="preserve">Assets sold with a buy-back commitment</t>
  </si>
  <si>
    <t xml:space="preserve">Stellantis Form 20-F FY2025 consolidated balance sheet</t>
  </si>
  <si>
    <t xml:space="preserve">Asset side of the same arrangements; 1938m in 2024. Shown for scale only to avoid double counting.</t>
  </si>
  <si>
    <t xml:space="preserve">rv_review_months</t>
  </si>
  <si>
    <t xml:space="preserve">Frequency of residual-value review today</t>
  </si>
  <si>
    <t xml:space="preserve">months</t>
  </si>
  <si>
    <t xml:space="preserve">Stellantis Form 20-F FY2025: "Expected residual values are analyzed quarterly and depreciation rates are adjusted accordingly"</t>
  </si>
  <si>
    <t xml:space="preserve">The group's stated practice. Our recommendation is monthly.</t>
  </si>
  <si>
    <t xml:space="preserve">rv_method_today</t>
  </si>
  <si>
    <t xml:space="preserve">Residual values use third-party estimates plus in-house modelling</t>
  </si>
  <si>
    <t xml:space="preserve">Stellantis Form 20-F FY2025: "Third party estimates are utilized in conjunction with proprietary modelling"</t>
  </si>
  <si>
    <t xml:space="preserve">Answers the build-vs-buy question: they already buy; the gap is their own discount and launch plans.</t>
  </si>
  <si>
    <t xml:space="preserve">lev_residual_uncertainty</t>
  </si>
  <si>
    <t xml:space="preserve">Electrified residuals are harder because resale history is thin</t>
  </si>
  <si>
    <t xml:space="preserve">Stellantis Form 20-F FY2025: "Residual values for LEVs are subject to greater uncertainty than for ICE vehicles, due to limited historical resale data"</t>
  </si>
  <si>
    <t xml:space="preserve">The group's own words for the thin-slice problem our pooling result addresses.</t>
  </si>
  <si>
    <t xml:space="preserve">incentive_not_disclosed</t>
  </si>
  <si>
    <t xml:space="preserve">Total sales incentive spend is not disclosed</t>
  </si>
  <si>
    <t xml:space="preserve">Stellantis Form 20-F FY2025: sales incentives are a critical estimate; "estimated incentive rates are reviewed monthly"</t>
  </si>
  <si>
    <t xml:space="preserve">This is why every Leak 1 figure below is an assumption rather than a sourced number.</t>
  </si>
  <si>
    <t xml:space="preserve">ons_uk_index_move</t>
  </si>
  <si>
    <t xml:space="preserve">UK second-hand car index move 2018-01 to 2022-10</t>
  </si>
  <si>
    <t xml:space="preserve">%</t>
  </si>
  <si>
    <t xml:space="preserve">ONS CPI 07.1.1B second-hand cars (series D7E9) via data/reference/price_indices.parquet</t>
  </si>
  <si>
    <t xml:space="preserve">https://www.ons.gov.uk/economy/inflationandpriceindices</t>
  </si>
  <si>
    <t xml:space="preserve">2022-10</t>
  </si>
  <si>
    <t xml:space="preserve">Independent measure of the UK level move behind the Corsa example.</t>
  </si>
  <si>
    <t xml:space="preserve">dealer_passthrough_low</t>
  </si>
  <si>
    <t xml:space="preserve">Share of a dealer discount that reaches the buyer</t>
  </si>
  <si>
    <t xml:space="preserve">Busse, Silva-Risso &amp; Zettelmeyer, $1,000 Cash Back, American Economic Review 2006</t>
  </si>
  <si>
    <t xml:space="preserve">https://www.aeaweb.org/articles?id=10.1257/aer.96.4.1253</t>
  </si>
  <si>
    <t xml:space="preserve">2006</t>
  </si>
  <si>
    <t xml:space="preserve">US data. Customer rebates pass through at 70-90%; dealer discounts at 30-40%.</t>
  </si>
  <si>
    <t xml:space="preserve">dep_pooled</t>
  </si>
  <si>
    <t xml:space="preserve">Depreciation per year of age</t>
  </si>
  <si>
    <t xml:space="preserve">MEASURED</t>
  </si>
  <si>
    <t xml:space="preserve">analysis/drivers_report.md pooled effects table</t>
  </si>
  <si>
    <t xml:space="preserve">2026-09-17</t>
  </si>
  <si>
    <t xml:space="preserve">16 datasets, 2,617,260 cars. Random-effects pooled; the single pooled model says -10.7%. Age alone, with mileage held fixed: a lease-age car also being driven loses about 12% a year (drivers_report.md).</t>
  </si>
  <si>
    <t xml:space="preserve">Leak 2;Leak 3</t>
  </si>
  <si>
    <t xml:space="preserve">dep_with_mileage_3y</t>
  </si>
  <si>
    <t xml:space="preserve">Yearly value loss at 3 years old, age plus a typical year's mileage</t>
  </si>
  <si>
    <t xml:space="preserve">analysis/drivers_report.md</t>
  </si>
  <si>
    <t xml:space="preserve">Pooled age effect plus the pooled mileage effect for the extra mileage a steadily driven car adds between 3 and 4 years old.</t>
  </si>
  <si>
    <t xml:space="preserve">dep_market_min</t>
  </si>
  <si>
    <t xml:space="preserve">Fastest depreciation of any market measured</t>
  </si>
  <si>
    <t xml:space="preserve">analysis/drivers_report.md per-dataset spread (dvm)</t>
  </si>
  <si>
    <t xml:space="preserve">The rate is real everywhere but its size is local.</t>
  </si>
  <si>
    <t xml:space="preserve">dep_market_max</t>
  </si>
  <si>
    <t xml:space="preserve">Slowest depreciation of any market measured</t>
  </si>
  <si>
    <t xml:space="preserve">analysis/drivers_report.md per-dataset spread (eg_hatla2ee)</t>
  </si>
  <si>
    <t xml:space="preserve">Egypt; a market unlike the group's European ones.</t>
  </si>
  <si>
    <t xml:space="preserve">dep_uk</t>
  </si>
  <si>
    <t xml:space="preserve">UK depreciation per year of age</t>
  </si>
  <si>
    <t xml:space="preserve">analysis/drivers_report.md per-dataset (uk_2022_10)</t>
  </si>
  <si>
    <t xml:space="preserve">Advert prices.</t>
  </si>
  <si>
    <t xml:space="preserve">Leak 2</t>
  </si>
  <si>
    <t xml:space="preserve">dep_stability_lo</t>
  </si>
  <si>
    <t xml:space="preserve">Slowest monthly estimate of the rate over 52 months</t>
  </si>
  <si>
    <t xml:space="preserve">analysis/latvia_time_report.md</t>
  </si>
  <si>
    <t xml:space="preserve">Latvia, one market. The rate never left this band through the 2021-22 shortage.</t>
  </si>
  <si>
    <t xml:space="preserve">dep_stability_hi</t>
  </si>
  <si>
    <t xml:space="preserve">Fastest monthly estimate of the rate over 52 months</t>
  </si>
  <si>
    <t xml:space="preserve">Latvia, one market. Standard deviation 0.38 points.</t>
  </si>
  <si>
    <t xml:space="preserve">latvia_index_corr</t>
  </si>
  <si>
    <t xml:space="preserve">Correlation of our Latvian price index with Eurostat's</t>
  </si>
  <si>
    <t xml:space="preserve">r</t>
  </si>
  <si>
    <t xml:space="preserve">Correlation of index levels, which two rising series share whatever they measure. As changes: 12-month moves agree (0.90), month-on-month moves do not (-0.03). Disagrees on size (+42% vs +8.8%).</t>
  </si>
  <si>
    <t xml:space="preserve">retained_3y_pooled</t>
  </si>
  <si>
    <t xml:space="preserve">Value retained at 3 years at the pooled rate</t>
  </si>
  <si>
    <t xml:space="preserve">% of list</t>
  </si>
  <si>
    <t xml:space="preserve">analysis/level_risk_report.md (derived from dep_pooled)</t>
  </si>
  <si>
    <t xml:space="preserve">Arithmetic on the pooled rate; the denominator for turning points of list price into a share of residual value.</t>
  </si>
  <si>
    <t xml:space="preserve">retained_3y_uk</t>
  </si>
  <si>
    <t xml:space="preserve">Value retained at 3 years - UK (2018 adverts)</t>
  </si>
  <si>
    <t xml:space="preserve">analysis/value_retained_report.md</t>
  </si>
  <si>
    <t xml:space="preserve">DVM adverts, mostly 2018, before the shortage. The UK's October 2022 scrape gives 90% (retained_3y_uk_2022); pooling the two blends eras. Entry-trim new price flatters the share.</t>
  </si>
  <si>
    <t xml:space="preserve">retained_3y_uk_2022</t>
  </si>
  <si>
    <t xml:space="preserve">Value retained at 3 years - UK (October 2022 adverts)</t>
  </si>
  <si>
    <t xml:space="preserve">Shortage peak, and a different scrape from the 2018 row, so the +24-point gap mixes a market move with a source difference.</t>
  </si>
  <si>
    <t xml:space="preserve">retained_3y_nl</t>
  </si>
  <si>
    <t xml:space="preserve">Value retained at 3 years - Netherlands</t>
  </si>
  <si>
    <t xml:space="preserve">Deflated by BPM registration tax in the list price. Not comparable in level with the others.</t>
  </si>
  <si>
    <t xml:space="preserve">retained_3y_us</t>
  </si>
  <si>
    <t xml:space="preserve">Value retained at 3 years - US</t>
  </si>
  <si>
    <t xml:space="preserve">US data. Sample of 690 cars.</t>
  </si>
  <si>
    <t xml:space="preserve">retained_1y_uk</t>
  </si>
  <si>
    <t xml:space="preserve">Value retained at 1 year - UK (2018 adverts)</t>
  </si>
  <si>
    <t xml:space="preserve">Entry-trim caveat as above.</t>
  </si>
  <si>
    <t xml:space="preserve">retained_2y_uk</t>
  </si>
  <si>
    <t xml:space="preserve">Value retained at 2 years - UK (2018 adverts)</t>
  </si>
  <si>
    <t xml:space="preserve">retained_4y_uk</t>
  </si>
  <si>
    <t xml:space="preserve">Value retained at 4 years - UK (2018 adverts)</t>
  </si>
  <si>
    <t xml:space="preserve">retained_5y_uk</t>
  </si>
  <si>
    <t xml:space="preserve">Value retained at 5 years - UK (2018 adverts)</t>
  </si>
  <si>
    <t xml:space="preserve">level_3y_p10</t>
  </si>
  <si>
    <t xml:space="preserve">Three-year move in the used-car price level - p10</t>
  </si>
  <si>
    <t xml:space="preserve">analysis/level_risk_report.md pooled table</t>
  </si>
  <si>
    <t xml:space="preserve">26 EU markets, common window 2016-12 to 2025-12, each market weighted equally. Overlapping windows.</t>
  </si>
  <si>
    <t xml:space="preserve">level_3y_p50</t>
  </si>
  <si>
    <t xml:space="preserve">Three-year move in the used-car price level - median</t>
  </si>
  <si>
    <t xml:space="preserve">As above.</t>
  </si>
  <si>
    <t xml:space="preserve">level_3y_p90</t>
  </si>
  <si>
    <t xml:space="preserve">Three-year move in the used-car price level - p90</t>
  </si>
  <si>
    <t xml:space="preserve">level_3y_worst</t>
  </si>
  <si>
    <t xml:space="preserve">Worst three-year move observed</t>
  </si>
  <si>
    <t xml:space="preserve">Slovenia over this window. Used as the stress case.</t>
  </si>
  <si>
    <t xml:space="preserve">level_3y_p10_core</t>
  </si>
  <si>
    <t xml:space="preserve">Three-year move - p10 across the group's 7 largest EU markets</t>
  </si>
  <si>
    <t xml:space="preserve">FR IT DE ES PL NL PT. Narrower than the all-market figure, and the more relevant base case.</t>
  </si>
  <si>
    <t xml:space="preserve">level_3y_worst_core</t>
  </si>
  <si>
    <t xml:space="preserve">Worst three-year move across the 7 largest EU markets</t>
  </si>
  <si>
    <t xml:space="preserve">Poland over this window.</t>
  </si>
  <si>
    <t xml:space="preserve">level_1y_p10_core</t>
  </si>
  <si>
    <t xml:space="preserve">One-year move in the used-car price level - p10 across the group's 7 largest EU markets</t>
  </si>
  <si>
    <t xml:space="preserve">Base level shock for the per-year leak 3.</t>
  </si>
  <si>
    <t xml:space="preserve">level_1y_p10</t>
  </si>
  <si>
    <t xml:space="preserve">One-year move in the used-car price level - p10 across all 26 EU markets</t>
  </si>
  <si>
    <t xml:space="preserve">Wider per-year level shock.</t>
  </si>
  <si>
    <t xml:space="preserve">level_1y_worst</t>
  </si>
  <si>
    <t xml:space="preserve">Worst one-year move observed in 26 EU markets</t>
  </si>
  <si>
    <t xml:space="preserve">Per-year stress. Common window 2016-12 to 2025-12.</t>
  </si>
  <si>
    <t xml:space="preserve">level_1m_p5</t>
  </si>
  <si>
    <t xml:space="preserve">One-month drift in the level - p5</t>
  </si>
  <si>
    <t xml:space="preserve">analysis/level_risk_report.md review-horizon table</t>
  </si>
  <si>
    <t xml:space="preserve">What a monthly re-mark would leave unseen.</t>
  </si>
  <si>
    <t xml:space="preserve">level_3m_p5</t>
  </si>
  <si>
    <t xml:space="preserve">Three-month drift in the level - p5</t>
  </si>
  <si>
    <t xml:space="preserve">What the group's current quarterly review leaves unseen.</t>
  </si>
  <si>
    <t xml:space="preserve">curve_points_known</t>
  </si>
  <si>
    <t xml:space="preserve">Curve error at 3 years in a market with its own data</t>
  </si>
  <si>
    <t xml:space="preserve">points of list</t>
  </si>
  <si>
    <t xml:space="preserve">analysis/level_risk_report.md comparison table</t>
  </si>
  <si>
    <t xml:space="preserve">Full spread, slowest to fastest. From the 52-month stability band in Latvia. One country. A wider measure than the level's p10-p90, so the 8x comparison it makes is conservative. The VaR model uses curve_p80_known instead.</t>
  </si>
  <si>
    <t xml:space="preserve">curve_points_unknown</t>
  </si>
  <si>
    <t xml:space="preserve">Curve error at 3 years in a market or brand with no history</t>
  </si>
  <si>
    <t xml:space="preserve">From the 95% prediction interval for a new market (-13.1% to -5.0% a year), not the raw min-max spread, which grows with the number of datasets. Riley/Higgins/Deeks BMJ 2011;342:d549. A wider interval than the level's p10-p90; the VaR model uses curve_p80_unknown instead.</t>
  </si>
  <si>
    <t xml:space="preserve">curve_p80_known</t>
  </si>
  <si>
    <t xml:space="preserve">Curve error at 3 years in a market with its own data - p10 to p90</t>
  </si>
  <si>
    <t xml:space="preserve">p10 to p90 of the 52 monthly refits in Latvia, so it matches the level's p10-p90. One country. The VaR model uses half of it: the distance from the centre to p10, the same one-in-ten as the level shock.</t>
  </si>
  <si>
    <t xml:space="preserve">curve_p80_unknown</t>
  </si>
  <si>
    <t xml:space="preserve">Curve error at 3 years in a market or brand with no history - 80% interval</t>
  </si>
  <si>
    <t xml:space="preserve">The 95% prediction interval narrowed to 80% with the same Student's t (14 degrees of freedom, 16 datasets), so it matches the level's p10-p90. The VaR model uses half of it, the distance from the centre to p10.</t>
  </si>
  <si>
    <t xml:space="preserve">retained_1y_pooled</t>
  </si>
  <si>
    <t xml:space="preserve">Value retained at 1 year at the pooled rate</t>
  </si>
  <si>
    <t xml:space="preserve">analysis/level_risk_report.md one-year table (derived from dep_pooled)</t>
  </si>
  <si>
    <t xml:space="preserve">Arithmetic on the pooled rate; the denominator for the one-year curve terms.</t>
  </si>
  <si>
    <t xml:space="preserve">curve_1y_p80_known</t>
  </si>
  <si>
    <t xml:space="preserve">Curve error at 1 year in a market with its own data - p10 to p90</t>
  </si>
  <si>
    <t xml:space="preserve">analysis/level_risk_report.md one-year table</t>
  </si>
  <si>
    <t xml:space="preserve">Same Latvian p10-p90 as curve_p80_known, over one year. The VaR model uses half of it.</t>
  </si>
  <si>
    <t xml:space="preserve">curve_1y_p80_unknown</t>
  </si>
  <si>
    <t xml:space="preserve">Curve error at 1 year in a market or brand with no history - 80% interval</t>
  </si>
  <si>
    <t xml:space="preserve">Same 80% interval as curve_p80_unknown, over one year. The VaR model uses half of it.</t>
  </si>
  <si>
    <t xml:space="preserve">level_points</t>
  </si>
  <si>
    <t xml:space="preserve">Level error at 3 years - p10 to p90 band</t>
  </si>
  <si>
    <t xml:space="preserve">About 8x the curve error in a market the group already sells in, against the curve's full range; about 11x like for like, p10-p90 on both sides.</t>
  </si>
  <si>
    <t xml:space="preserve">pooling_gain_100</t>
  </si>
  <si>
    <t xml:space="preserve">Error cut by borrowing other markets at 100 local cars</t>
  </si>
  <si>
    <t xml:space="preserve">analysis/lodo_report.md sample-size table</t>
  </si>
  <si>
    <t xml:space="preserve">Measured on the within-model residual, with the local market setting its own price level. Was 14.7% before the 2026-09-17 audit removed the partly generated French data and the UK duplicate adverts.</t>
  </si>
  <si>
    <t xml:space="preserve">pooling_gain_250</t>
  </si>
  <si>
    <t xml:space="preserve">Error cut by borrowing other markets at 250 local cars</t>
  </si>
  <si>
    <t xml:space="preserve">The gain is gone by 250 cars. Pooling is for thin slices only.</t>
  </si>
  <si>
    <t xml:space="preserve">sibling_penalty</t>
  </si>
  <si>
    <t xml:space="preserve">Transfer penalty when another dataset covers the same market</t>
  </si>
  <si>
    <t xml:space="preserve">analysis/lodo_report.md</t>
  </si>
  <si>
    <t xml:space="preserve">Median across the 7 datasets with a sibling.</t>
  </si>
  <si>
    <t xml:space="preserve">no_sibling_penalty</t>
  </si>
  <si>
    <t xml:space="preserve">Transfer penalty when no dataset covers the same market</t>
  </si>
  <si>
    <t xml:space="preserve">Median across the 7 datasets alone in their market, 4 of them outside Europe (Bangladesh, Egypt, Morocco, Jordan). Inside Europe the gap disappears (no_sibling_penalty_europe), so do not quote this for the group's markets.</t>
  </si>
  <si>
    <t xml:space="preserve">no_sibling_penalty_europe</t>
  </si>
  <si>
    <t xml:space="preserve">Transfer penalty when no dataset covers the same market - European datasets only</t>
  </si>
  <si>
    <t xml:space="preserve">Only 3 European datasets stand alone (+1.2% to +39.9%) and they pay no more than the +2.7% of datasets with a sibling. The 'market, not rows' result does not hold inside Europe.</t>
  </si>
  <si>
    <t xml:space="preserve">model_err_uk</t>
  </si>
  <si>
    <t xml:space="preserve">Median error of a locally fitted model - UK</t>
  </si>
  <si>
    <t xml:space="preserve">analysis/lodo_report.md own median err (uk_2022_10)</t>
  </si>
  <si>
    <t xml:space="preserve">Advert prices. Within make-and-model residual.</t>
  </si>
  <si>
    <t xml:space="preserve">corsa_err_asis</t>
  </si>
  <si>
    <t xml:space="preserve">Corsa - 2018 model used unchanged on 2022 cars</t>
  </si>
  <si>
    <t xml:space="preserve">analysis/one_car_report.md</t>
  </si>
  <si>
    <t xml:space="preserve">Almost all bias: it prices every car about 41% too low. Median over 500 random splits of the 2022 cars.</t>
  </si>
  <si>
    <t xml:space="preserve">corsa_err_anchor25</t>
  </si>
  <si>
    <t xml:space="preserve">Corsa - same model after re-anchoring the level on 25 current cars</t>
  </si>
  <si>
    <t xml:space="preserve">Every slope still from 2018. Median over 500 random draws of the 25 cars, scored on held-out cars.</t>
  </si>
  <si>
    <t xml:space="preserve">corsa_err_refit</t>
  </si>
  <si>
    <t xml:space="preserve">Corsa - model refitted from scratch on half the current cars</t>
  </si>
  <si>
    <t xml:space="preserve">The ceiling for this feature set, fitted on half the 2022 cars and scored on the other half.</t>
  </si>
  <si>
    <t xml:space="preserve">corsa_level_share</t>
  </si>
  <si>
    <t xml:space="preserve">Share of recoverable error that was level alone</t>
  </si>
  <si>
    <t xml:space="preserve">(41.4-11.9)/(41.4-10.5), the median across 500 draws of the 25 cars; one_car_report.md gives the p10-p90 range. Refitting every slope buys the last 1.4 points.</t>
  </si>
  <si>
    <t xml:space="preserve">corsa_retained_2018</t>
  </si>
  <si>
    <t xml:space="preserve">Corsa at 4 years old - share of its list price in 2018</t>
  </si>
  <si>
    <t xml:space="preserve">Each cohort measured against its own list price. Entry-trim caveat applies.</t>
  </si>
  <si>
    <t xml:space="preserve">corsa_retained_2022</t>
  </si>
  <si>
    <t xml:space="preserve">Corsa at 4 years old - share of its list price in October 2022</t>
  </si>
  <si>
    <t xml:space="preserve">A 30-point gap on the same car at the same age, across two different scrapes.</t>
  </si>
  <si>
    <t xml:space="preserve">corsa_fixed_rule_err</t>
  </si>
  <si>
    <t xml:space="preserve">Corsa - fixed pooled-rate rule off the new price</t>
  </si>
  <si>
    <t xml:space="preserve">The rule a residual-value desk starts from. Handicapped by the entry-trim new price.</t>
  </si>
  <si>
    <t xml:space="preserve">engine_band_coverage</t>
  </si>
  <si>
    <t xml:space="preserve">Share of held-out UK cars inside the value engine's 80% band</t>
  </si>
  <si>
    <t xml:space="preserve">analysis/engine_check_report.md</t>
  </si>
  <si>
    <t xml:space="preserve">Advertised prices, one market held out, today's value only. 74-82% across age bands; lowest for cars over twelve.</t>
  </si>
  <si>
    <t xml:space="preserve">backtest_gap_latvia</t>
  </si>
  <si>
    <t xml:space="preserve">Latvia: adverts three years later against a forecast at the pricing date's level</t>
  </si>
  <si>
    <t xml:space="preserve">Median of two windows priced in 2020 and compared in 2023. Most of the gap is the Latvian level surge; one market, one period.</t>
  </si>
  <si>
    <t xml:space="preserve">tesla_pre_announcement</t>
  </si>
  <si>
    <t xml:space="preserve">Share of the Tesla repricing that happened before the January 2023 US list-price cut</t>
  </si>
  <si>
    <t xml:space="preserve">analysis/tesla_event_report.md</t>
  </si>
  <si>
    <t xml:space="preserve">US, Washington State, EVs only. Tesla had already cut prices in China (Oct 2022) and offered US year-end discounts (Dec 2022), so it is not ahead of every manufacturer move. The reason no discount-to-resale factor is quoted anywhere in this model.</t>
  </si>
  <si>
    <t xml:space="preserve">auction_vs_sale</t>
  </si>
  <si>
    <t xml:space="preserve">Auction price against an equivalent recorded sale</t>
  </si>
  <si>
    <t xml:space="preserve">analysis/price_types_report.md</t>
  </si>
  <si>
    <t xml:space="preserve">US only. Do not read as a channel-choice rule; the two sources sell different kinds of car.</t>
  </si>
  <si>
    <t xml:space="preserve">incentive_pct_revenue</t>
  </si>
  <si>
    <t xml:space="preserve">Sales incentives as a share of European net revenue</t>
  </si>
  <si>
    <t xml:space="preserve">ASSUMPTION</t>
  </si>
  <si>
    <t xml:space="preserve">Our estimate. The group does not disclose a total - see incentive_not_disclosed.</t>
  </si>
  <si>
    <t xml:space="preserve">No European source found. Leak 1 is linear in this input: the one-input-at-a-time table on the Summary sheet shows the total at its low and high.</t>
  </si>
  <si>
    <t xml:space="preserve">process_leak_pct</t>
  </si>
  <si>
    <t xml:space="preserve">Claims paid twice, wrongly or too late, as a share of incentive spend</t>
  </si>
  <si>
    <t xml:space="preserve">Our estimate</t>
  </si>
  <si>
    <t xml:space="preserve">Benchmarks in circulation (2-5%) are US and unverified, so this is an assumption and not a sourced figure.</t>
  </si>
  <si>
    <t xml:space="preserve">recoverable_share</t>
  </si>
  <si>
    <t xml:space="preserve">Share of process leakage a controls layer actually recovers</t>
  </si>
  <si>
    <t xml:space="preserve">Leakage that exists is not leakage you can recover. Audit recovery rates in circulation are far lower than leakage rates.</t>
  </si>
  <si>
    <t xml:space="preserve">targeting_leak_pct</t>
  </si>
  <si>
    <t xml:space="preserve">Incentives paid on sales that would have happened anyway</t>
  </si>
  <si>
    <t xml:space="preserve">Only measurable with randomised holdouts; the ledger is what makes that measurable.</t>
  </si>
  <si>
    <t xml:space="preserve">thin_share_of_book</t>
  </si>
  <si>
    <t xml:space="preserve">Share of the buy-back book that is a thin slice</t>
  </si>
  <si>
    <t xml:space="preserve">New brands, new markets and electrified lines with little resale history. Directionally supported by the 20-F statement that LEVs are an increasing proportion of buy-back assets.</t>
  </si>
  <si>
    <t xml:space="preserve">finance_penetration</t>
  </si>
  <si>
    <t xml:space="preserve">Share of European sales financed or leased through the group</t>
  </si>
  <si>
    <t xml:space="preserve">No disclosed rate found. Leasys is a 50/50 joint venture and equity-accounted, so its fleet is not in the buy-back figure above.</t>
  </si>
  <si>
    <t xml:space="preserve">upgrade_capture_uplift</t>
  </si>
  <si>
    <t xml:space="preserve">Extra share of customers retained by contacting them at the right moment</t>
  </si>
  <si>
    <t xml:space="preserve">percentage points</t>
  </si>
  <si>
    <t xml:space="preserve">Must be proved with randomised control groups in the pilot rather than assumed at scale.</t>
  </si>
  <si>
    <t xml:space="preserve">margin_per_repeat_sale</t>
  </si>
  <si>
    <t xml:space="preserve">Contribution from one retained customer's next car</t>
  </si>
  <si>
    <t xml:space="preserve">EUR</t>
  </si>
  <si>
    <t xml:space="preserve">New-car margin plus finance income over the contract; excludes service and warranty.</t>
  </si>
  <si>
    <t xml:space="preserve">loan_deposit_pct</t>
  </si>
  <si>
    <t xml:space="preserve">Deposit on a typical financed contract</t>
  </si>
  <si>
    <t xml:space="preserve">Used only to locate the month when the car is worth more than the balance.</t>
  </si>
  <si>
    <t xml:space="preserve">loan_term_months</t>
  </si>
  <si>
    <t xml:space="preserve">Term of a typical financed contract</t>
  </si>
  <si>
    <t xml:space="preserve">loan_apr</t>
  </si>
  <si>
    <t xml:space="preserve">Interest rate on a typical financed contract</t>
  </si>
  <si>
    <t xml:space="preserve">new_car_price</t>
  </si>
  <si>
    <t xml:space="preserve">List price of the worked example car</t>
  </si>
  <si>
    <t xml:space="preserve">GBP</t>
  </si>
  <si>
    <t xml:space="preserve">analysis/one_car_report.md - Vauxhall Corsa entry price for the 2022 cohort</t>
  </si>
  <si>
    <t xml:space="preserve">DVM-CAR entry trim. Used only to make the upgrade-timing example concrete.</t>
  </si>
  <si>
    <t xml:space="preserve">dep_pi_lo</t>
  </si>
  <si>
    <t xml:space="preserve">Depreciation per year - low end of the 95% prediction interval</t>
  </si>
  <si>
    <t xml:space="preserve">Where the age effect would fall in a market we have not measured. Wider than the confidence interval on the mean and the right number for a new market.</t>
  </si>
  <si>
    <t xml:space="preserve">dep_pi_hi</t>
  </si>
  <si>
    <t xml:space="preserve">Depreciation per year - high end of the 95% prediction interval</t>
  </si>
  <si>
    <t xml:space="preserve">ev_pi_lo</t>
  </si>
  <si>
    <t xml:space="preserve">Electric vs petrol - low end of the 95% prediction interval</t>
  </si>
  <si>
    <t xml:space="preserve">Four datasets only. We cannot say what an electric car is worth against a petrol one in an unmeasured market - the same uncertainty Stellantis reports for electrified residuals.</t>
  </si>
  <si>
    <t xml:space="preserve">ev_pi_hi</t>
  </si>
  <si>
    <t xml:space="preserve">Electric vs petrol - high end of the 95% prediction interval</t>
  </si>
  <si>
    <t xml:space="preserve">er_pairs_measured</t>
  </si>
  <si>
    <t xml:space="preserve">Confirmed duplicate pairs behind the entity-resolution test</t>
  </si>
  <si>
    <t xml:space="preserve">pairs</t>
  </si>
  <si>
    <t xml:space="preserve">analysis/entity_resolution_report.md</t>
  </si>
  <si>
    <t xml:space="preserve">Five sources in four countries, each carrying the site's own advert id, which is hidden before matching. An advert relisted under a new id counts as two records, so this is a lower bound.</t>
  </si>
  <si>
    <t xml:space="preserve">er_price_drift</t>
  </si>
  <si>
    <t xml:space="preserve">Copies of one record that differ on the amount</t>
  </si>
  <si>
    <t xml:space="preserve">analysis/entity_resolution_report.md drift table</t>
  </si>
  <si>
    <t xml:space="preserve">The money field is the one most likely to move between two copies of the same record - the field a claims system would match on. Portugal, scraped weekly for eleven months. Used-car adverts, not dealer claims: this rate does not transfer to the group's systems and must not be quoted as if it did. What transfers is the failure mode.</t>
  </si>
  <si>
    <t xml:space="preserve">er_exact_miss</t>
  </si>
  <si>
    <t xml:space="preserve">Copies an exact match misses, where the copies drift</t>
  </si>
  <si>
    <t xml:space="preserve">analysis/entity_resolution_report.md recall table</t>
  </si>
  <si>
    <t xml:space="preserve">The only source both scraped repeatedly over time and carrying an id, so the only one that can show drift at all. In the four single-snapshot sources a second copy is a byte-identical row and exact matching finds it. Used-car adverts, not dealer claims: this rate does not transfer to the group's systems and must not be quoted as if it did. What transfers is the failure mode.</t>
  </si>
  <si>
    <t xml:space="preserve">er_exact_precision</t>
  </si>
  <si>
    <t xml:space="preserve">Precision of an exact match, where the copies drift</t>
  </si>
  <si>
    <t xml:space="preserve">analysis/entity_resolution_report.md relax table</t>
  </si>
  <si>
    <t xml:space="preserve">Precision levels are not comparable between sources: an id under-counts relisted adverts and a thin field set over-links distinct cars. Read the movement against er_relax_precision, not the level. Used-car adverts, not dealer claims: this rate does not transfer to the group's systems and must not be quoted as if it did. What transfers is the failure mode.</t>
  </si>
  <si>
    <t xml:space="preserve">er_relax_recall</t>
  </si>
  <si>
    <t xml:space="preserve">Recall once the rule stops matching on the fields that drift</t>
  </si>
  <si>
    <t xml:space="preserve">Pair with er_relax_precision: the recall is bought at a precision that makes the rule unusable on its own. Used-car adverts, not dealer claims: this rate does not transfer to the group's systems and must not be quoted as if it did. What transfers is the failure mode.</t>
  </si>
  <si>
    <t xml:space="preserve">er_relax_precision</t>
  </si>
  <si>
    <t xml:space="preserve">Precision once the rule stops matching on the fields that drift</t>
  </si>
  <si>
    <t xml:space="preserve">The measured reason a looser exact rule is not the answer, and a scored match with a human band is. Used-car adverts, not dealer claims: this rate does not transfer to the group's systems and must not be quoted as if it did. What transfers is the failure mode.</t>
  </si>
  <si>
    <t xml:space="preserve">er_uk_exact_recall</t>
  </si>
  <si>
    <t xml:space="preserve">Recall of an exact match in a file with no record id</t>
  </si>
  <si>
    <t xml:space="preserve">analysis/entity_resolution_report.md UK table</t>
  </si>
  <si>
    <t xml:space="preserve">Truth here is inferred, not known: identical in every field but one free-text label is treated as the same advert, so this is an upper bound on what the rule catches. These copies sat in both halves of a train/test split and flattered the value engine until the audit removed them. Used-car adverts, not dealer claims: this rate does not transfer to the group's systems and must not be quoted as if it did. What transfers is the failure mode.</t>
  </si>
  <si>
    <t xml:space="preserve">er_auto_link_recall</t>
  </si>
  <si>
    <t xml:space="preserve">Copies caught by linking automatically above the upper threshold</t>
  </si>
  <si>
    <t xml:space="preserve">analysis/entity_resolution_report.md two-lines table</t>
  </si>
  <si>
    <t xml:space="preserve">At 97.4% precision. Where the group's own lines sit depends on what each error costs it, which this data cannot say. Used-car adverts, not dealer claims: this rate does not transfer to the group's systems and must not be quoted as if it did. What transfers is the failure mode.</t>
  </si>
  <si>
    <t xml:space="preserve">er_review_band_recall</t>
  </si>
  <si>
    <t xml:space="preserve">Copies caught once the human review band is worked</t>
  </si>
  <si>
    <t xml:space="preserve">Only 65.8% of the links at this line are correct, which is why it is a review line and not an automatic one. Used-car adverts, not dealer claims: this rate does not transfer to the group's systems and must not be quoted as if it did. What transfers is the failure mode.</t>
  </si>
  <si>
    <t xml:space="preserve">er_review_band_pairs</t>
  </si>
  <si>
    <t xml:space="preserve">Pairs falling into the human review band</t>
  </si>
  <si>
    <t xml:space="preserve">The size of the queue the design implies, measured rather than assumed. One source. Used-car adverts, not dealer claims: this rate does not transfer to the group's systems and must not be quoted as if it did. What transfers is the failure mode.</t>
  </si>
  <si>
    <t xml:space="preserve">lv_level_spread</t>
  </si>
  <si>
    <t xml:space="preserve">Latvia - how far the price level moved over 52 months</t>
  </si>
  <si>
    <t xml:space="preserve">index points</t>
  </si>
  <si>
    <t xml:space="preserve">2026-09-18</t>
  </si>
  <si>
    <t xml:space="preserve">One small import-driven market, and advert prices. The index is built from the same adverts the depreciation rate is fitted on, so the two move on one dataset.</t>
  </si>
  <si>
    <t xml:space="preserve">lv_rate_spread</t>
  </si>
  <si>
    <t xml:space="preserve">Latvia - how far the depreciation rate moved over the same 52 months</t>
  </si>
  <si>
    <t xml:space="preserve">points</t>
  </si>
  <si>
    <t xml:space="preserve">The rate never left this band through the 2021-22 shortage. Holds on each advert's first month only, so it is not an artefact of cars reappearing month after month.</t>
  </si>
  <si>
    <t xml:space="preserve">lv_level_vs_rate</t>
  </si>
  <si>
    <t xml:space="preserve">Latvia - the level's spread as a multiple of the rate's</t>
  </si>
  <si>
    <t xml:space="preserve">x</t>
  </si>
  <si>
    <t xml:space="preserve">Index points against percentage points a year: two different units, so this is a statement about which of the two a residual-value desk should watch, not a ratio of like quantities. Quote it as an order of magnitude, never as a precise multiple.</t>
  </si>
  <si>
    <t xml:space="preserve">new_car_price_eur</t>
  </si>
  <si>
    <t xml:space="preserve">List price of the worked example car, in euros</t>
  </si>
  <si>
    <t xml:space="preserve">DVM's entry trim, the cheapest version of that model year, so it flatters every share-of-list figure. Converted once at the cohort's own median rate of 0.8706 GBP per EUR; the deliverables carried 11,977, which used a rounded 0.87.</t>
  </si>
  <si>
    <t xml:space="preserve">Per-car P&amp;L</t>
  </si>
  <si>
    <t xml:space="preserve">engine_err_typical</t>
  </si>
  <si>
    <t xml:space="preserve">Value engine - typical error on cars it has never seen</t>
  </si>
  <si>
    <t xml:space="preserve">Advertised prices on both sides, and today's value only. Median absolute difference between the advertised price and the engine's value, taking level and scatter from cars of about the same age; over every age it is 12.2%.</t>
  </si>
  <si>
    <t xml:space="preserve">eu_aoi_2024_eur_m</t>
  </si>
  <si>
    <t xml:space="preserve">Enlarged Europe adjusted operating income, 2024</t>
  </si>
  <si>
    <t xml:space="preserve">Stellantis FY2025 results press release (SEC-filed), results by segment</t>
  </si>
  <si>
    <t xml:space="preserve">The prior-year comparative in the FY2025 release. Stellantis is used as a same-scale proxy for the anonymous group in the case.</t>
  </si>
  <si>
    <t xml:space="preserve">eu_shipments_2024</t>
  </si>
  <si>
    <t xml:space="preserve">Enlarged Europe consolidated shipments, 2024</t>
  </si>
  <si>
    <t xml:space="preserve">The prior-year comparative. Enlarged Europe is the EU-27, the UK and EFTA, plus Israel and Palestine from 2025 - it does not include the Middle East and Africa.</t>
  </si>
  <si>
    <t xml:space="preserve">buyback_payables_noncurrent_eur_m</t>
  </si>
  <si>
    <t xml:space="preserve">Payables for buy-back agreements due after one year</t>
  </si>
  <si>
    <t xml:space="preserve">The complement of the 5,313 due within a year; leak 3 shocks only the current part. Note the coincidence of digits with eu_shipments_2024 (2,576k vehicles) - a different quantity entirely, and an easy figure to mis-cite.</t>
  </si>
  <si>
    <t xml:space="preserve">pl_sale_margin_pct_list</t>
  </si>
  <si>
    <t xml:space="preserve">Per-car P&amp;L - sale margin, as a share of list price</t>
  </si>
  <si>
    <t xml:space="preserve">Our estimate, bracketed by the group's own gross margin</t>
  </si>
  <si>
    <t xml:space="preserve">https://www.stellantis.com/content/dam/stellantis-corporate/investors/financial-reports/Stellantis-NV-20251231-Annual-Report.pdf</t>
  </si>
  <si>
    <t xml:space="preserve">Net price minus variable cost. Bracketed by the group's reported gross margin: cost of revenues was 86.9% of net revenues in 2024, a 13.1% margin, and 101.4% in 2025, -1.4%. Two caveats on the comparison: gross margin is struck on net revenue, not on a VAT-inclusive list price, and a contribution margin excludes fixed costs so it runs higher than a gross margin. The low bound is a 2025-like year, in which the group loses money on the car before anything else in this table happens.</t>
  </si>
  <si>
    <t xml:space="preserve">pl_incentive_pct_list</t>
  </si>
  <si>
    <t xml:space="preserve">Per-car P&amp;L - incentives, as a share of list price</t>
  </si>
  <si>
    <t xml:space="preserve">Our estimate; the same rate as incentive_pct_revenue</t>
  </si>
  <si>
    <t xml:space="preserve">Borrows the group-level incentive rate and applies it to this car's list price. The bases differ: incentive_pct_revenue is a share of net revenue, and Enlarged Europe's net revenue per vehicle is about twice this car's list price, so applying the rate to list is the conservative reading of the same judgement. Bounds follow incentive_pct_revenue.</t>
  </si>
  <si>
    <t xml:space="preserve">pl_warranty_pct_list</t>
  </si>
  <si>
    <t xml:space="preserve">Per-car P&amp;L - warranty cost, as a share of list price</t>
  </si>
  <si>
    <t xml:space="preserve">Our estimate, bracketed by published warranty accrual rates</t>
  </si>
  <si>
    <t xml:space="preserve">https://www.warrantyweek.com/archive/ww20260312.html</t>
  </si>
  <si>
    <t xml:space="preserve">US automakers accrued 3.0% to 4.8% of product sales in Q4 2025 - GM 3.0, Tesla 3.2, Ford 4.0, Rivian 4.8 - which is US data, struck on net revenue rather than a VAT-inclusive list price. The group's own 2025 change in warranty estimate put 1.2bn euro through Enlarged Europe, of which 0.9bn related to shipments before 2025, so about 120 euro a vehicle arose from the re-estimate alone. The low bound is the 1.25% the deliverables carried before this row existed, which sits below every published benchmark.</t>
  </si>
  <si>
    <t xml:space="preserve">pl_finance_income_eur</t>
  </si>
  <si>
    <t xml:space="preserve">Per-car P&amp;L - finance income over the contract</t>
  </si>
  <si>
    <t xml:space="preserve">Our estimate, bracketed by a European captive's net banking income</t>
  </si>
  <si>
    <t xml:space="preserve">https://www.mobilize-fs.com/en/news/2025-annual-results-new-year-growth-mobilize-financial-services</t>
  </si>
  <si>
    <t xml:space="preserve">Mobilize Financial Services earned 2,224m euro of net banking income on 59.3bn euro of average performing assets in 2025, or 3.75%. On this car's contract - 85% of list amortising to zero over 48 months, so an average outstanding of about 5,300 euro - that is 797 euro over four years. The group-level figure must exclude rate support paid by the new-car business to the finance arm, which is an internal transfer: the high bound removes none of it, the low bound removes half.</t>
  </si>
  <si>
    <t xml:space="preserve">pl_credit_loss_eur</t>
  </si>
  <si>
    <t xml:space="preserve">Per-car P&amp;L - credit losses over the contract</t>
  </si>
  <si>
    <t xml:space="preserve">Our estimate, from published European captive cost of risk</t>
  </si>
  <si>
    <t xml:space="preserve">Mobilize Financial Services' cost of risk was 0.31% of average performing assets in 2024 and 0.30% in 2023; Volkswagen Financial Services' net loss ratio has run below 0.5%. Applied to the same average outstanding of about 5,300 euro over four years, 0.31% gives 66 euro and 0.5% gives 106 euro. A cost-of-risk figure is cyclical and these are benign years.</t>
  </si>
  <si>
    <t xml:space="preserve">pl_service_parts_eur</t>
  </si>
  <si>
    <t xml:space="preserve">Per-car P&amp;L - service and parts margin over the contract</t>
  </si>
  <si>
    <t xml:space="preserve">Our estimate; no source divides aftersales profit by cars on the road</t>
  </si>
  <si>
    <t xml:space="preserve">https://www.investegate.co.uk/announcement/rns/vertu-motors--vtu/final-results-for-the-year-ended-28-february-2026/9565100</t>
  </si>
  <si>
    <t xml:space="preserve">Vertu Motors, a UK franchised retailer, earned a 44.4% gross margin on aftersales in the year to February 2026 - 73.4% on service labour, 20.9% on parts - and aftersales produced over 46% of its gross profit. The group captures the parts margin on a car it built, and the service margin only where it owns the network. No published source divides aftersales profit by vehicles in operation, so the euro amount per car is our judgement and the range is wide.</t>
  </si>
  <si>
    <t xml:space="preserve">pl_recon_logistics_eur</t>
  </si>
  <si>
    <t xml:space="preserve">Per-car P&amp;L - reconditioning, logistics and holding</t>
  </si>
  <si>
    <t xml:space="preserve">Our estimate, against published reconditioning costs</t>
  </si>
  <si>
    <t xml:space="preserve">https://www.nerdwallet.com/auto-loans/learn/what-is-a-reconditioning-fee-on-a-used-car</t>
  </si>
  <si>
    <t xml:space="preserve">Average reconditioning is reported at about 1,112 dollars a vehicle and dealer reconditioning fees at 500 to 2,000 dollars - US consumer-guide figures, not audited accounts. A small hatchback coming off a maintained lease should cost less than an average trade-in, which is why the central figure sits below the US average. Holding cost is real too: cap hpi puts depreciation on a used family hatchback at about 7 pounds a day while it waits to be listed.</t>
  </si>
  <si>
    <t xml:space="preserve">pl_remarketing_margin_eur</t>
  </si>
  <si>
    <t xml:space="preserve">Per-car P&amp;L - remarketing margin</t>
  </si>
  <si>
    <t xml:space="preserve">Our estimate, against an independent retailer's used margin</t>
  </si>
  <si>
    <t xml:space="preserve">Vertu Motors made 1,501 pounds of gross profit on each of 91,287 used vehicles in the year to February 2026, about 1,725 euro, and that is after its own preparation charges. An independent retailer captures the whole trade-to-retail spread; the group buying its own car back at a contractual residual has already passed that value to the customer, so its used side earns far less. With reconditioning taken out separately, the central figures leave the used side at about -200 euro a car.</t>
  </si>
  <si>
    <t xml:space="preserve">inv_people_eur_m</t>
  </si>
  <si>
    <t xml:space="preserve">Programme cost - people over 24 months</t>
  </si>
  <si>
    <t xml:space="preserve">Our estimate, built bottom-up</t>
  </si>
  <si>
    <t xml:space="preserve">About 30 blended FTE at 1,000 euro a day over two years. No sourced programme cost exists and no quotation has been taken; this is a planning estimate. The bound is 24 to 38 FTE.</t>
  </si>
  <si>
    <t xml:space="preserve">Investment</t>
  </si>
  <si>
    <t xml:space="preserve">inv_platform_eur_m</t>
  </si>
  <si>
    <t xml:space="preserve">Programme cost - platform, data and licences</t>
  </si>
  <si>
    <t xml:space="preserve">Ledger platform, entity-resolution and data acquisition, and licences over two years. No vendor quotation has been taken.</t>
  </si>
  <si>
    <t xml:space="preserve">inv_change_eur_m</t>
  </si>
  <si>
    <t xml:space="preserve">Programme cost - change and training</t>
  </si>
  <si>
    <t xml:space="preserve">Network training, pricer and residual-committee onboarding, and the randomised pilots' running cost. No vendor quotation has been taken.</t>
  </si>
  <si>
    <t xml:space="preserve">gate_vin_link_pct</t>
  </si>
  <si>
    <t xml:space="preserve">Phase 1 gate - incentive spend linked to a VIN</t>
  </si>
  <si>
    <t xml:space="preserve">% of claim value</t>
  </si>
  <si>
    <t xml:space="preserve">TARGET</t>
  </si>
  <si>
    <t xml:space="preserve">Team choice</t>
  </si>
  <si>
    <t xml:space="preserve">The programme's first job is to see the spend. Below this the incentive-to-resale link cannot be measured on the bulk of it, so Phase 2 would have nothing to learn from. Measured on claim value rather than claim count, so a few large claims cannot be quietly left out.</t>
  </si>
  <si>
    <t xml:space="preserve">Gate</t>
  </si>
  <si>
    <t xml:space="preserve">gate_dealer_xwalk_pct</t>
  </si>
  <si>
    <t xml:space="preserve">Phase 1 gate - dealer code crosswalk coverage</t>
  </si>
  <si>
    <t xml:space="preserve">Set level with the VIN link, because a claim can only be de-duplicated once both the car and the dealer resolve to one identity. The two together are what makes a duplicate provable.</t>
  </si>
  <si>
    <t xml:space="preserve">gate_dup_precision_pct</t>
  </si>
  <si>
    <t xml:space="preserve">Phase 1 gate - duplicate flags that are real</t>
  </si>
  <si>
    <t xml:space="preserve">A false duplicate withholds an honest dealer's money, so precision is gated harder than recall. Measured on used-car adverts, an exact rule scored 98.7% precision and a relaxed one 20.7% (er_exact_precision, er_relax_precision), so 90% is where a scored match with a review band is working rather than either extreme. Those rates do not transfer to claims data.</t>
  </si>
  <si>
    <t xml:space="preserve">gate_dup_recall_pct</t>
  </si>
  <si>
    <t xml:space="preserve">Phase 1 gate - real duplicates that get flagged</t>
  </si>
  <si>
    <t xml:space="preserve">Missing a duplicate costs money once; wrongly flagging one costs a dealer relationship, so recall is set below precision and the rest is caught in the human review band. The measured design clears it with room: automatic linking above the upper threshold caught 80.3% and the worked review band 96.0% (er_auto_link_recall, er_review_band_recall).</t>
  </si>
  <si>
    <t xml:space="preserve">gate_gl_reconcile_pct</t>
  </si>
  <si>
    <t xml:space="preserve">Phase 2 gate - ledger against the general ledger</t>
  </si>
  <si>
    <t xml:space="preserve">+/- %</t>
  </si>
  <si>
    <t xml:space="preserve">Finance will not certify a benefit out of a ledger it cannot tie to the books. This is the gate that makes every later euro figure arguable in a committee rather than only in a model.</t>
  </si>
  <si>
    <t xml:space="preserve">gate_uplift_pp</t>
  </si>
  <si>
    <t xml:space="preserve">Phase 2 gate - retention uplift over a randomised control group</t>
  </si>
  <si>
    <t xml:space="preserve">Deliberately set below the 3pp the value-at-risk model assumes (upgrade_capture_uplift, range 1-6pp), so the pilot can come in under the assumption and still pass, and so that failing the gate is a real possibility rather than a formality.</t>
  </si>
  <si>
    <t xml:space="preserve">gate_uplift_significance_pct</t>
  </si>
  <si>
    <t xml:space="preserve">Phase 2 gate - confidence required on that uplift</t>
  </si>
  <si>
    <t xml:space="preserve">A randomised control group is the only thing that turns the assumed euros of leak 2 into a measured number, so the standard is the conventional one and the holdout must be preserved.</t>
  </si>
  <si>
    <t xml:space="preserve">gate_rv_cost_improvement_pct</t>
  </si>
  <si>
    <t xml:space="preserve">Phase 3 gate - business cost of residual error against baseline</t>
  </si>
  <si>
    <t xml:space="preserve">Measured against the Phase 2 baseline, not against a forecast. It is set on the cost of being wrong rather than on model error, because the evidence says level risk is about eight times curve risk and a better model cannot touch the level.</t>
  </si>
  <si>
    <t xml:space="preserve">gate_adherence_pct</t>
  </si>
  <si>
    <t xml:space="preserve">Phase 3 gate - adherence to the engine's recommendations</t>
  </si>
  <si>
    <t xml:space="preserve">Below this the recommendations are not really being used, so any benefit measured is not the programme's. Paired with override payoff, which is tracked without a target in Year 1 because a well-judged override is a good outcome, not a failure.</t>
  </si>
  <si>
    <t xml:space="preserve">gate_benefits_eur_m</t>
  </si>
  <si>
    <t xml:space="preserve">Phase 4 exit - run-rate benefits certified by Finance</t>
  </si>
  <si>
    <t xml:space="preserve">EUR m a year</t>
  </si>
  <si>
    <t xml:space="preserve">Set above the 27.7m euro a controls layer recovers from process leakage alone, so the gate cannot be passed on Phase 1's work; about four times the 20m euro ask.</t>
  </si>
  <si>
    <t xml:space="preserve">kpi_claim_days</t>
  </si>
  <si>
    <t xml:space="preserve">KPI - days to settle an incentive claim</t>
  </si>
  <si>
    <t xml:space="preserve">working days</t>
  </si>
  <si>
    <t xml:space="preserve">A controls layer that holds claims for review only works if the review is fast; a slow one gets overridden by the business and the control stops existing.</t>
  </si>
  <si>
    <t xml:space="preserve">KPI</t>
  </si>
  <si>
    <t xml:space="preserve">kpi_review_rate_pct</t>
  </si>
  <si>
    <t xml:space="preserve">KPI - record pairs sent to human review</t>
  </si>
  <si>
    <t xml:space="preserve">% of claims</t>
  </si>
  <si>
    <t xml:space="preserve">A capacity limit, not an accuracy one: it is what a review team can actually work. The measured threshold sweep put 8,344 pairs in the band on used-car adverts (er_review_band_pairs), which is what sizing this on real claims would look like.</t>
  </si>
  <si>
    <t xml:space="preserve">kpi_unseen_drift_pct</t>
  </si>
  <si>
    <t xml:space="preserve">KPI - market drift carried unseen between re-marks</t>
  </si>
  <si>
    <t xml:space="preserve">Sits between the two measured cadences: 3.0% of level can drift unseen at today's quarterly review and 1.3% at monthly (level_3m_p5, level_1m_p5). Set between them so the target is reachable but not free, and so it is an exposure measure rather than a claimed saving.</t>
  </si>
  <si>
    <t xml:space="preserve">kpi_thin_error_points</t>
  </si>
  <si>
    <t xml:space="preserve">KPI - error on thin slices against established markets</t>
  </si>
  <si>
    <t xml:space="preserve">New brands, new markets and electrified lines are where borrowing data pays; the measured gain is 4.3% at 100 local cars and nothing by 250 (pooling_gain_100, pooling_gain_250), so the target is closing a gap, not reaching parity.</t>
  </si>
  <si>
    <t xml:space="preserve">price_band_pct</t>
  </si>
  <si>
    <t xml:space="preserve">Design choice - band within which a pricer may adjust the recommendation</t>
  </si>
  <si>
    <t xml:space="preserve">Design choice, from adoption research</t>
  </si>
  <si>
    <t xml:space="preserve">People use an imperfect algorithm far more when they can modify its output even slightly (Dietvorst, Simmons &amp; Massey 2018), so the band exists to get the engine used at all. It is narrow because the evidence says the level, not the pricer, is what moves value.</t>
  </si>
  <si>
    <t xml:space="preserve">Design</t>
  </si>
  <si>
    <t xml:space="preserve">inv_tranche_1_eur_m</t>
  </si>
  <si>
    <t xml:space="preserve">Investment released at the start of Phase 1</t>
  </si>
  <si>
    <t xml:space="preserve">Four tranches tied to the four phase gates, so the committee can stop after any one of them. The shape follows the work: build in Phases 1-2, scale in Phase 3, hand over in Phase 4.</t>
  </si>
  <si>
    <t xml:space="preserve">inv_tranche_2_eur_m</t>
  </si>
  <si>
    <t xml:space="preserve">Investment released at the Phase 1 gate</t>
  </si>
  <si>
    <t xml:space="preserve">The largest tranche, because Phase 2 runs the ledger build and the randomised upgrade pilots at the same time.</t>
  </si>
  <si>
    <t xml:space="preserve">inv_tranche_3_eur_m</t>
  </si>
  <si>
    <t xml:space="preserve">Investment released at the Phase 2 gate</t>
  </si>
  <si>
    <t xml:space="preserve">Scaling to the core markets, once the ledger reconciles and the uplift has been measured against a control group.</t>
  </si>
  <si>
    <t xml:space="preserve">inv_tranche_4_eur_m</t>
  </si>
  <si>
    <t xml:space="preserve">Investment released at the Phase 3 gate</t>
  </si>
  <si>
    <t xml:space="preserve">The smallest tranche: Phase 4 is closing the loop and retiring a legacy system, not building.</t>
  </si>
  <si>
    <t xml:space="preserve">dpt_passthrough</t>
  </si>
  <si>
    <t xml:space="preserve">Resale value lost per 1% deeper deal at the new sale</t>
  </si>
  <si>
    <t xml:space="preserve">log points per log point</t>
  </si>
  <si>
    <t xml:space="preserve">analysis/discount_passthrough_report.md</t>
  </si>
  <si>
    <t xml:space="preserve">2026-09-20</t>
  </si>
  <si>
    <t xml:space="preserve">Washington State title transfers: 35,552 resales of 31,367 cars also seen at their own new sale. US, electric and plug-in only. AN UPPER BOUND - the file has no trim field, so part of this is a cheaper car rather than a cheaper deal (see dpt_prereg_gap_version). Holds the resale month fixed, so it is what a discount does to the car it was given on, not to the market.</t>
  </si>
  <si>
    <t xml:space="preserve">dpt_cost_10pct</t>
  </si>
  <si>
    <t xml:space="preserve">Resale value lost when a car was bought 10% below its model's usual price</t>
  </si>
  <si>
    <t xml:space="preserve">% of resale value</t>
  </si>
  <si>
    <t xml:space="preserve">The same coefficient as dpt_passthrough, read at a 10% deal. Upper bound. The published UK figure is 6.5% at 36 months plus 1.5% at once (hk_passthrough_36m, hk_passthrough_now) - quote the two as a range, never one as the answer.</t>
  </si>
  <si>
    <t xml:space="preserve">dpt_placebo</t>
  </si>
  <si>
    <t xml:space="preserve">Placebo - the same model's deal 12 months after the car was bought</t>
  </si>
  <si>
    <t xml:space="preserve">t = +0.7, cannot be told from zero, while the car's own deal holds at +0.243 in the same regression. This is the test tesla_event.py failed and it is why the per-car result may be quoted where the event study may not.</t>
  </si>
  <si>
    <t xml:space="preserve">dpt_prereg_gap_model</t>
  </si>
  <si>
    <t xml:space="preserve">Pre-registered car's advert gap on make and model alone</t>
  </si>
  <si>
    <t xml:space="preserve">AutoScout24, November 2025, eight European markets, 3,620 pre-registered against 4,122 new cars under 15,000 km. Advertised prices. This is the gap that looks like a discount and is not - see dpt_prereg_gap_version.</t>
  </si>
  <si>
    <t xml:space="preserve">dpt_prereg_gap_version</t>
  </si>
  <si>
    <t xml:space="preserve">The same gap once the exact version is matched</t>
  </si>
  <si>
    <t xml:space="preserve">Cannot be told from zero (t -0.39, 454 cars across 44 versions). The visible price gap is specification, not discount: a discount does not show up in market data at all, which is why only the group's own claim records can carry it. The small sample is the limit - versions listed in both states may not be typical.</t>
  </si>
  <si>
    <t xml:space="preserve">dpt_market_lags</t>
  </si>
  <si>
    <t xml:space="preserve">Eurostat - new-car price moves showing up in used prices afterwards</t>
  </si>
  <si>
    <t xml:space="preserve">Sum of lags 0 to 48 months, 27 European markets, country and month fixed effects, standard errors clustered by country. Nothing. An index mixing every vintage also dilutes one cohort's discount about tenfold, so this test has little power even in principle.</t>
  </si>
  <si>
    <t xml:space="preserve">dpt_market_leads</t>
  </si>
  <si>
    <t xml:space="preserve">Eurostat - the same moves showing up in used prices beforehand</t>
  </si>
  <si>
    <t xml:space="preserve">Larger than everything that comes after, so used prices move ahead of new-car prices. The Tesla failure is general, not a quirk of one January. A market-level series cannot answer this question; the per-car link can.</t>
  </si>
  <si>
    <t xml:space="preserve">hk_passthrough_36m</t>
  </si>
  <si>
    <t xml:space="preserve">Published - resale value lost at 36 months per 10% discount at the new sale</t>
  </si>
  <si>
    <t xml:space="preserve">% of residual value</t>
  </si>
  <si>
    <t xml:space="preserve">Holweg M. and Kattuman P., 'A dynamic determination of the residual product value: empirical evidence from the automotive industry', POMS conference paper 004-0144, Table 5 and section 4.3</t>
  </si>
  <si>
    <t xml:space="preserve">https://pomsmeetings.org/confpapers/004/004-0144.pdf</t>
  </si>
  <si>
    <t xml:space="preserve">1999-2004</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</si>
  <si>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-0.00647 per percentage point, t 8.24.</t>
  </si>
  <si>
    <t xml:space="preserve">hk_passthrough_now</t>
  </si>
  <si>
    <t xml:space="preserve">Published - resale value lost at once per 10% discount at the new sale</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</si>
  <si>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-0.0015 per percentage point, t 2.48. This is the substitution channel - today's discounts against today's used cars - and is the smaller of the two.</t>
  </si>
  <si>
    <t xml:space="preserve">rd_nl_transfer_rate</t>
  </si>
  <si>
    <t xml:space="preserve">Dutch cars that change keeper in a year</t>
  </si>
  <si>
    <t xml:space="preserve">% of the fleet a year</t>
  </si>
  <si>
    <t xml:space="preserve">analysis/readiness_base_report.md</t>
  </si>
  <si>
    <t xml:space="preserve">2026-09-21</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</si>
  <si>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Read the level as good to about ten per cent - see rd_nl_bovag_gap.</t>
  </si>
  <si>
    <t xml:space="preserve">rd_nl_peak_rate</t>
  </si>
  <si>
    <t xml:space="preserve">Keeper-change rate at the age it peaks</t>
  </si>
  <si>
    <t xml:space="preserve">% a year</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</si>
  <si>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The peak sits at the same age in the previous twelve months too, so it is an age effect and not the 2021 registration cohort.</t>
  </si>
  <si>
    <t xml:space="preserve">rd_nl_peak_age</t>
  </si>
  <si>
    <t xml:space="preserve">Age at which cars come to market fastest</t>
  </si>
  <si>
    <t xml:space="preserve">years</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</si>
  <si>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Whole years of age, from the year of first admission.</t>
  </si>
  <si>
    <t xml:space="preserve">rd_nl_trough_rate</t>
  </si>
  <si>
    <t xml:space="preserve">Keeper-change rate at the quietest age</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</si>
  <si>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The quietest age is nine.</t>
  </si>
  <si>
    <t xml:space="preserve">rd_nl_peak_vs_trough</t>
  </si>
  <si>
    <t xml:space="preserve">Peak keeper-change rate against the quietest</t>
  </si>
  <si>
    <t xml:space="preserve">ratio</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</si>
  <si>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This is the whole of layer 1's claim: age alone nearly doubles the chance a car comes to market.</t>
  </si>
  <si>
    <t xml:space="preserve">rd_nl_parc_measured</t>
  </si>
  <si>
    <t xml:space="preserve">Cars behind the Dutch base hazard</t>
  </si>
  <si>
    <t xml:space="preserve">cars</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</si>
  <si>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Ages one to twenty-five only.</t>
  </si>
  <si>
    <t xml:space="preserve">rd_nl_stellantis_share</t>
  </si>
  <si>
    <t xml:space="preserve">Group brands as a share of the Dutch fleet</t>
  </si>
  <si>
    <t xml:space="preserve">% of cars</t>
  </si>
  <si>
    <t xml:space="preserve">RDW's open vehicle register, twelve months to September 2026, passenger cars first put on Dutch plates when new. A keeper change is not a sale to a new customer: it counts a car going into dealer stock and a car moving inside a family. The level is Dutch and the Netherlands taxes and leases cars unusually; the project has measured three times that a shape travels between markets and a level does not. Brands matched with build_unified.STELLANTIS across the 16 spellings RDW uses. The group's own curve tracks the fleet's, so the shape is not a brand-mix artefact.</t>
  </si>
  <si>
    <t xml:space="preserve">rd_nl_keeper_changes</t>
  </si>
  <si>
    <t xml:space="preserve">Dutch keeper changes counted in twelve months</t>
  </si>
  <si>
    <t xml:space="preserve">keeper changes a year</t>
  </si>
  <si>
    <t xml:space="preserve">Every passenger car, imports included, and including cars since exported or scrapped, because a car sold in November and exported in March was still a sale. This is the count held against BOVAG's.</t>
  </si>
  <si>
    <t xml:space="preserve">rd_nl_bovag_gap</t>
  </si>
  <si>
    <t xml:space="preserve">Our Dutch count against BOVAG's published one</t>
  </si>
  <si>
    <t xml:space="preserve">Low in the direction the method predicts: a snapshot shows only the current keeper, so a car that changed hands twice inside the year counts once. Treat the Dutch level as good to about ten per cent and never quote it as exact.</t>
  </si>
  <si>
    <t xml:space="preserve">rd_nl_used_sales_2025</t>
  </si>
  <si>
    <t xml:space="preserve">Used cars sold in the Netherlands, 2025</t>
  </si>
  <si>
    <t xml:space="preserve">BOVAG and RDC, 'Recordjaar 2025: verkoop gebruikte auto's stijgt naar 2,1 miljoen'</t>
  </si>
  <si>
    <t xml:space="preserve">https://www.bovag.nl/pers/persberichten/recordjaar-2025-verkoop-gebruikte-auto-s-stijgt-naar-2-1-miljoen</t>
  </si>
  <si>
    <t xml:space="preserve">2026-01-08</t>
  </si>
  <si>
    <t xml:space="preserve">The motor trade's own count, from RDC's registrations, not ours. Used as the outside check on the Dutch base hazard. Calendar 2025; our window is September 2025 to September 2026.</t>
  </si>
  <si>
    <t xml:space="preserve">rd_event_36m</t>
  </si>
  <si>
    <t xml:space="preserve">Excess adverts at 36 months, the three-year contract</t>
  </si>
  <si>
    <t xml:space="preserve">% over trend</t>
  </si>
  <si>
    <t xml:space="preserve">analysis/readiness_events_report.md</t>
  </si>
  <si>
    <t xml:space="preserve">Three European advert sources that record a registration month (de_2023, eu_2025_11, pt_standvirtual), 202,906 adverts. Excess over a smooth age trend with source and registration-calendar-month effects absorbed, so each contract length is measured against the other whole-year ages. Adverts are not returns: a lease car that goes straight to auction never appears. Negative in all twelve specifications tried and in two of three sources. This is layer 3's negative result: no contract-end spike exists in public data.</t>
  </si>
  <si>
    <t xml:space="preserve">rd_event_24m</t>
  </si>
  <si>
    <t xml:space="preserve">Excess adverts at 24 months</t>
  </si>
  <si>
    <t xml:space="preserve">Three European advert sources that record a registration month (de_2023, eu_2025_11, pt_standvirtual), 202,906 adverts. Excess over a smooth age trend with source and registration-calendar-month effects absorbed, so each contract length is measured against the other whole-year ages. Adverts are not returns: a lease car that goes straight to auction never appears. Range crosses zero.</t>
  </si>
  <si>
    <t xml:space="preserve">rd_event_60m</t>
  </si>
  <si>
    <t xml:space="preserve">Excess adverts at 60 months, before robustness</t>
  </si>
  <si>
    <t xml:space="preserve">Three European advert sources that record a registration month (de_2023, eu_2025_11, pt_standvirtual), 202,906 adverts. Excess over a smooth age trend with source and registration-calendar-month effects absorbed, so each contract length is measured against the other whole-year ages. Adverts are not returns: a lease car that goes straight to auction never appears. DO NOT QUOTE THIS AS A FINDING. It is produced entirely by eu_2025_11 (+94.6%); the other two sources read +7.5% and -1.4%, and across twelve specifications it swings from +7.1% to +30.7%. It is the lumpy registration-year composition of one day's scrape. Registered so the number has its refutation attached.</t>
  </si>
  <si>
    <t xml:space="preserve">rd_event_artefact_36m</t>
  </si>
  <si>
    <t xml:space="preserve">Whole-year artefact at 36 months if the trap is missed</t>
  </si>
  <si>
    <t xml:space="preserve">Sources that record only a registration year put every car on a whole number of years, so the same test reads a huge spike at every contract length. This is the artefact, measured, and the reason any age-at-listing analysis must filter to month-precision sources first.</t>
  </si>
  <si>
    <t xml:space="preserve">rd_market_share_old</t>
  </si>
  <si>
    <t xml:space="preserve">Share of cars on sale aged 15+, per 10% stronger market</t>
  </si>
  <si>
    <t xml:space="preserve">percentage points per 10%</t>
  </si>
  <si>
    <t xml:space="preserve">analysis/readiness_market_report.md</t>
  </si>
  <si>
    <t xml:space="preserve">Latvia, 52 monthly ss.com snapshots 2019-2023, 936,494 rows, over a window in which the index rises 71%. Linear trend and calendar-month effects removed. TWO READINGS, not separable here: a stronger market may pull older cars onto the market, or older cars may simply sell slower and pile up on display. lv_ss has no advert id, so this is the stock on sale, not the flow onto sale. Never present it as proof of the first reading. Our quality-adjusted index; Eurostat's official index gives +0.066, same sign.</t>
  </si>
  <si>
    <t xml:space="preserve">rd_market_median_km</t>
  </si>
  <si>
    <t xml:space="preserve">Median mileage on sale, per 10% stronger market</t>
  </si>
  <si>
    <t xml:space="preserve">km per 10%</t>
  </si>
  <si>
    <t xml:space="preserve">Latvia, 52 monthly ss.com snapshots 2019-2023, 936,494 rows, over a window in which the index rises 71%. Linear trend and calendar-month effects removed. TWO READINGS, not separable here: a stronger market may pull older cars onto the market, or older cars may simply sell slower and pile up on display. lv_ss has no advert id, so this is the stock on sale, not the flow onto sale. Never present it as proof of the first reading. Our index; Eurostat's gives +9,980 km, same sign.</t>
  </si>
  <si>
    <t xml:space="preserve">rd_market_median_age</t>
  </si>
  <si>
    <t xml:space="preserve">Median age on sale, per 10% stronger market</t>
  </si>
  <si>
    <t xml:space="preserve">years per 10%</t>
  </si>
  <si>
    <t xml:space="preserve">Latvia, 52 monthly ss.com snapshots 2019-2023, 936,494 rows, over a window in which the index rises 71%. Linear trend and calendar-month effects removed. TWO READINGS, not separable here: a stronger market may pull older cars onto the market, or older cars may simply sell slower and pile up on display. lv_ss has no advert id, so this is the stock on sale, not the flow onto sale. Never present it as proof of the first reading. Our index; Eurostat's gives +0.709 years, same sign. All eight measures across the two indices agree in sign.</t>
  </si>
  <si>
    <t xml:space="preserve">up_ct_top_decile</t>
  </si>
  <si>
    <t xml:space="preserve">Uplift in the top decile, class-transformation model</t>
  </si>
  <si>
    <t xml:space="preserve">analysis/uplift_engine_report.md</t>
  </si>
  <si>
    <t xml:space="preserve">MineThatData / Hillstrom 2008 e-mail trial, 64,000 customers, treatment randomised by the publisher, 32,103 held out. A 2008 CLOTHING RETAILER, not cars: no coefficient here transfers to an automotive book. Outcome is a website visit, not a purchase. Quoted only alongside up_response_top_decile: the uplift model does NOT beat the plain response model here.</t>
  </si>
  <si>
    <t xml:space="preserve">up_response_top_decile</t>
  </si>
  <si>
    <t xml:space="preserve">Uplift in the top decile, ordinary response model</t>
  </si>
  <si>
    <t xml:space="preserve">MineThatData / Hillstrom 2008 e-mail trial, 64,000 customers, treatment randomised by the publisher, 32,103 held out. A 2008 CLOTHING RETAILER, not cars: no coefficient here transfers to an automotive book. Outcome is a website visit, not a purchase. This is the baseline uplift modelling is meant to beat and does not beat here. The difference against the best uplift model is -0.14 points, range -3.36 to +2.88, which contains zero.</t>
  </si>
  <si>
    <t xml:space="preserve">up_random_top_decile</t>
  </si>
  <si>
    <t xml:space="preserve">Uplift in a random tenth, no model at all</t>
  </si>
  <si>
    <t xml:space="preserve">MineThatData / Hillstrom 2008 e-mail trial, 64,000 customers, treatment randomised by the publisher, 32,103 held out. A 2008 CLOTHING RETAILER, not cars: no coefficient here transfers to an automotive book. Outcome is a website visit, not a purchase. The floor. Modelling at all clearly beats this; which model is used does not separate.</t>
  </si>
  <si>
    <t xml:space="preserve">rd_nl_market_value</t>
  </si>
  <si>
    <t xml:space="preserve">Value of Dutch cars changing keeper in a year</t>
  </si>
  <si>
    <t xml:space="preserve">EUR billion a year</t>
  </si>
  <si>
    <t xml:space="preserve">analysis/readiness_value_report.md</t>
  </si>
  <si>
    <t xml:space="preserve">RDW register (cars and keeper-change rate, measured) times RDW's official catalogue price for the vintages still on the road times the measured Dutch value-retained curve. Dutch only; the project has measured three times that a shape travels and a level does not. Retention is measured on advert prices, so it inherits the advert-is-not-a-sale caveat. NOT the value-at-risk model: that prices what the group loses when a residual is wrong and its headline is unchanged at EUR 913m/EUR 1,460m. Do not add the two. </t>
  </si>
  <si>
    <t xml:space="preserve">rd_nl_market_value_group</t>
  </si>
  <si>
    <t xml:space="preserve">...of which the group's own brands</t>
  </si>
  <si>
    <t xml:space="preserve">RDW register (cars and keeper-change rate, measured) times RDW's official catalogue price for the vintages still on the road times the measured Dutch value-retained curve. Dutch only; the project has measured three times that a shape travels and a level does not. Retention is measured on advert prices, so it inherits the advert-is-not-a-sale caveat. NOT the value-at-risk model: that prices what the group loses when a residual is wrong and its headline is unchanged at EUR 913m/EUR 1,460m. Do not add the two. Cars and rate measured for the group's brands specifically; the price curve is the market's.</t>
  </si>
  <si>
    <t xml:space="preserve">rd_nl_wave_value</t>
  </si>
  <si>
    <t xml:space="preserve">Value in the replacement wave, ages four to six</t>
  </si>
  <si>
    <t xml:space="preserve">RDW register (cars and keeper-change rate, measured) times RDW's official catalogue price for the vintages still on the road times the measured Dutch value-retained curve. Dutch only; the project has measured three times that a shape travels and a level does not. Retention is measured on advert prices, so it inherits the advert-is-not-a-sale caveat. NOT the value-at-risk model: that prices what the group loses when a residual is wrong and its headline is unchanged at EUR 913m/EUR 1,460m. Do not add the two. 30% of the total on 226,347 cars: where a high hazard meets a car still worth something.</t>
  </si>
  <si>
    <t xml:space="preserve">rd_nl_value_advert_priced</t>
  </si>
  <si>
    <t xml:space="preserve">What pricing the same cars from our adverts would say</t>
  </si>
  <si>
    <t xml:space="preserve">DO NOT QUOTE AS A VALUE. Registered as the size of the error: our Dutch adverts are one premium dealer scrape whose median asking price is not monotone in age, and pricing the flow from them overstates it 2.4x against official catalogue prices. It is the measured reason the level comes from the register, not the listings.</t>
  </si>
  <si>
    <t xml:space="preserve">rd_mileage_exit_elasticity</t>
  </si>
  <si>
    <t xml:space="preserve">Fleet-exit hazard per doubling of cohort mileage</t>
  </si>
  <si>
    <t xml:space="preserve">times</t>
  </si>
  <si>
    <t xml:space="preserve">analysis/readiness_mileage_report.md</t>
  </si>
  <si>
    <t xml:space="preserve">UK DVSA anonymised MOT extracts, Open Government Licence v3.0, streamed not stored. Whole years of age on both sides (test or advert year minus year of first use). An MOT starts at three, so no car younger than that is seen. British: layer 1 is Dutch, and this layer is a shape, which the project has measured three times is the half that travels. Elasticity 0.626, standard error 0.026. Monotone across all ten deciles, 0.61x at the least-driven tenth to 1.78x at the most-driven.</t>
  </si>
  <si>
    <t xml:space="preserve">rd_mileage_market_elasticity</t>
  </si>
  <si>
    <t xml:space="preserve">Coming-to-market hazard per doubling of cohort mileage</t>
  </si>
  <si>
    <t xml:space="preserve">UK DVSA anonymised MOT extracts, Open Government Licence v3.0, streamed not stored. Whole years of age on both sides (test or advert year minus year of first use). An MOT starts at three, so no car younger than that is seen. British: layer 1 is Dutch, and this layer is a shape, which the project has measured three times is the half that travels. Elasticity 0.041, standard error 0.024 - no effect. And a single slope is the wrong summary: the profile is arched, both ends under-represented (0.85x least-driven, 0.84x most-driven) and the middle at 1.05x. THIS IS THE EVENT THE LEDGER CARES ABOUT, so layer 2 contributes almost nothing to a to-market hazard. Quote it with rd_mileage_exit_elasticity, never alone.</t>
  </si>
  <si>
    <t xml:space="preserve">rd_mot_id_cross_release</t>
  </si>
  <si>
    <t xml:space="preserve">Vehicle id identical across two releases of test year 2024</t>
  </si>
  <si>
    <t xml:space="preserve">share of shared tests</t>
  </si>
  <si>
    <t xml:space="preserve">analysis/readiness_mot_id_report.md</t>
  </si>
  <si>
    <t xml:space="preserve">UK DVSA anonymised MOT extracts, Open Government Licence v3.0. DVSA's user guide states the id is derived from the registration and the VIN; this is the measurement rather than the claim. It is what makes layer 2 possible at all. 202,060 tests present in both the May 2025 and the June 2026 release, built thirteen months apart by pipelines that format the odometer differently.</t>
  </si>
  <si>
    <t xml:space="preserve">rd_mot_id_make_model</t>
  </si>
  <si>
    <t xml:space="preserve">Make and model agree when a car is followed a year on</t>
  </si>
  <si>
    <t xml:space="preserve">share of followed cars</t>
  </si>
  <si>
    <t xml:space="preserve">UK DVSA anonymised MOT extracts, Open Government Licence v3.0. DVSA's user guide states the id is derived from the registration and the VIN; this is the measurement rather than the claim. It is what makes layer 2 possible at all. 249,716 January 2024 cars found again in January or February 2025. Quote it with rd_mot_id_chance or it means nothing.</t>
  </si>
  <si>
    <t xml:space="preserve">rd_mot_id_chance</t>
  </si>
  <si>
    <t xml:space="preserve">Make and model agreeing by chance</t>
  </si>
  <si>
    <t xml:space="preserve">share</t>
  </si>
  <si>
    <t xml:space="preserve">The null for rd_mot_id_make_model, from the sample's own make and model distribution. First-use date by chance is 0.0007. Ids are also sparse - a 303k sample spans 3,707 to 1,499,987,839 - so a coincidental collision is itself rare.</t>
  </si>
  <si>
    <t xml:space="preserve">rd_mot_odometer_monotone</t>
  </si>
  <si>
    <t xml:space="preserve">Followed cars whose odometer has not gone backwards</t>
  </si>
  <si>
    <t xml:space="preserve">UK DVSA anonymised MOT extracts, Open Government Licence v3.0. DVSA's user guide states the id is derived from the registration and the VIN; this is the measurement rather than the claim. It is what makes layer 2 possible at all. The 0.71% that fall are mis-keyed or rolled-back readings, which is why DfT's own note on MOT odometers cleans pairs before annualising. Not evidence against the id.</t>
  </si>
  <si>
    <t xml:space="preserve">rd_model_auc</t>
  </si>
  <si>
    <t xml:space="preserve">Learned readiness model, AUC on held-out cars</t>
  </si>
  <si>
    <t xml:space="preserve">AUC</t>
  </si>
  <si>
    <t xml:space="preserve">analysis/readiness_model_report.md</t>
  </si>
  <si>
    <t xml:space="preserve">UK MOT panel: 759,541 cars tested March 2024, followed to July 2025, 8.67% never tested again. A quarter sample by a mixing hash of the vehicle id (sampling the raw id gives old, worn-out cars). 30% held out on a fixed seed. PREDICTS A CAR LEAVING THE FLEET, NOT A CUSTOMER REPLACING IT: the MOT register has no keeper, no contract and no price. Well calibrated: predicted and actual agree within 0.3 points across all ten risk deciles. Now includes a tier of prior-year test history (the public stand-in for a service record), which took it from 0.712 to 0.723.</t>
  </si>
  <si>
    <t xml:space="preserve">rd_model_lift10</t>
  </si>
  <si>
    <t xml:space="preserve">Learned model, leavers in the top tenth against average</t>
  </si>
  <si>
    <t xml:space="preserve">UK MOT panel: 759,541 cars tested March 2024, followed to July 2025, 8.67% never tested again. A quarter sample by a mixing hash of the vehicle id (sampling the raw id gives old, worn-out cars). 30% held out on a fixed seed. PREDICTS A CAR LEAVING THE FLEET, NOT A CUSTOMER REPLACING IT: the MOT register has no keeper, no contract and no price. Against 2.86x for the two-layer engine: about 12% more leavers for the same number of calls. Was 3.20x before the history tier.</t>
  </si>
  <si>
    <t xml:space="preserve">rd_engine_auc</t>
  </si>
  <si>
    <t xml:space="preserve">The two-layer engine's AUC on the same cars</t>
  </si>
  <si>
    <t xml:space="preserve">UK MOT panel: 759,541 cars tested March 2024, followed to July 2025, 8.67% never tested again. A quarter sample by a mixing hash of the vehicle id (sampling the raw id gives old, worn-out cars). 30% held out on a fixed seed. PREDICTS A CAR LEAVING THE FLEET, NOT A CUSTOMER REPLACING IT: the MOT register has no keeper, no contract and no price. Age alone gives 0.664. Most of the gain is age and mileage; every other public field is worth a further +0.018. Quote with rd_model_auc or it overstates what a modelling programme buys.</t>
  </si>
  <si>
    <t xml:space="preserve">rd_model_net_auc</t>
  </si>
  <si>
    <t xml:space="preserve">A neural network on the same fields</t>
  </si>
  <si>
    <t xml:space="preserve">UK MOT panel: 759,541 cars tested March 2024, followed to July 2025, 8.67% never tested again. A quarter sample by a mixing hash of the vehicle id (sampling the raw id gives old, worn-out cars). 30% held out on a fixed seed. PREDICTS A CAR LEAVING THE FLEET, NOT A CUSTOMER REPLACING IT: the MOT register has no keeper, no contract and no price. Boosted trees beat it (0.712). Included because it is the first thing anyone asks; on a table of ten columns trees are the right tool and this is the measurement.</t>
  </si>
  <si>
    <t xml:space="preserve">rd_model_auc_young</t>
  </si>
  <si>
    <t xml:space="preserve">Learned model on cars aged three to six</t>
  </si>
  <si>
    <t xml:space="preserve">UK MOT panel: 759,541 cars tested March 2024, followed to July 2025, 8.67% never tested again. A quarter sample by a mixing hash of the vehicle id (sampling the raw id gives old, worn-out cars). 30% held out on a fixed seed. PREDICTS A CAR LEAVING THE FLEET, NOT A CUSTOMER REPLACING IT: the MOT register has no keeper, no contract and no price. The weakest slice, and the one a lease book is made of. Public data can see why an old car dies; it cannot see why a young one changes hands, because that is a contract date and an equity position. The engine is weakest exactly where the group's own data would be strongest. Was 0.604 before the history tier.</t>
  </si>
  <si>
    <t xml:space="preserve">rd_advert_auc_age</t>
  </si>
  <si>
    <t xml:space="preserve">Telling an advert from a car on the road, age only</t>
  </si>
  <si>
    <t xml:space="preserve">analysis/readiness_advert_model_report.md</t>
  </si>
  <si>
    <t xml:space="preserve">A classifier trained to tell 354,112 UK adverts of October 2022 from 3,095,658 MOT tests of the September-November parc - the density-ratio estimator done with a model. Both sides rounded to the nearest thousand miles first, because 30.9% of advert mileages are exact multiples of a thousand against 0.11% of MOT readings and the model would otherwise identify the file from the digits. </t>
  </si>
  <si>
    <t xml:space="preserve">rd_advert_auc_mileage</t>
  </si>
  <si>
    <t xml:space="preserve">...adding the odometer</t>
  </si>
  <si>
    <t xml:space="preserve">A classifier trained to tell 354,112 UK adverts of October 2022 from 3,095,658 MOT tests of the September-November parc - the density-ratio estimator done with a model. Both sides rounded to the nearest thousand miles first, because 30.9% of advert mileages are exact multiples of a thousand against 0.11% of MOT readings and the model would otherwise identify the file from the digits. Mileage is worth +0.009 over age. Confirms the 0.041 elasticity in readiness_mileage_report.md by a second method free to find any shape: mileage does not predict coming to market.</t>
  </si>
  <si>
    <t xml:space="preserve">rd_advert_auc_all</t>
  </si>
  <si>
    <t xml:space="preserve">...adding make and fuel</t>
  </si>
  <si>
    <t xml:space="preserve">A classifier trained to tell 354,112 UK adverts of October 2022 from 3,095,658 MOT tests of the September-November parc - the density-ratio estimator done with a model. Both sides rounded to the nearest thousand miles first, because 30.9% of advert mileages are exact multiples of a thousand against 0.11% of MOT readings and the model would otherwise identify the file from the digits. DO NOT READ THE +0.051 AS A REPLACEMENT SIGNAL. A density ratio over makes is only that if the adverts fairly sample the cars coming to market; they are one site's stock and its brand mix is not the fleet's. Where the outcome IS observed per car (rd_model_auc) make is worth +0.002, against +0.082 here - the gap is about the files.</t>
  </si>
  <si>
    <t xml:space="preserve">up_gap_vs_response</t>
  </si>
  <si>
    <t xml:space="preserve">Best uplift model against the ordinary response model, top decile</t>
  </si>
  <si>
    <t xml:space="preserve">MineThatData / Hillstrom 2008 e-mail trial, 64,000 customers, randomised by the publisher, 32,103 held out, 400-draw bootstrap. The range contains zero: uplift modelling does not beat a plain response model here. A 2008 clothing retailer and a website visit, not cars and not a purchase - no coefficient transfers. Quoted in section 7.4 of the solution document as the reason to measure before assuming.</t>
  </si>
  <si>
    <t xml:space="preserve">rd_model_within_age_auc</t>
  </si>
  <si>
    <t xml:space="preserve">Learned model, ranking cars of the SAME age</t>
  </si>
  <si>
    <t xml:space="preserve">The measure that matters for a call list, which is built from cars of similar age. Age alone scores 0.500 here by construction; mileage takes it to 0.618, what the car is to 0.643, and a year of history to 0.667. Global AUC understates what the extra fields buy because age already separates most pairs.</t>
  </si>
  <si>
    <t xml:space="preserve">rd_model_within_age_engine</t>
  </si>
  <si>
    <t xml:space="preserve">The two-layer engine, ranking cars of the same age</t>
  </si>
  <si>
    <t xml:space="preserve">Quote with rd_model_within_age_auc: within an age band the learned model is worth +0.049 over the engine, against +0.029 on global AUC. The extra fields matter more than a headline AUC suggests.</t>
  </si>
  <si>
    <t xml:space="preserve">rd_nl_make_spread</t>
  </si>
  <si>
    <t xml:space="preserve">Spread in keeper-change rate across makes at the peak age</t>
  </si>
  <si>
    <t xml:space="preserve">RDW register, 12 months to Sept 2026, cars first registered in NL when new, makes with at least 3,000 cars of the 2021 registration year - so every car compared is exactly five years old. A keeper change is not a sale to a new customer. This is the answer to 'so only age matters': at one age the makes differ by 60%. It is why the engine needs a layer beyond the age curve. Across all 24 makes with 3,000+ cars of that year; the deck figure shows the fifteen largest, where the spread is 1.60x (rd_nl_make15_spread).</t>
  </si>
  <si>
    <t xml:space="preserve">rd_nl_make_lo</t>
  </si>
  <si>
    <t xml:space="preserve">Lowest make at the peak age</t>
  </si>
  <si>
    <t xml:space="preserve">RDW register, 12 months to Sept 2026, cars first registered in NL when new, makes with at least 3,000 cars of the 2021 registration year - so every car compared is exactly five years old. A keeper change is not a sale to a new customer. </t>
  </si>
  <si>
    <t xml:space="preserve">rd_nl_make_hi</t>
  </si>
  <si>
    <t xml:space="preserve">Highest make at the peak age</t>
  </si>
  <si>
    <t xml:space="preserve">rd_nl_group_make_lo</t>
  </si>
  <si>
    <t xml:space="preserve">Group brands, lowest at the peak age</t>
  </si>
  <si>
    <t xml:space="preserve">RDW register, 12 months to Sept 2026, cars first registered in NL when new, makes with at least 3,000 cars of the 2021 registration year - so every car compared is exactly five years old. A keeper change is not a sale to a new customer. The group's own four brands differ from each other by 43% at one age.</t>
  </si>
  <si>
    <t xml:space="preserve">rd_nl_group_make_hi</t>
  </si>
  <si>
    <t xml:space="preserve">Group brands, highest at the peak age</t>
  </si>
  <si>
    <t xml:space="preserve">rd_nl_make15_spread</t>
  </si>
  <si>
    <t xml:space="preserve">Spread across the fifteen largest makes at the peak age</t>
  </si>
  <si>
    <t xml:space="preserve">The figure in Case4_Deck_Figure_AI_Alt_SameAge quotes this one, because fifteen rows is what the block has room for. Across all 24 qualifying makes it is 1.75x (rd_nl_make_spread). Same register, same age, same twelve months.</t>
  </si>
  <si>
    <t xml:space="preserve">Value at risk - summary</t>
  </si>
  <si>
    <t xml:space="preserve">EUR millions a year. Every cell is a formula over the Assumptions sheet; change an input there and this moves.</t>
  </si>
  <si>
    <t xml:space="preserve">base</t>
  </si>
  <si>
    <t xml:space="preserve">what drives it</t>
  </si>
  <si>
    <t xml:space="preserve">Leak 1 - incentives paid wrongly or needlessly</t>
  </si>
  <si>
    <t xml:space="preserve">all assumed; no total spend is disclosed</t>
  </si>
  <si>
    <t xml:space="preserve">Leak 2 - upgrade moments missed</t>
  </si>
  <si>
    <t xml:space="preserve">timing is measured, the euro conversion is assumed</t>
  </si>
  <si>
    <t xml:space="preserve">Leak 3 - residual value</t>
  </si>
  <si>
    <t xml:space="preserve">book due within a year disclosed, shocks measured</t>
  </si>
  <si>
    <t xml:space="preserve">Total value at risk a year</t>
  </si>
  <si>
    <t xml:space="preserve">Total under the stress level shock (-14.8%)</t>
  </si>
  <si>
    <t xml:space="preserve">worst twelve-month move in 26 EU markets since 2016</t>
  </si>
  <si>
    <t xml:space="preserve">How much of this is evidence?</t>
  </si>
  <si>
    <t xml:space="preserve">meaning</t>
  </si>
  <si>
    <t xml:space="preserve">Disclosed exposure, measured shocks (leak 3)</t>
  </si>
  <si>
    <t xml:space="preserve">our own analysis, on a disclosed exposure</t>
  </si>
  <si>
    <t xml:space="preserve">Measured timing, assumed conversion (leak 2)</t>
  </si>
  <si>
    <t xml:space="preserve">the window is measured; the euros are not</t>
  </si>
  <si>
    <t xml:space="preserve">Assumed throughout (leak 1)</t>
  </si>
  <si>
    <t xml:space="preserve">no disclosed spend to anchor on</t>
  </si>
  <si>
    <t xml:space="preserve">Read the split before the total. The residual-value figure rests on a number the group itself publishes and on shocks measured from official European price indices. The other two rest on assumptions that a pilot should replace.</t>
  </si>
  <si>
    <t xml:space="preserve">One input at a time</t>
  </si>
  <si>
    <t xml:space="preserve">input</t>
  </si>
  <si>
    <t xml:space="preserve">at its low</t>
  </si>
  <si>
    <t xml:space="preserve">at its high</t>
  </si>
  <si>
    <t xml:space="preserve">swing</t>
  </si>
  <si>
    <t xml:space="preserve">Only assumed inputs are varied here. The measured ones have ranges too - they are on the Assumptions sheet - but varying them would answer a different question: this table asks how much of the answer rests on judgement.</t>
  </si>
  <si>
    <t xml:space="preserve">Leak 1: the spend nobody can see</t>
  </si>
  <si>
    <t xml:space="preserve">Every figure on this sheet is an ASSUMPTION or a SOURCED benchmark. There is no measured input here, because the group does not disclose a total incentive spend - its own 20-F records sales incentives as a critical estimate reviewed monthly, with no total given. Say this out loud rather than hiding it: it is the reason the ledger has to be built.</t>
  </si>
  <si>
    <t xml:space="preserve">EUR millions a year, Enlarged Europe</t>
  </si>
  <si>
    <t xml:space="preserve">Incentive spend (assumed share of European revenue)</t>
  </si>
  <si>
    <t xml:space="preserve">eu_revenue_eur_m x incentive_pct_revenue</t>
  </si>
  <si>
    <t xml:space="preserve">    Claims paid twice, wrongly or too late</t>
  </si>
  <si>
    <t xml:space="preserve">    Incentives paid on sales that would have happened anyway</t>
  </si>
  <si>
    <t xml:space="preserve">Value at risk, leak 1</t>
  </si>
  <si>
    <t xml:space="preserve">Of which a controls layer actually recovers</t>
  </si>
  <si>
    <t xml:space="preserve">leakage that exists is not leakage you can recover</t>
  </si>
  <si>
    <t xml:space="preserve">Not sized here, on purpose</t>
  </si>
  <si>
    <t xml:space="preserve">Pass-through leakage - money meant for the buyer that the dealer keeps - is real and measured in the literature (buyers receive 70-90% of a customer rebate but only 30-40% of a dealer discount, Busse et al. 2006, US data). It is not converted into euros here because that would need a second assumption about how the group's spend splits between the two kinds of programme. The ledger measures it per programme instead of assuming it.</t>
  </si>
  <si>
    <t xml:space="preserve">Leak 2: the moment nobody catches</t>
  </si>
  <si>
    <t xml:space="preserve">The upgrade moment is when the car is worth more than the balance still owed on it. Both sides are held as a share of the list price, so no currency or exchange rate enters. The value curve is the measured UK retained-value curve from the 2018 adverts, before the shortage; the balance is a straight amortising contract.</t>
  </si>
  <si>
    <t xml:space="preserve">Measured value curve (share of list price)</t>
  </si>
  <si>
    <t xml:space="preserve">retained</t>
  </si>
  <si>
    <t xml:space="preserve">&lt;- analysis/value_retained_report.md (UK 2018 adverts; entry-trim caveat applies; October 2022 ran 24 points higher at three years)</t>
  </si>
  <si>
    <t xml:space="preserve">Contract</t>
  </si>
  <si>
    <t xml:space="preserve">deposit, % of list</t>
  </si>
  <si>
    <t xml:space="preserve">term, months</t>
  </si>
  <si>
    <t xml:space="preserve">interest rate, % a year</t>
  </si>
  <si>
    <t xml:space="preserve">amount financed, % of list</t>
  </si>
  <si>
    <t xml:space="preserve">no discount assumed, so this is the conservative case</t>
  </si>
  <si>
    <t xml:space="preserve">The trigger is not simply positive equity. On a 48-month contract the balance falls faster than the car does, so the customer is above water almost at once. The moment that matters commercially is when the car's equity covers the deposit on the next one, which is the line used below.</t>
  </si>
  <si>
    <t xml:space="preserve">month</t>
  </si>
  <si>
    <t xml:space="preserve">balance owed</t>
  </si>
  <si>
    <t xml:space="preserve">car value, level as measured</t>
  </si>
  <si>
    <t xml:space="preserve">equity</t>
  </si>
  <si>
    <t xml:space="preserve">car value, level -7.7% (p10)</t>
  </si>
  <si>
    <t xml:space="preserve">equity at -7.7%</t>
  </si>
  <si>
    <t xml:space="preserve">car value, level -27.0% (worst)</t>
  </si>
  <si>
    <t xml:space="preserve">equity at -27.0%</t>
  </si>
  <si>
    <t xml:space="preserve">Equity covers the next deposit from month (searched from month 12)</t>
  </si>
  <si>
    <t xml:space="preserve">level as measured</t>
  </si>
  <si>
    <t xml:space="preserve">level -7.7%</t>
  </si>
  <si>
    <t xml:space="preserve">level -27.0%</t>
  </si>
  <si>
    <t xml:space="preserve">A fall in the market level pushes the upgrade window months later, and a rise pulls it forward. That shift is the measured part of this leak: it comes from the value curve and the level moves, not from judgement. Turning it into euros needs the three assumptions below, and those should be replaced by a randomised pilot rather than defended. The window is searched from month 12 because the value curve is measured from one year onward; the first twelve months are drawn toward the list price by definition, which would put equity equal to the deposit at month 0.</t>
  </si>
  <si>
    <t xml:space="preserve">EUR millions a year</t>
  </si>
  <si>
    <t xml:space="preserve">Contracts financed or leased through the group</t>
  </si>
  <si>
    <t xml:space="preserve">eu_shipments x finance_penetration</t>
  </si>
  <si>
    <t xml:space="preserve">    Extra customers retained by contacting them at the right moment</t>
  </si>
  <si>
    <t xml:space="preserve">Value at risk, leak 2</t>
  </si>
  <si>
    <t xml:space="preserve">x margin_per_repeat_sale</t>
  </si>
  <si>
    <t xml:space="preserve">Leak 3: the value nobody recovers</t>
  </si>
  <si>
    <t xml:space="preserve">This is the leak the evidence actually reaches, and it is a yearly figure like the other two. The exposure is the part of the group's disclosed buy-back book that comes back within twelve months; the shocks are measured, not assumed.</t>
  </si>
  <si>
    <t xml:space="preserve">Payables for buy-back agreements, the whole book</t>
  </si>
  <si>
    <t xml:space="preserve">Stellantis 20-F FY2025, Note 24</t>
  </si>
  <si>
    <t xml:space="preserve">Exposure a year: the part due within one year</t>
  </si>
  <si>
    <t xml:space="preserve">Note 24, current column; the rest is counted in the year it falls due</t>
  </si>
  <si>
    <t xml:space="preserve">Market level over the next twelve months</t>
  </si>
  <si>
    <t xml:space="preserve">    Base: a bad year in the group's largest EU markets (p10, -4.5%)</t>
  </si>
  <si>
    <t xml:space="preserve">    Wider: p10 across all 26 EU markets (-6.3%)</t>
  </si>
  <si>
    <t xml:space="preserve">    Stress: the worst twelve-month move observed (-14.8%)</t>
  </si>
  <si>
    <t xml:space="preserve">The car itself over one year - what a value model can fix</t>
  </si>
  <si>
    <t xml:space="preserve">    Curve error on the part of the book with its own history</t>
  </si>
  <si>
    <t xml:space="preserve">half of a 1.0-point p10-p90 spread, on 90.8 retained: centre to p10</t>
  </si>
  <si>
    <t xml:space="preserve">    Curve error on the thin slice (new brands, new markets, electrified lines)</t>
  </si>
  <si>
    <t xml:space="preserve">half of a 5.1-point 80% interval; thin_share_of_book is the one assumption here</t>
  </si>
  <si>
    <t xml:space="preserve">Value at risk, leak 3 a year (base level shock)</t>
  </si>
  <si>
    <t xml:space="preserve">level and curve downsides added: both going wrong at once, not a joint p10</t>
  </si>
  <si>
    <t xml:space="preserve">Value at risk, leak 3 a year (stress level shock)</t>
  </si>
  <si>
    <t xml:space="preserve">Reality check: what the group actually booked</t>
  </si>
  <si>
    <t xml:space="preserve">    Decrease in value on assets sold with a buy-back commitment, 2023</t>
  </si>
  <si>
    <t xml:space="preserve">    Decrease in value on assets sold with a buy-back commitment, 2024</t>
  </si>
  <si>
    <t xml:space="preserve">    Decrease in value on assets sold with a buy-back commitment, 2025</t>
  </si>
  <si>
    <t xml:space="preserve">contracts of 12 months or less only</t>
  </si>
  <si>
    <t xml:space="preserve">Compare these with the yearly rows above. The booked charge covers only the short contracts and has been rising fast; where it sits above the index-based base, that is the limit level_risk_report.md already states - official price indices may understate the moves, and the 20-F says electrified residuals carry extra uncertainty. Read the base as a floor.</t>
  </si>
  <si>
    <t xml:space="preserve">For context: the whole book over a three-year lease (not a yearly figure)</t>
  </si>
  <si>
    <t xml:space="preserve">    Base: a bad three years in the largest EU markets (p10, -7.7%)</t>
  </si>
  <si>
    <t xml:space="preserve">level plus curve over 36 months, on all 7,889m</t>
  </si>
  <si>
    <t xml:space="preserve">    Stress: the worst three-year move observed (-27.0%)</t>
  </si>
  <si>
    <t xml:space="preserve">What the programme actually buys</t>
  </si>
  <si>
    <t xml:space="preserve">    Pooling the group's markets, on the thin slice only, a year</t>
  </si>
  <si>
    <t xml:space="preserve">lodo_report.md: 4.3% error cut at 100 local cars, 0.2% by 250</t>
  </si>
  <si>
    <t xml:space="preserve">    Re-marking monthly instead of quarterly</t>
  </si>
  <si>
    <t xml:space="preserve">exposure carried unseen between reviews on the whole book, not a loss avoided</t>
  </si>
  <si>
    <t xml:space="preserve">The level shock is not something the programme removes. No model forecasts the market level; the ledger's job there is to price it into the decision and re-mark it often. What the programme does remove is a share of the curve error, and it does that exactly where the book is thin - which is the part of the book the group's own 20-F says is growing.</t>
  </si>
  <si>
    <t xml:space="preserve">One car, and the book divided by it</t>
  </si>
  <si>
    <t xml:space="preserve">Lifetime profit and loss, euros for one car</t>
  </si>
  <si>
    <t xml:space="preserve">The worked example is a Vauxhall Corsa, entry trim, on a 48-month contract. Every line below is an ASSUMPTION with a stated basis and a range on the Assumptions sheet, except the list price and the two residual downsides, which are measured. A contribution figure, not an operating result.</t>
  </si>
  <si>
    <t xml:space="preserve">List price when new</t>
  </si>
  <si>
    <t xml:space="preserve">MEASURED - one_car_report.md</t>
  </si>
  <si>
    <t xml:space="preserve">    Sale margin</t>
  </si>
  <si>
    <t xml:space="preserve">share of list; bracketed by the group's own gross margin</t>
  </si>
  <si>
    <t xml:space="preserve">    less incentives</t>
  </si>
  <si>
    <t xml:space="preserve">the same rate leak 1 uses, on a different base</t>
  </si>
  <si>
    <t xml:space="preserve">    plus finance income</t>
  </si>
  <si>
    <t xml:space="preserve">net of rate support, an internal transfer</t>
  </si>
  <si>
    <t xml:space="preserve">    less credit losses</t>
  </si>
  <si>
    <t xml:space="preserve">a European captive's published cost of risk</t>
  </si>
  <si>
    <t xml:space="preserve">    plus service and parts margin</t>
  </si>
  <si>
    <t xml:space="preserve">    less warranty cost</t>
  </si>
  <si>
    <t xml:space="preserve">share of list; bracketed by published accrual rates</t>
  </si>
  <si>
    <t xml:space="preserve">    Residual outcome, central case</t>
  </si>
  <si>
    <t xml:space="preserve">realised resale equals the contractual residual, so nothing here</t>
  </si>
  <si>
    <t xml:space="preserve">    less reconditioning, logistics and holding</t>
  </si>
  <si>
    <t xml:space="preserve">    plus remarketing margin</t>
  </si>
  <si>
    <t xml:space="preserve">Lifetime value per car</t>
  </si>
  <si>
    <t xml:space="preserve">    Residual downside - market level, p10 in the core markets</t>
  </si>
  <si>
    <t xml:space="preserve">MEASURED - the residual set at signing, times a bad three years</t>
  </si>
  <si>
    <t xml:space="preserve">    Residual downside - curve error</t>
  </si>
  <si>
    <t xml:space="preserve">MEASURED - points of list price</t>
  </si>
  <si>
    <t xml:space="preserve">Lifetime value in a bad market</t>
  </si>
  <si>
    <t xml:space="preserve">The book divided by the cars in it, euros a vehicle</t>
  </si>
  <si>
    <t xml:space="preserve">Enlarged Europe net revenue per vehicle, 2025</t>
  </si>
  <si>
    <t xml:space="preserve">Operating result per vehicle, 2024</t>
  </si>
  <si>
    <t xml:space="preserve">Operating result per vehicle, 2025</t>
  </si>
  <si>
    <t xml:space="preserve">Swing between the two years</t>
  </si>
  <si>
    <t xml:space="preserve">what one bad year cost, per vehicle</t>
  </si>
  <si>
    <t xml:space="preserve">    Leak 1 at risk per vehicle</t>
  </si>
  <si>
    <t xml:space="preserve">    Leak 2 at risk per vehicle</t>
  </si>
  <si>
    <t xml:space="preserve">    Leak 3 at risk per vehicle</t>
  </si>
  <si>
    <t xml:space="preserve">Total at risk per vehicle</t>
  </si>
  <si>
    <t xml:space="preserve">In the worst year on record</t>
  </si>
  <si>
    <t xml:space="preserve">Leakage against the 2025 result per vehicle</t>
  </si>
  <si>
    <t xml:space="preserve">the leakage is this many times the loss the group reported per vehicle</t>
  </si>
  <si>
    <t xml:space="preserve">What the programme has to capture to pay for itself</t>
  </si>
  <si>
    <t xml:space="preserve">Programme cost over 24 months, EUR m</t>
  </si>
  <si>
    <t xml:space="preserve">people, platform and data, change and training - all ASSUMPTION</t>
  </si>
  <si>
    <t xml:space="preserve">Value at risk a year, EUR m</t>
  </si>
  <si>
    <t xml:space="preserve">Share of it the programme must capture to break even</t>
  </si>
  <si>
    <t xml:space="preserve">Why a better model cannot shrink the book's risk</t>
  </si>
  <si>
    <t xml:space="preserve">Per-car errors are roughly independent, so they average away as one over the square root of the number of cars. A level move is common to every car and does not average away at all.</t>
  </si>
  <si>
    <t xml:space="preserve">cars in the book</t>
  </si>
  <si>
    <t xml:space="preserve">average per-car model error, %</t>
  </si>
  <si>
    <t xml:space="preserve">market level move over 3 years, points of list</t>
  </si>
  <si>
    <t xml:space="preserve">What a discount at the new sale costs when the car comes back</t>
  </si>
  <si>
    <t xml:space="preserve">Not a fourth leak. These euros are already counted - in leak 1 as spend and in leak 3 as residual exposure - and are cut here by cause instead of by business. The point of the cut is that this part is the group's own decision, and the market level is not.</t>
  </si>
  <si>
    <t xml:space="preserve">The two estimates, and what they rest on</t>
  </si>
  <si>
    <t xml:space="preserve">    Share of a deeper deal still there at resale, measured</t>
  </si>
  <si>
    <t xml:space="preserve">MEASURED - 35,552 resales of cars also seen at their own new sale. An upper bound: no trim field</t>
  </si>
  <si>
    <t xml:space="preserve">    Published: % of residual lost at 36 months, per 10% discount</t>
  </si>
  <si>
    <t xml:space="preserve">SOURCED - Holweg and Kattuman, UK auction prices 1999-2004</t>
  </si>
  <si>
    <t xml:space="preserve">    Published: the same in the same month, per 10% discount</t>
  </si>
  <si>
    <t xml:space="preserve">SOURCED - the smaller, substitution channel</t>
  </si>
  <si>
    <t xml:space="preserve">    Discount assumed given, % of list</t>
  </si>
  <si>
    <t xml:space="preserve">ASSUMPTION - the rate leak 1 uses, on list price</t>
  </si>
  <si>
    <t xml:space="preserve">One car, euros</t>
  </si>
  <si>
    <t xml:space="preserve">    List price when new</t>
  </si>
  <si>
    <t xml:space="preserve">    Incentive given at the new sale</t>
  </si>
  <si>
    <t xml:space="preserve">    Residual value when it comes back</t>
  </si>
  <si>
    <t xml:space="preserve">the contractual residual on a 48-month contract</t>
  </si>
  <si>
    <t xml:space="preserve">    Share of that residual lost, measured (low)</t>
  </si>
  <si>
    <t xml:space="preserve">    Share of that residual lost, published (high)</t>
  </si>
  <si>
    <t xml:space="preserve">    Residual lost to the discount, low</t>
  </si>
  <si>
    <t xml:space="preserve">    Residual lost to the discount, high</t>
  </si>
  <si>
    <t xml:space="preserve">Cost at resale per euro of incentive given, low</t>
  </si>
  <si>
    <t xml:space="preserve">every euro handed over at the new sale costs this much again at resale</t>
  </si>
  <si>
    <t xml:space="preserve">Cost at resale per euro of incentive given, high</t>
  </si>
  <si>
    <t xml:space="preserve">The book, EUR millions a year</t>
  </si>
  <si>
    <t xml:space="preserve">    Buy-back residual falling due within a year</t>
  </si>
  <si>
    <t xml:space="preserve">SOURCED - the current portion of the buy-back payables, the same base leak 3 uses</t>
  </si>
  <si>
    <t xml:space="preserve">    Of that, traceable to our own prior discounting - low</t>
  </si>
  <si>
    <t xml:space="preserve">    Of that, traceable to our own prior discounting - high</t>
  </si>
  <si>
    <t xml:space="preserve">How to read this sheet</t>
  </si>
  <si>
    <t xml:space="preserve">- The headline on the Summary sheet does not change. Nothing here is added to it.</t>
  </si>
  <si>
    <t xml:space="preserve">- The low end is measured per car on US electric and plug-in vehicles and is an upper bound in its own terms, because the source has no trim field and part of a cheap new price is a cheaper car. The high end is published, specification-normalised, and from UK auctions in 1999-2004. Quote the range, never one end.</t>
  </si>
  <si>
    <t xml:space="preserve">- The published coefficient is for a 36-month residual and is applied here to a 48-month contract.</t>
  </si>
  <si>
    <t xml:space="preserve">- A market-level pass-through could not be measured at all: see part 3 of analysis/discount_passthrough_report.md, where 27 European markets over ten years give nothing after the price move and more before it.</t>
  </si>
  <si>
    <t xml:space="preserve">- This is the line that joins leak 1 to leak 3. It is also the only line in the model the group can move by deciding to, which is why it belongs in the pitch.</t>
  </si>
  <si>
    <t xml:space="preserve">Where every figure comes from</t>
  </si>
  <si>
    <t xml:space="preserve">One row per input, in the order the model uses them.</t>
  </si>
  <si>
    <t xml:space="preserve">Busse, Silva-Risso &amp; Zettelmeyer, $1,000 Cash Back, American Economic Review 2006  https://www.aeaweb.org/articles?id=10.1257/aer.96.4.1253</t>
  </si>
  <si>
    <t xml:space="preserve">Stellantis FY2025 results press release (SEC-filed)  https://www.sec.gov/Archives/edgar/data/1605484/000160548426000019/stellantisnvfy2025pressrel.htm</t>
  </si>
  <si>
    <t xml:space="preserve">Stellantis Form 20-F FY2025: sales incentives are a critical estimate; "estimated incentive rates are reviewed monthly"  https://www.sec.gov/Archives/edgar/data/1605484/000160548426000021/stellantis-20251231.htm</t>
  </si>
  <si>
    <t xml:space="preserve">Stellantis Form 20-F FY2025 Note 24 Other liabilities, current column  https://www.sec.gov/Archives/edgar/data/1605484/000160548426000021/stellantis-20251231.htm</t>
  </si>
  <si>
    <t xml:space="preserve">Stellantis Form 20-F FY2025 Note 24 Other liabilities  https://www.sec.gov/Archives/edgar/data/1605484/000160548426000021/stellantis-20251231.htm</t>
  </si>
  <si>
    <t xml:space="preserve">Holweg M. and Kattuman P., 'A dynamic determination of the residual product value: empirical evidence from the automotive industry', POMS conference paper 004-0144, Table 5 and section 4.3  https://pomsmeetings.org/confpapers/004/004-0144.pdf</t>
  </si>
  <si>
    <t xml:space="preserve">Stellantis Form 20-F FY2025: "Residual values for LEVs are subject to greater uncertainty than for ICE vehicles, due to limited historical resale data"  https://www.sec.gov/Archives/edgar/data/1605484/000160548426000021/stellantis-20251231.htm</t>
  </si>
  <si>
    <t xml:space="preserve">ONS CPI 07.1.1B second-hand cars (series D7E9) via data/reference/price_indices.parquet  https://www.ons.gov.uk/economy/inflationandpriceindices</t>
  </si>
  <si>
    <t xml:space="preserve">Stellantis Form 20-F FY2025: "Expected residual values are analyzed quarterly and depreciation rates are adjusted accordingly"  https://www.sec.gov/Archives/edgar/data/1605484/000160548426000021/stellantis-20251231.htm</t>
  </si>
  <si>
    <t xml:space="preserve">Stellantis Form 20-F FY2025 consolidated balance sheet  https://www.sec.gov/Archives/edgar/data/1605484/000160548426000021/stellantis-20251231.htm</t>
  </si>
  <si>
    <t xml:space="preserve">Stellantis Form 20-F FY2025, revenue recognition: "recorded within Assets sold with a buy-back commitment if the contract term is 12 months or less, and recorded in Property, plant and equipment if the contract term is greater than 12 months"  https://www.sec.gov/Archives/edgar/data/1605484/000160548426000021/stellantis-20251231.htm</t>
  </si>
  <si>
    <t xml:space="preserve">Stellantis Form 20-F FY2025, cost of revenues (same sentence)  https://www.sec.gov/Archives/edgar/data/1605484/000160548426000021/stellantis-20251231.htm</t>
  </si>
  <si>
    <t xml:space="preserve">Stellantis Form 20-F FY2025, cost of revenues: "EUR 358 million, EUR 179 million and EUR 82 million related to the decrease in value for assets sold with buy-back commitments" (2025, 2024, 2023)  https://www.sec.gov/Archives/edgar/data/1605484/000160548426000021/stellantis-20251231.htm</t>
  </si>
  <si>
    <t xml:space="preserve">Stellantis FY2025 results press release (SEC-filed), results by segment  https://www.sec.gov/Archives/edgar/data/1605484/000160548426000019/stellantisnvfy2025pressrel.htm</t>
  </si>
  <si>
    <t xml:space="preserve">BOVAG and RDC, 'Recordjaar 2025: verkoop gebruikte auto's stijgt naar 2,1 miljoen'  https://www.bovag.nl/pers/persberichten/recordjaar-2025-verkoop-gebruikte-auto-s-stijgt-naar-2-1-miljoen</t>
  </si>
  <si>
    <t xml:space="preserve">Stellantis Form 20-F FY2025: "Third party estimates are utilized in conjunction with proprietary modelling"  https://www.sec.gov/Archives/edgar/data/1605484/000160548426000021/stellantis-20251231.htm</t>
  </si>
  <si>
    <t xml:space="preserve">Our estimate, from published European captive cost of risk  https://www.mobilize-fs.com/en/news/2025-annual-results-new-year-growth-mobilize-financial-services</t>
  </si>
  <si>
    <t xml:space="preserve">Our estimate, bracketed by a European captive's net banking income  https://www.mobilize-fs.com/en/news/2025-annual-results-new-year-growth-mobilize-financial-services</t>
  </si>
  <si>
    <t xml:space="preserve">Our estimate, against published reconditioning costs  https://www.nerdwallet.com/auto-loans/learn/what-is-a-reconditioning-fee-on-a-used-car</t>
  </si>
  <si>
    <t xml:space="preserve">Our estimate, against an independent retailer's used margin  https://www.investegate.co.uk/announcement/rns/vertu-motors--vtu/final-results-for-the-year-ended-28-february-2026/9565100</t>
  </si>
  <si>
    <t xml:space="preserve">Our estimate, bracketed by the group's own gross margin  https://www.stellantis.com/content/dam/stellantis-corporate/investors/financial-reports/Stellantis-NV-20251231-Annual-Report.pdf</t>
  </si>
  <si>
    <t xml:space="preserve">Our estimate; no source divides aftersales profit by cars on the road  https://www.investegate.co.uk/announcement/rns/vertu-motors--vtu/final-results-for-the-year-ended-28-february-2026/9565100</t>
  </si>
  <si>
    <t xml:space="preserve">Our estimate, bracketed by published warranty accrual rates  https://www.warrantyweek.com/archive/ww20260312.html</t>
  </si>
</sst>
</file>

<file path=xl/styles.xml><?xml version="1.0" encoding="utf-8"?>
<styleSheet xmlns="http://schemas.openxmlformats.org/spreadsheetml/2006/main">
  <numFmts count="7">
    <numFmt numFmtId="164" formatCode="General"/>
    <numFmt numFmtId="165" formatCode="#,##0;[RED]\-#,##0"/>
    <numFmt numFmtId="166" formatCode="0%"/>
    <numFmt numFmtId="167" formatCode="0.0"/>
    <numFmt numFmtId="168" formatCode="#,##0"/>
    <numFmt numFmtId="169" formatCode="0.0%"/>
    <numFmt numFmtId="170" formatCode="0.00"/>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b val="true"/>
      <sz val="11"/>
      <name val="Cambria"/>
      <family val="0"/>
      <charset val="1"/>
    </font>
    <font>
      <b val="true"/>
      <sz val="11"/>
      <color rgb="FFFFFFFF"/>
      <name val="Cambria"/>
      <family val="0"/>
      <charset val="1"/>
    </font>
    <font>
      <i val="true"/>
      <sz val="9"/>
      <color rgb="FF595959"/>
      <name val="Cambria"/>
      <family val="0"/>
      <charset val="1"/>
    </font>
    <font>
      <sz val="11"/>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DCE4F2"/>
        <bgColor rgb="FFEAE0F0"/>
      </patternFill>
    </fill>
    <fill>
      <patternFill patternType="solid">
        <fgColor rgb="FFD6E9D6"/>
        <bgColor rgb="FFDCE4F2"/>
      </patternFill>
    </fill>
    <fill>
      <patternFill patternType="solid">
        <fgColor rgb="FFFBE6CC"/>
        <bgColor rgb="FFEAE0F0"/>
      </patternFill>
    </fill>
    <fill>
      <patternFill patternType="solid">
        <fgColor rgb="FFEAE0F0"/>
        <bgColor rgb="FFDCE4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false" indent="0" shrinkToFit="false"/>
      <protection locked="true" hidden="false"/>
    </xf>
    <xf numFmtId="164" fontId="0"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true" applyBorder="true" applyAlignment="true" applyProtection="false">
      <alignment horizontal="general" vertical="top" textRotation="0" wrapText="false" indent="0" shrinkToFit="false"/>
      <protection locked="true" hidden="false"/>
    </xf>
    <xf numFmtId="164" fontId="0" fillId="6"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BE6CC"/>
      <rgbColor rgb="FFEAE0F0"/>
      <rgbColor rgb="FF660066"/>
      <rgbColor rgb="FFFF8080"/>
      <rgbColor rgb="FF0066CC"/>
      <rgbColor rgb="FFDCE4F2"/>
      <rgbColor rgb="FF000080"/>
      <rgbColor rgb="FFFF00FF"/>
      <rgbColor rgb="FFFFFF00"/>
      <rgbColor rgb="FF00FFFF"/>
      <rgbColor rgb="FF800080"/>
      <rgbColor rgb="FF800000"/>
      <rgbColor rgb="FF008080"/>
      <rgbColor rgb="FF0000FF"/>
      <rgbColor rgb="FF00CCFF"/>
      <rgbColor rgb="FFCCFFFF"/>
      <rgbColor rgb="FFD6E9D6"/>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2"/>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45.75" hidden="false" customHeight="tru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45.75" hidden="false" customHeight="true" outlineLevel="0" collapsed="false">
      <c r="A7" s="2" t="s">
        <v>4</v>
      </c>
    </row>
    <row r="8" customFormat="false" ht="15" hidden="false" customHeight="false" outlineLevel="0" collapsed="false">
      <c r="A8" s="2"/>
    </row>
    <row r="9" customFormat="false" ht="15" hidden="false" customHeight="false" outlineLevel="0" collapsed="false">
      <c r="A9" s="3" t="s">
        <v>5</v>
      </c>
    </row>
    <row r="10" customFormat="false" ht="45.75" hidden="false" customHeight="true" outlineLevel="0" collapsed="false">
      <c r="A10" s="2" t="s">
        <v>6</v>
      </c>
    </row>
    <row r="11" customFormat="false" ht="45.75" hidden="false" customHeight="true" outlineLevel="0" collapsed="false">
      <c r="A11" s="2" t="s">
        <v>7</v>
      </c>
    </row>
    <row r="12" customFormat="false" ht="45.75" hidden="false" customHeight="true" outlineLevel="0" collapsed="false">
      <c r="A12" s="2" t="s">
        <v>8</v>
      </c>
    </row>
    <row r="13" customFormat="false" ht="45.75" hidden="false" customHeight="true" outlineLevel="0" collapsed="false">
      <c r="A13" s="2" t="s">
        <v>9</v>
      </c>
    </row>
    <row r="14" customFormat="false" ht="15" hidden="false" customHeight="false" outlineLevel="0" collapsed="false">
      <c r="A14" s="2"/>
    </row>
    <row r="15" customFormat="false" ht="15" hidden="false" customHeight="false" outlineLevel="0" collapsed="false">
      <c r="A15" s="3" t="s">
        <v>10</v>
      </c>
    </row>
    <row r="16" customFormat="false" ht="45.75" hidden="false" customHeight="true" outlineLevel="0" collapsed="false">
      <c r="A16" s="2" t="s">
        <v>11</v>
      </c>
    </row>
    <row r="17" customFormat="false" ht="15" hidden="false" customHeight="false" outlineLevel="0" collapsed="false">
      <c r="A17" s="2"/>
    </row>
    <row r="18" customFormat="false" ht="15" hidden="false" customHeight="false" outlineLevel="0" collapsed="false">
      <c r="A18" s="3" t="s">
        <v>12</v>
      </c>
    </row>
    <row r="19" customFormat="false" ht="45.75" hidden="false" customHeight="true" outlineLevel="0" collapsed="false">
      <c r="A19" s="2" t="s">
        <v>13</v>
      </c>
    </row>
    <row r="20" customFormat="false" ht="15" hidden="false" customHeight="false" outlineLevel="0" collapsed="false">
      <c r="A20" s="2"/>
    </row>
    <row r="21" customFormat="false" ht="15" hidden="false" customHeight="false" outlineLevel="0" collapsed="false">
      <c r="A21" s="3" t="s">
        <v>14</v>
      </c>
    </row>
    <row r="22" customFormat="false" ht="45.75" hidden="false" customHeight="true" outlineLevel="0" collapsed="false">
      <c r="A22" s="2" t="s">
        <v>15</v>
      </c>
    </row>
    <row r="23" customFormat="false" ht="45.75" hidden="false" customHeight="true" outlineLevel="0" collapsed="false">
      <c r="A23" s="2" t="s">
        <v>16</v>
      </c>
    </row>
    <row r="24" customFormat="false" ht="15" hidden="false" customHeight="false" outlineLevel="0" collapsed="false">
      <c r="A24" s="2"/>
    </row>
    <row r="25" customFormat="false" ht="15" hidden="false" customHeight="false" outlineLevel="0" collapsed="false">
      <c r="A25" s="3" t="s">
        <v>17</v>
      </c>
    </row>
    <row r="26" customFormat="false" ht="45.75" hidden="false" customHeight="true" outlineLevel="0" collapsed="false">
      <c r="A26" s="2" t="s">
        <v>18</v>
      </c>
    </row>
    <row r="27" customFormat="false" ht="45.75" hidden="false" customHeight="true" outlineLevel="0" collapsed="false">
      <c r="A27" s="2" t="s">
        <v>19</v>
      </c>
    </row>
    <row r="28" customFormat="false" ht="15" hidden="false" customHeight="false" outlineLevel="0" collapsed="false">
      <c r="A28" s="2"/>
    </row>
    <row r="29" customFormat="false" ht="15" hidden="false" customHeight="false" outlineLevel="0" collapsed="false">
      <c r="A29" s="3" t="s">
        <v>20</v>
      </c>
    </row>
    <row r="30" customFormat="false" ht="45.75" hidden="false" customHeight="true" outlineLevel="0" collapsed="false">
      <c r="A30" s="2" t="s">
        <v>21</v>
      </c>
    </row>
    <row r="31" customFormat="false" ht="15" hidden="false" customHeight="false" outlineLevel="0" collapsed="false">
      <c r="A31" s="2"/>
    </row>
    <row r="32" customFormat="false" ht="15" hidden="false" customHeight="false" outlineLevel="0" collapsed="false">
      <c r="A32" s="3" t="s">
        <v>22</v>
      </c>
    </row>
    <row r="33" customFormat="false" ht="15" hidden="false" customHeight="false" outlineLevel="0" collapsed="false">
      <c r="A33" s="2" t="s">
        <v>23</v>
      </c>
    </row>
    <row r="34" customFormat="false" ht="15" hidden="false" customHeight="false" outlineLevel="0" collapsed="false">
      <c r="A34" s="2"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44"/>
    <col collapsed="false" customWidth="true" hidden="false" outlineLevel="0" max="3" min="3" style="0" width="12"/>
    <col collapsed="false" customWidth="true" hidden="false" outlineLevel="0" max="5" min="4" style="0" width="9"/>
    <col collapsed="false" customWidth="true" hidden="false" outlineLevel="0" max="6" min="6" style="0" width="14"/>
    <col collapsed="false" customWidth="true" hidden="false" outlineLevel="0" max="7" min="7" style="0" width="13"/>
    <col collapsed="false" customWidth="true" hidden="false" outlineLevel="0" max="8" min="8" style="0" width="40"/>
    <col collapsed="false" customWidth="true" hidden="false" outlineLevel="0" max="9" min="9" style="0" width="44"/>
    <col collapsed="false" customWidth="true" hidden="false" outlineLevel="0" max="10" min="10" style="0" width="11"/>
    <col collapsed="false" customWidth="true" hidden="false" outlineLevel="0" max="11" min="11" style="0" width="52"/>
    <col collapsed="false" customWidth="true" hidden="false" outlineLevel="0" max="12" min="12" style="0" width="14"/>
  </cols>
  <sheetData>
    <row r="1" customFormat="false" ht="15" hidden="false" customHeight="false" outlineLevel="0" collapsed="false">
      <c r="A1" s="4" t="s">
        <v>25</v>
      </c>
      <c r="B1" s="4" t="s">
        <v>26</v>
      </c>
      <c r="C1" s="4" t="s">
        <v>27</v>
      </c>
      <c r="D1" s="4" t="s">
        <v>28</v>
      </c>
      <c r="E1" s="4" t="s">
        <v>29</v>
      </c>
      <c r="F1" s="4" t="s">
        <v>30</v>
      </c>
      <c r="G1" s="4" t="s">
        <v>31</v>
      </c>
      <c r="H1" s="4" t="s">
        <v>32</v>
      </c>
      <c r="I1" s="4" t="s">
        <v>33</v>
      </c>
      <c r="J1" s="4" t="s">
        <v>34</v>
      </c>
      <c r="K1" s="4" t="s">
        <v>35</v>
      </c>
      <c r="L1" s="4" t="s">
        <v>36</v>
      </c>
    </row>
    <row r="2" customFormat="false" ht="35.05" hidden="false" customHeight="false" outlineLevel="0" collapsed="false">
      <c r="A2" s="5" t="s">
        <v>37</v>
      </c>
      <c r="B2" s="6" t="s">
        <v>38</v>
      </c>
      <c r="C2" s="5" t="n">
        <v>2490000</v>
      </c>
      <c r="D2" s="5"/>
      <c r="E2" s="5"/>
      <c r="F2" s="5" t="s">
        <v>39</v>
      </c>
      <c r="G2" s="7" t="s">
        <v>40</v>
      </c>
      <c r="H2" s="6" t="s">
        <v>41</v>
      </c>
      <c r="I2" s="5" t="s">
        <v>42</v>
      </c>
      <c r="J2" s="5" t="s">
        <v>43</v>
      </c>
      <c r="K2" s="6" t="s">
        <v>44</v>
      </c>
      <c r="L2" s="5" t="s">
        <v>45</v>
      </c>
    </row>
    <row r="3" customFormat="false" ht="23.85" hidden="false" customHeight="false" outlineLevel="0" collapsed="false">
      <c r="A3" s="5" t="s">
        <v>46</v>
      </c>
      <c r="B3" s="6" t="s">
        <v>47</v>
      </c>
      <c r="C3" s="5" t="n">
        <v>57773</v>
      </c>
      <c r="D3" s="5"/>
      <c r="E3" s="5"/>
      <c r="F3" s="5" t="s">
        <v>48</v>
      </c>
      <c r="G3" s="7" t="s">
        <v>40</v>
      </c>
      <c r="H3" s="6" t="s">
        <v>41</v>
      </c>
      <c r="I3" s="5" t="s">
        <v>42</v>
      </c>
      <c r="J3" s="5" t="s">
        <v>43</v>
      </c>
      <c r="K3" s="6" t="s">
        <v>49</v>
      </c>
      <c r="L3" s="5" t="s">
        <v>50</v>
      </c>
    </row>
    <row r="4" customFormat="false" ht="23.85" hidden="false" customHeight="false" outlineLevel="0" collapsed="false">
      <c r="A4" s="5" t="s">
        <v>51</v>
      </c>
      <c r="B4" s="6" t="s">
        <v>52</v>
      </c>
      <c r="C4" s="5" t="n">
        <v>-651</v>
      </c>
      <c r="D4" s="5"/>
      <c r="E4" s="5"/>
      <c r="F4" s="5" t="s">
        <v>48</v>
      </c>
      <c r="G4" s="7" t="s">
        <v>40</v>
      </c>
      <c r="H4" s="6" t="s">
        <v>41</v>
      </c>
      <c r="I4" s="5" t="s">
        <v>42</v>
      </c>
      <c r="J4" s="5" t="s">
        <v>43</v>
      </c>
      <c r="K4" s="6" t="s">
        <v>53</v>
      </c>
      <c r="L4" s="5" t="s">
        <v>54</v>
      </c>
    </row>
    <row r="5" customFormat="false" ht="23.85" hidden="false" customHeight="false" outlineLevel="0" collapsed="false">
      <c r="A5" s="5" t="s">
        <v>55</v>
      </c>
      <c r="B5" s="6" t="s">
        <v>56</v>
      </c>
      <c r="C5" s="5" t="n">
        <v>5484000</v>
      </c>
      <c r="D5" s="5"/>
      <c r="E5" s="5"/>
      <c r="F5" s="5" t="s">
        <v>39</v>
      </c>
      <c r="G5" s="7" t="s">
        <v>40</v>
      </c>
      <c r="H5" s="6" t="s">
        <v>41</v>
      </c>
      <c r="I5" s="5" t="s">
        <v>42</v>
      </c>
      <c r="J5" s="5" t="s">
        <v>43</v>
      </c>
      <c r="K5" s="6"/>
      <c r="L5" s="5" t="s">
        <v>54</v>
      </c>
    </row>
    <row r="6" customFormat="false" ht="23.85" hidden="false" customHeight="false" outlineLevel="0" collapsed="false">
      <c r="A6" s="5" t="s">
        <v>57</v>
      </c>
      <c r="B6" s="6" t="s">
        <v>58</v>
      </c>
      <c r="C6" s="5" t="n">
        <v>153508</v>
      </c>
      <c r="D6" s="5"/>
      <c r="E6" s="5"/>
      <c r="F6" s="5" t="s">
        <v>48</v>
      </c>
      <c r="G6" s="7" t="s">
        <v>40</v>
      </c>
      <c r="H6" s="6" t="s">
        <v>41</v>
      </c>
      <c r="I6" s="5" t="s">
        <v>42</v>
      </c>
      <c r="J6" s="5" t="s">
        <v>43</v>
      </c>
      <c r="K6" s="6"/>
      <c r="L6" s="5" t="s">
        <v>54</v>
      </c>
    </row>
    <row r="7" customFormat="false" ht="23.85" hidden="false" customHeight="false" outlineLevel="0" collapsed="false">
      <c r="A7" s="5" t="s">
        <v>59</v>
      </c>
      <c r="B7" s="6" t="s">
        <v>60</v>
      </c>
      <c r="C7" s="5" t="n">
        <v>7889</v>
      </c>
      <c r="D7" s="5"/>
      <c r="E7" s="5"/>
      <c r="F7" s="5" t="s">
        <v>48</v>
      </c>
      <c r="G7" s="7" t="s">
        <v>40</v>
      </c>
      <c r="H7" s="6" t="s">
        <v>61</v>
      </c>
      <c r="I7" s="5" t="s">
        <v>62</v>
      </c>
      <c r="J7" s="5" t="s">
        <v>63</v>
      </c>
      <c r="K7" s="6" t="s">
        <v>64</v>
      </c>
      <c r="L7" s="5" t="s">
        <v>65</v>
      </c>
    </row>
    <row r="8" customFormat="false" ht="35.05" hidden="false" customHeight="false" outlineLevel="0" collapsed="false">
      <c r="A8" s="5" t="s">
        <v>66</v>
      </c>
      <c r="B8" s="6" t="s">
        <v>67</v>
      </c>
      <c r="C8" s="5" t="n">
        <v>5313</v>
      </c>
      <c r="D8" s="5"/>
      <c r="E8" s="5"/>
      <c r="F8" s="5" t="s">
        <v>48</v>
      </c>
      <c r="G8" s="7" t="s">
        <v>40</v>
      </c>
      <c r="H8" s="6" t="s">
        <v>68</v>
      </c>
      <c r="I8" s="5" t="s">
        <v>62</v>
      </c>
      <c r="J8" s="5" t="s">
        <v>63</v>
      </c>
      <c r="K8" s="6" t="s">
        <v>69</v>
      </c>
      <c r="L8" s="5" t="s">
        <v>65</v>
      </c>
    </row>
    <row r="9" customFormat="false" ht="68.65" hidden="false" customHeight="false" outlineLevel="0" collapsed="false">
      <c r="A9" s="5" t="s">
        <v>70</v>
      </c>
      <c r="B9" s="6" t="s">
        <v>71</v>
      </c>
      <c r="C9" s="5"/>
      <c r="D9" s="5"/>
      <c r="E9" s="5"/>
      <c r="F9" s="5" t="s">
        <v>72</v>
      </c>
      <c r="G9" s="7" t="s">
        <v>40</v>
      </c>
      <c r="H9" s="6" t="s">
        <v>73</v>
      </c>
      <c r="I9" s="5" t="s">
        <v>62</v>
      </c>
      <c r="J9" s="5" t="s">
        <v>43</v>
      </c>
      <c r="K9" s="6" t="s">
        <v>74</v>
      </c>
      <c r="L9" s="5" t="s">
        <v>54</v>
      </c>
    </row>
    <row r="10" customFormat="false" ht="57.45" hidden="false" customHeight="false" outlineLevel="0" collapsed="false">
      <c r="A10" s="5" t="s">
        <v>75</v>
      </c>
      <c r="B10" s="6" t="s">
        <v>76</v>
      </c>
      <c r="C10" s="5" t="n">
        <v>358</v>
      </c>
      <c r="D10" s="5"/>
      <c r="E10" s="5"/>
      <c r="F10" s="5" t="s">
        <v>48</v>
      </c>
      <c r="G10" s="7" t="s">
        <v>40</v>
      </c>
      <c r="H10" s="6" t="s">
        <v>77</v>
      </c>
      <c r="I10" s="5" t="s">
        <v>62</v>
      </c>
      <c r="J10" s="5" t="s">
        <v>43</v>
      </c>
      <c r="K10" s="6" t="s">
        <v>78</v>
      </c>
      <c r="L10" s="5" t="s">
        <v>54</v>
      </c>
    </row>
    <row r="11" customFormat="false" ht="23.85" hidden="false" customHeight="false" outlineLevel="0" collapsed="false">
      <c r="A11" s="5" t="s">
        <v>79</v>
      </c>
      <c r="B11" s="6" t="s">
        <v>80</v>
      </c>
      <c r="C11" s="5" t="n">
        <v>179</v>
      </c>
      <c r="D11" s="5"/>
      <c r="E11" s="5"/>
      <c r="F11" s="5" t="s">
        <v>48</v>
      </c>
      <c r="G11" s="7" t="s">
        <v>40</v>
      </c>
      <c r="H11" s="6" t="s">
        <v>81</v>
      </c>
      <c r="I11" s="5" t="s">
        <v>62</v>
      </c>
      <c r="J11" s="5" t="s">
        <v>82</v>
      </c>
      <c r="K11" s="6" t="s">
        <v>83</v>
      </c>
      <c r="L11" s="5" t="s">
        <v>54</v>
      </c>
    </row>
    <row r="12" customFormat="false" ht="23.85" hidden="false" customHeight="false" outlineLevel="0" collapsed="false">
      <c r="A12" s="5" t="s">
        <v>84</v>
      </c>
      <c r="B12" s="6" t="s">
        <v>85</v>
      </c>
      <c r="C12" s="5" t="n">
        <v>82</v>
      </c>
      <c r="D12" s="5"/>
      <c r="E12" s="5"/>
      <c r="F12" s="5" t="s">
        <v>48</v>
      </c>
      <c r="G12" s="7" t="s">
        <v>40</v>
      </c>
      <c r="H12" s="6" t="s">
        <v>81</v>
      </c>
      <c r="I12" s="5" t="s">
        <v>62</v>
      </c>
      <c r="J12" s="5" t="s">
        <v>86</v>
      </c>
      <c r="K12" s="6" t="s">
        <v>83</v>
      </c>
      <c r="L12" s="5" t="s">
        <v>54</v>
      </c>
    </row>
    <row r="13" customFormat="false" ht="23.85" hidden="false" customHeight="false" outlineLevel="0" collapsed="false">
      <c r="A13" s="5" t="s">
        <v>87</v>
      </c>
      <c r="B13" s="6" t="s">
        <v>88</v>
      </c>
      <c r="C13" s="5" t="n">
        <v>3616</v>
      </c>
      <c r="D13" s="5"/>
      <c r="E13" s="5"/>
      <c r="F13" s="5" t="s">
        <v>48</v>
      </c>
      <c r="G13" s="7" t="s">
        <v>40</v>
      </c>
      <c r="H13" s="6" t="s">
        <v>89</v>
      </c>
      <c r="I13" s="5" t="s">
        <v>62</v>
      </c>
      <c r="J13" s="5" t="s">
        <v>63</v>
      </c>
      <c r="K13" s="6" t="s">
        <v>90</v>
      </c>
      <c r="L13" s="5" t="s">
        <v>54</v>
      </c>
    </row>
    <row r="14" customFormat="false" ht="35.05" hidden="false" customHeight="false" outlineLevel="0" collapsed="false">
      <c r="A14" s="5" t="s">
        <v>91</v>
      </c>
      <c r="B14" s="6" t="s">
        <v>92</v>
      </c>
      <c r="C14" s="5" t="n">
        <v>3</v>
      </c>
      <c r="D14" s="5"/>
      <c r="E14" s="5"/>
      <c r="F14" s="5" t="s">
        <v>93</v>
      </c>
      <c r="G14" s="7" t="s">
        <v>40</v>
      </c>
      <c r="H14" s="6" t="s">
        <v>94</v>
      </c>
      <c r="I14" s="5" t="s">
        <v>62</v>
      </c>
      <c r="J14" s="5" t="s">
        <v>43</v>
      </c>
      <c r="K14" s="6" t="s">
        <v>95</v>
      </c>
      <c r="L14" s="5" t="s">
        <v>65</v>
      </c>
    </row>
    <row r="15" customFormat="false" ht="35.05" hidden="false" customHeight="false" outlineLevel="0" collapsed="false">
      <c r="A15" s="5" t="s">
        <v>96</v>
      </c>
      <c r="B15" s="6" t="s">
        <v>97</v>
      </c>
      <c r="C15" s="5"/>
      <c r="D15" s="5"/>
      <c r="E15" s="5"/>
      <c r="F15" s="5" t="s">
        <v>72</v>
      </c>
      <c r="G15" s="7" t="s">
        <v>40</v>
      </c>
      <c r="H15" s="6" t="s">
        <v>98</v>
      </c>
      <c r="I15" s="5" t="s">
        <v>62</v>
      </c>
      <c r="J15" s="5" t="s">
        <v>43</v>
      </c>
      <c r="K15" s="6" t="s">
        <v>99</v>
      </c>
      <c r="L15" s="5" t="s">
        <v>54</v>
      </c>
    </row>
    <row r="16" customFormat="false" ht="46.25" hidden="false" customHeight="false" outlineLevel="0" collapsed="false">
      <c r="A16" s="5" t="s">
        <v>100</v>
      </c>
      <c r="B16" s="6" t="s">
        <v>101</v>
      </c>
      <c r="C16" s="5"/>
      <c r="D16" s="5"/>
      <c r="E16" s="5"/>
      <c r="F16" s="5" t="s">
        <v>72</v>
      </c>
      <c r="G16" s="7" t="s">
        <v>40</v>
      </c>
      <c r="H16" s="6" t="s">
        <v>102</v>
      </c>
      <c r="I16" s="5" t="s">
        <v>62</v>
      </c>
      <c r="J16" s="5" t="s">
        <v>43</v>
      </c>
      <c r="K16" s="6" t="s">
        <v>103</v>
      </c>
      <c r="L16" s="5" t="s">
        <v>65</v>
      </c>
    </row>
    <row r="17" customFormat="false" ht="35.05" hidden="false" customHeight="false" outlineLevel="0" collapsed="false">
      <c r="A17" s="5" t="s">
        <v>104</v>
      </c>
      <c r="B17" s="6" t="s">
        <v>105</v>
      </c>
      <c r="C17" s="5"/>
      <c r="D17" s="5"/>
      <c r="E17" s="5"/>
      <c r="F17" s="5" t="s">
        <v>72</v>
      </c>
      <c r="G17" s="7" t="s">
        <v>40</v>
      </c>
      <c r="H17" s="6" t="s">
        <v>106</v>
      </c>
      <c r="I17" s="5" t="s">
        <v>62</v>
      </c>
      <c r="J17" s="5" t="s">
        <v>43</v>
      </c>
      <c r="K17" s="6" t="s">
        <v>107</v>
      </c>
      <c r="L17" s="5" t="s">
        <v>50</v>
      </c>
    </row>
    <row r="18" customFormat="false" ht="35.05" hidden="false" customHeight="false" outlineLevel="0" collapsed="false">
      <c r="A18" s="5" t="s">
        <v>108</v>
      </c>
      <c r="B18" s="6" t="s">
        <v>109</v>
      </c>
      <c r="C18" s="5" t="n">
        <v>26.6</v>
      </c>
      <c r="D18" s="5"/>
      <c r="E18" s="5"/>
      <c r="F18" s="5" t="s">
        <v>110</v>
      </c>
      <c r="G18" s="7" t="s">
        <v>40</v>
      </c>
      <c r="H18" s="6" t="s">
        <v>111</v>
      </c>
      <c r="I18" s="5" t="s">
        <v>112</v>
      </c>
      <c r="J18" s="5" t="s">
        <v>113</v>
      </c>
      <c r="K18" s="6" t="s">
        <v>114</v>
      </c>
      <c r="L18" s="5" t="s">
        <v>65</v>
      </c>
    </row>
    <row r="19" customFormat="false" ht="23.85" hidden="false" customHeight="false" outlineLevel="0" collapsed="false">
      <c r="A19" s="5" t="s">
        <v>115</v>
      </c>
      <c r="B19" s="6" t="s">
        <v>116</v>
      </c>
      <c r="C19" s="5" t="n">
        <v>30</v>
      </c>
      <c r="D19" s="5" t="n">
        <v>30</v>
      </c>
      <c r="E19" s="5" t="n">
        <v>40</v>
      </c>
      <c r="F19" s="5" t="s">
        <v>110</v>
      </c>
      <c r="G19" s="7" t="s">
        <v>40</v>
      </c>
      <c r="H19" s="6" t="s">
        <v>117</v>
      </c>
      <c r="I19" s="5" t="s">
        <v>118</v>
      </c>
      <c r="J19" s="5" t="s">
        <v>119</v>
      </c>
      <c r="K19" s="6" t="s">
        <v>120</v>
      </c>
      <c r="L19" s="5" t="s">
        <v>50</v>
      </c>
    </row>
    <row r="20" customFormat="false" ht="46.25" hidden="false" customHeight="false" outlineLevel="0" collapsed="false">
      <c r="A20" s="5" t="s">
        <v>121</v>
      </c>
      <c r="B20" s="6" t="s">
        <v>122</v>
      </c>
      <c r="C20" s="5" t="n">
        <v>-9.2</v>
      </c>
      <c r="D20" s="5" t="n">
        <v>-10</v>
      </c>
      <c r="E20" s="5" t="n">
        <v>-7.9</v>
      </c>
      <c r="F20" s="5" t="s">
        <v>110</v>
      </c>
      <c r="G20" s="8" t="s">
        <v>123</v>
      </c>
      <c r="H20" s="6" t="s">
        <v>124</v>
      </c>
      <c r="I20" s="5"/>
      <c r="J20" s="5" t="s">
        <v>125</v>
      </c>
      <c r="K20" s="6" t="s">
        <v>126</v>
      </c>
      <c r="L20" s="5" t="s">
        <v>127</v>
      </c>
    </row>
    <row r="21" customFormat="false" ht="35.05" hidden="false" customHeight="false" outlineLevel="0" collapsed="false">
      <c r="A21" s="5" t="s">
        <v>128</v>
      </c>
      <c r="B21" s="6" t="s">
        <v>129</v>
      </c>
      <c r="C21" s="5" t="n">
        <v>-12</v>
      </c>
      <c r="D21" s="5"/>
      <c r="E21" s="5"/>
      <c r="F21" s="5" t="s">
        <v>110</v>
      </c>
      <c r="G21" s="8" t="s">
        <v>123</v>
      </c>
      <c r="H21" s="6" t="s">
        <v>130</v>
      </c>
      <c r="I21" s="5"/>
      <c r="J21" s="5" t="s">
        <v>125</v>
      </c>
      <c r="K21" s="6" t="s">
        <v>131</v>
      </c>
      <c r="L21" s="5" t="s">
        <v>54</v>
      </c>
    </row>
    <row r="22" customFormat="false" ht="23.85" hidden="false" customHeight="false" outlineLevel="0" collapsed="false">
      <c r="A22" s="5" t="s">
        <v>132</v>
      </c>
      <c r="B22" s="6" t="s">
        <v>133</v>
      </c>
      <c r="C22" s="5" t="n">
        <v>-13.3</v>
      </c>
      <c r="D22" s="5"/>
      <c r="E22" s="5"/>
      <c r="F22" s="5" t="s">
        <v>110</v>
      </c>
      <c r="G22" s="8" t="s">
        <v>123</v>
      </c>
      <c r="H22" s="6" t="s">
        <v>134</v>
      </c>
      <c r="I22" s="5"/>
      <c r="J22" s="5" t="s">
        <v>125</v>
      </c>
      <c r="K22" s="6" t="s">
        <v>135</v>
      </c>
      <c r="L22" s="5" t="s">
        <v>65</v>
      </c>
    </row>
    <row r="23" customFormat="false" ht="23.85" hidden="false" customHeight="false" outlineLevel="0" collapsed="false">
      <c r="A23" s="5" t="s">
        <v>136</v>
      </c>
      <c r="B23" s="6" t="s">
        <v>137</v>
      </c>
      <c r="C23" s="5" t="n">
        <v>-4.9</v>
      </c>
      <c r="D23" s="5"/>
      <c r="E23" s="5"/>
      <c r="F23" s="5" t="s">
        <v>110</v>
      </c>
      <c r="G23" s="8" t="s">
        <v>123</v>
      </c>
      <c r="H23" s="6" t="s">
        <v>138</v>
      </c>
      <c r="I23" s="5"/>
      <c r="J23" s="5" t="s">
        <v>125</v>
      </c>
      <c r="K23" s="6" t="s">
        <v>139</v>
      </c>
      <c r="L23" s="5" t="s">
        <v>65</v>
      </c>
    </row>
    <row r="24" customFormat="false" ht="23.85" hidden="false" customHeight="false" outlineLevel="0" collapsed="false">
      <c r="A24" s="5" t="s">
        <v>140</v>
      </c>
      <c r="B24" s="6" t="s">
        <v>141</v>
      </c>
      <c r="C24" s="5" t="n">
        <v>-10.4</v>
      </c>
      <c r="D24" s="5"/>
      <c r="E24" s="5"/>
      <c r="F24" s="5" t="s">
        <v>110</v>
      </c>
      <c r="G24" s="8" t="s">
        <v>123</v>
      </c>
      <c r="H24" s="6" t="s">
        <v>142</v>
      </c>
      <c r="I24" s="5"/>
      <c r="J24" s="5" t="s">
        <v>125</v>
      </c>
      <c r="K24" s="6" t="s">
        <v>143</v>
      </c>
      <c r="L24" s="5" t="s">
        <v>144</v>
      </c>
    </row>
    <row r="25" customFormat="false" ht="23.85" hidden="false" customHeight="false" outlineLevel="0" collapsed="false">
      <c r="A25" s="5" t="s">
        <v>145</v>
      </c>
      <c r="B25" s="6" t="s">
        <v>146</v>
      </c>
      <c r="C25" s="5" t="n">
        <v>-13.2</v>
      </c>
      <c r="D25" s="5"/>
      <c r="E25" s="5"/>
      <c r="F25" s="5" t="s">
        <v>110</v>
      </c>
      <c r="G25" s="8" t="s">
        <v>123</v>
      </c>
      <c r="H25" s="6" t="s">
        <v>147</v>
      </c>
      <c r="I25" s="5"/>
      <c r="J25" s="5" t="s">
        <v>125</v>
      </c>
      <c r="K25" s="6" t="s">
        <v>148</v>
      </c>
      <c r="L25" s="5" t="s">
        <v>65</v>
      </c>
    </row>
    <row r="26" customFormat="false" ht="23.85" hidden="false" customHeight="false" outlineLevel="0" collapsed="false">
      <c r="A26" s="5" t="s">
        <v>149</v>
      </c>
      <c r="B26" s="6" t="s">
        <v>150</v>
      </c>
      <c r="C26" s="5" t="n">
        <v>-11.7</v>
      </c>
      <c r="D26" s="5"/>
      <c r="E26" s="5"/>
      <c r="F26" s="5" t="s">
        <v>110</v>
      </c>
      <c r="G26" s="8" t="s">
        <v>123</v>
      </c>
      <c r="H26" s="6" t="s">
        <v>147</v>
      </c>
      <c r="I26" s="5"/>
      <c r="J26" s="5" t="s">
        <v>125</v>
      </c>
      <c r="K26" s="6" t="s">
        <v>151</v>
      </c>
      <c r="L26" s="5" t="s">
        <v>65</v>
      </c>
    </row>
    <row r="27" customFormat="false" ht="46.25" hidden="false" customHeight="false" outlineLevel="0" collapsed="false">
      <c r="A27" s="5" t="s">
        <v>152</v>
      </c>
      <c r="B27" s="6" t="s">
        <v>153</v>
      </c>
      <c r="C27" s="5" t="n">
        <v>0.958</v>
      </c>
      <c r="D27" s="5"/>
      <c r="E27" s="5"/>
      <c r="F27" s="5" t="s">
        <v>154</v>
      </c>
      <c r="G27" s="8" t="s">
        <v>123</v>
      </c>
      <c r="H27" s="6" t="s">
        <v>147</v>
      </c>
      <c r="I27" s="5"/>
      <c r="J27" s="5" t="s">
        <v>125</v>
      </c>
      <c r="K27" s="6" t="s">
        <v>155</v>
      </c>
      <c r="L27" s="5" t="s">
        <v>54</v>
      </c>
    </row>
    <row r="28" customFormat="false" ht="23.85" hidden="false" customHeight="false" outlineLevel="0" collapsed="false">
      <c r="A28" s="5" t="s">
        <v>156</v>
      </c>
      <c r="B28" s="6" t="s">
        <v>157</v>
      </c>
      <c r="C28" s="5" t="n">
        <v>75</v>
      </c>
      <c r="D28" s="5"/>
      <c r="E28" s="5"/>
      <c r="F28" s="5" t="s">
        <v>158</v>
      </c>
      <c r="G28" s="8" t="s">
        <v>123</v>
      </c>
      <c r="H28" s="6" t="s">
        <v>159</v>
      </c>
      <c r="I28" s="5"/>
      <c r="J28" s="5" t="s">
        <v>125</v>
      </c>
      <c r="K28" s="6" t="s">
        <v>160</v>
      </c>
      <c r="L28" s="5" t="s">
        <v>65</v>
      </c>
    </row>
    <row r="29" customFormat="false" ht="46.25" hidden="false" customHeight="false" outlineLevel="0" collapsed="false">
      <c r="A29" s="5" t="s">
        <v>161</v>
      </c>
      <c r="B29" s="6" t="s">
        <v>162</v>
      </c>
      <c r="C29" s="5" t="n">
        <v>66</v>
      </c>
      <c r="D29" s="5"/>
      <c r="E29" s="5"/>
      <c r="F29" s="5" t="s">
        <v>158</v>
      </c>
      <c r="G29" s="8" t="s">
        <v>123</v>
      </c>
      <c r="H29" s="6" t="s">
        <v>163</v>
      </c>
      <c r="I29" s="5"/>
      <c r="J29" s="5" t="s">
        <v>125</v>
      </c>
      <c r="K29" s="6" t="s">
        <v>164</v>
      </c>
      <c r="L29" s="5" t="s">
        <v>144</v>
      </c>
    </row>
    <row r="30" customFormat="false" ht="35.05" hidden="false" customHeight="false" outlineLevel="0" collapsed="false">
      <c r="A30" s="5" t="s">
        <v>165</v>
      </c>
      <c r="B30" s="6" t="s">
        <v>166</v>
      </c>
      <c r="C30" s="5" t="n">
        <v>90</v>
      </c>
      <c r="D30" s="5"/>
      <c r="E30" s="5"/>
      <c r="F30" s="5" t="s">
        <v>158</v>
      </c>
      <c r="G30" s="8" t="s">
        <v>123</v>
      </c>
      <c r="H30" s="6" t="s">
        <v>163</v>
      </c>
      <c r="I30" s="5"/>
      <c r="J30" s="5" t="s">
        <v>125</v>
      </c>
      <c r="K30" s="6" t="s">
        <v>167</v>
      </c>
      <c r="L30" s="5" t="s">
        <v>54</v>
      </c>
    </row>
    <row r="31" customFormat="false" ht="23.85" hidden="false" customHeight="false" outlineLevel="0" collapsed="false">
      <c r="A31" s="5" t="s">
        <v>168</v>
      </c>
      <c r="B31" s="6" t="s">
        <v>169</v>
      </c>
      <c r="C31" s="5" t="n">
        <v>62</v>
      </c>
      <c r="D31" s="5"/>
      <c r="E31" s="5"/>
      <c r="F31" s="5" t="s">
        <v>158</v>
      </c>
      <c r="G31" s="8" t="s">
        <v>123</v>
      </c>
      <c r="H31" s="6" t="s">
        <v>163</v>
      </c>
      <c r="I31" s="5"/>
      <c r="J31" s="5" t="s">
        <v>125</v>
      </c>
      <c r="K31" s="6" t="s">
        <v>170</v>
      </c>
      <c r="L31" s="5" t="s">
        <v>54</v>
      </c>
    </row>
    <row r="32" customFormat="false" ht="15" hidden="false" customHeight="false" outlineLevel="0" collapsed="false">
      <c r="A32" s="5" t="s">
        <v>171</v>
      </c>
      <c r="B32" s="6" t="s">
        <v>172</v>
      </c>
      <c r="C32" s="5" t="n">
        <v>68</v>
      </c>
      <c r="D32" s="5"/>
      <c r="E32" s="5"/>
      <c r="F32" s="5" t="s">
        <v>158</v>
      </c>
      <c r="G32" s="8" t="s">
        <v>123</v>
      </c>
      <c r="H32" s="6" t="s">
        <v>163</v>
      </c>
      <c r="I32" s="5"/>
      <c r="J32" s="5" t="s">
        <v>125</v>
      </c>
      <c r="K32" s="6" t="s">
        <v>173</v>
      </c>
      <c r="L32" s="5" t="s">
        <v>54</v>
      </c>
    </row>
    <row r="33" customFormat="false" ht="15" hidden="false" customHeight="false" outlineLevel="0" collapsed="false">
      <c r="A33" s="5" t="s">
        <v>174</v>
      </c>
      <c r="B33" s="6" t="s">
        <v>175</v>
      </c>
      <c r="C33" s="5" t="n">
        <v>91</v>
      </c>
      <c r="D33" s="5"/>
      <c r="E33" s="5"/>
      <c r="F33" s="5" t="s">
        <v>158</v>
      </c>
      <c r="G33" s="8" t="s">
        <v>123</v>
      </c>
      <c r="H33" s="6" t="s">
        <v>163</v>
      </c>
      <c r="I33" s="5"/>
      <c r="J33" s="5" t="s">
        <v>125</v>
      </c>
      <c r="K33" s="6" t="s">
        <v>176</v>
      </c>
      <c r="L33" s="5" t="s">
        <v>144</v>
      </c>
    </row>
    <row r="34" customFormat="false" ht="15" hidden="false" customHeight="false" outlineLevel="0" collapsed="false">
      <c r="A34" s="5" t="s">
        <v>177</v>
      </c>
      <c r="B34" s="6" t="s">
        <v>178</v>
      </c>
      <c r="C34" s="5" t="n">
        <v>78</v>
      </c>
      <c r="D34" s="5"/>
      <c r="E34" s="5"/>
      <c r="F34" s="5" t="s">
        <v>158</v>
      </c>
      <c r="G34" s="8" t="s">
        <v>123</v>
      </c>
      <c r="H34" s="6" t="s">
        <v>163</v>
      </c>
      <c r="I34" s="5"/>
      <c r="J34" s="5" t="s">
        <v>125</v>
      </c>
      <c r="K34" s="6" t="s">
        <v>176</v>
      </c>
      <c r="L34" s="5" t="s">
        <v>144</v>
      </c>
    </row>
    <row r="35" customFormat="false" ht="15" hidden="false" customHeight="false" outlineLevel="0" collapsed="false">
      <c r="A35" s="5" t="s">
        <v>179</v>
      </c>
      <c r="B35" s="6" t="s">
        <v>180</v>
      </c>
      <c r="C35" s="5" t="n">
        <v>59</v>
      </c>
      <c r="D35" s="5"/>
      <c r="E35" s="5"/>
      <c r="F35" s="5" t="s">
        <v>158</v>
      </c>
      <c r="G35" s="8" t="s">
        <v>123</v>
      </c>
      <c r="H35" s="6" t="s">
        <v>163</v>
      </c>
      <c r="I35" s="5"/>
      <c r="J35" s="5" t="s">
        <v>125</v>
      </c>
      <c r="K35" s="6" t="s">
        <v>176</v>
      </c>
      <c r="L35" s="5" t="s">
        <v>144</v>
      </c>
    </row>
    <row r="36" customFormat="false" ht="15" hidden="false" customHeight="false" outlineLevel="0" collapsed="false">
      <c r="A36" s="5" t="s">
        <v>181</v>
      </c>
      <c r="B36" s="6" t="s">
        <v>182</v>
      </c>
      <c r="C36" s="5" t="n">
        <v>52</v>
      </c>
      <c r="D36" s="5"/>
      <c r="E36" s="5"/>
      <c r="F36" s="5" t="s">
        <v>158</v>
      </c>
      <c r="G36" s="8" t="s">
        <v>123</v>
      </c>
      <c r="H36" s="6" t="s">
        <v>163</v>
      </c>
      <c r="I36" s="5"/>
      <c r="J36" s="5" t="s">
        <v>125</v>
      </c>
      <c r="K36" s="6" t="s">
        <v>176</v>
      </c>
      <c r="L36" s="5" t="s">
        <v>144</v>
      </c>
    </row>
    <row r="37" customFormat="false" ht="23.85" hidden="false" customHeight="false" outlineLevel="0" collapsed="false">
      <c r="A37" s="5" t="s">
        <v>183</v>
      </c>
      <c r="B37" s="6" t="s">
        <v>184</v>
      </c>
      <c r="C37" s="5" t="n">
        <v>-10</v>
      </c>
      <c r="D37" s="5"/>
      <c r="E37" s="5"/>
      <c r="F37" s="5" t="s">
        <v>110</v>
      </c>
      <c r="G37" s="8" t="s">
        <v>123</v>
      </c>
      <c r="H37" s="6" t="s">
        <v>185</v>
      </c>
      <c r="I37" s="5"/>
      <c r="J37" s="5" t="s">
        <v>125</v>
      </c>
      <c r="K37" s="6" t="s">
        <v>186</v>
      </c>
      <c r="L37" s="5" t="s">
        <v>65</v>
      </c>
    </row>
    <row r="38" customFormat="false" ht="23.85" hidden="false" customHeight="false" outlineLevel="0" collapsed="false">
      <c r="A38" s="5" t="s">
        <v>187</v>
      </c>
      <c r="B38" s="6" t="s">
        <v>188</v>
      </c>
      <c r="C38" s="5" t="n">
        <v>4.2</v>
      </c>
      <c r="D38" s="5"/>
      <c r="E38" s="5"/>
      <c r="F38" s="5" t="s">
        <v>110</v>
      </c>
      <c r="G38" s="8" t="s">
        <v>123</v>
      </c>
      <c r="H38" s="6" t="s">
        <v>185</v>
      </c>
      <c r="I38" s="5"/>
      <c r="J38" s="5" t="s">
        <v>125</v>
      </c>
      <c r="K38" s="6" t="s">
        <v>189</v>
      </c>
      <c r="L38" s="5" t="s">
        <v>65</v>
      </c>
    </row>
    <row r="39" customFormat="false" ht="15" hidden="false" customHeight="false" outlineLevel="0" collapsed="false">
      <c r="A39" s="5" t="s">
        <v>190</v>
      </c>
      <c r="B39" s="6" t="s">
        <v>191</v>
      </c>
      <c r="C39" s="5" t="n">
        <v>25.3</v>
      </c>
      <c r="D39" s="5"/>
      <c r="E39" s="5"/>
      <c r="F39" s="5" t="s">
        <v>110</v>
      </c>
      <c r="G39" s="8" t="s">
        <v>123</v>
      </c>
      <c r="H39" s="6" t="s">
        <v>185</v>
      </c>
      <c r="I39" s="5"/>
      <c r="J39" s="5" t="s">
        <v>125</v>
      </c>
      <c r="K39" s="6" t="s">
        <v>189</v>
      </c>
      <c r="L39" s="5" t="s">
        <v>65</v>
      </c>
    </row>
    <row r="40" customFormat="false" ht="15" hidden="false" customHeight="false" outlineLevel="0" collapsed="false">
      <c r="A40" s="5" t="s">
        <v>192</v>
      </c>
      <c r="B40" s="6" t="s">
        <v>193</v>
      </c>
      <c r="C40" s="5" t="n">
        <v>-27</v>
      </c>
      <c r="D40" s="5"/>
      <c r="E40" s="5"/>
      <c r="F40" s="5" t="s">
        <v>110</v>
      </c>
      <c r="G40" s="8" t="s">
        <v>123</v>
      </c>
      <c r="H40" s="6" t="s">
        <v>185</v>
      </c>
      <c r="I40" s="5"/>
      <c r="J40" s="5" t="s">
        <v>125</v>
      </c>
      <c r="K40" s="6" t="s">
        <v>194</v>
      </c>
      <c r="L40" s="5" t="s">
        <v>65</v>
      </c>
    </row>
    <row r="41" customFormat="false" ht="23.85" hidden="false" customHeight="false" outlineLevel="0" collapsed="false">
      <c r="A41" s="5" t="s">
        <v>195</v>
      </c>
      <c r="B41" s="6" t="s">
        <v>196</v>
      </c>
      <c r="C41" s="5" t="n">
        <v>-7.7</v>
      </c>
      <c r="D41" s="5"/>
      <c r="E41" s="5"/>
      <c r="F41" s="5" t="s">
        <v>110</v>
      </c>
      <c r="G41" s="8" t="s">
        <v>123</v>
      </c>
      <c r="H41" s="6" t="s">
        <v>185</v>
      </c>
      <c r="I41" s="5"/>
      <c r="J41" s="5" t="s">
        <v>125</v>
      </c>
      <c r="K41" s="6" t="s">
        <v>197</v>
      </c>
      <c r="L41" s="5" t="s">
        <v>65</v>
      </c>
    </row>
    <row r="42" customFormat="false" ht="23.85" hidden="false" customHeight="false" outlineLevel="0" collapsed="false">
      <c r="A42" s="5" t="s">
        <v>198</v>
      </c>
      <c r="B42" s="6" t="s">
        <v>199</v>
      </c>
      <c r="C42" s="5" t="n">
        <v>-19.2</v>
      </c>
      <c r="D42" s="5"/>
      <c r="E42" s="5"/>
      <c r="F42" s="5" t="s">
        <v>110</v>
      </c>
      <c r="G42" s="8" t="s">
        <v>123</v>
      </c>
      <c r="H42" s="6" t="s">
        <v>185</v>
      </c>
      <c r="I42" s="5"/>
      <c r="J42" s="5" t="s">
        <v>125</v>
      </c>
      <c r="K42" s="6" t="s">
        <v>200</v>
      </c>
      <c r="L42" s="5" t="s">
        <v>65</v>
      </c>
    </row>
    <row r="43" customFormat="false" ht="23.85" hidden="false" customHeight="false" outlineLevel="0" collapsed="false">
      <c r="A43" s="5" t="s">
        <v>201</v>
      </c>
      <c r="B43" s="6" t="s">
        <v>202</v>
      </c>
      <c r="C43" s="5" t="n">
        <v>-4.5</v>
      </c>
      <c r="D43" s="5"/>
      <c r="E43" s="5"/>
      <c r="F43" s="5" t="s">
        <v>110</v>
      </c>
      <c r="G43" s="8" t="s">
        <v>123</v>
      </c>
      <c r="H43" s="6" t="s">
        <v>185</v>
      </c>
      <c r="I43" s="5"/>
      <c r="J43" s="5" t="s">
        <v>125</v>
      </c>
      <c r="K43" s="6" t="s">
        <v>203</v>
      </c>
      <c r="L43" s="5" t="s">
        <v>65</v>
      </c>
    </row>
    <row r="44" customFormat="false" ht="23.85" hidden="false" customHeight="false" outlineLevel="0" collapsed="false">
      <c r="A44" s="5" t="s">
        <v>204</v>
      </c>
      <c r="B44" s="6" t="s">
        <v>205</v>
      </c>
      <c r="C44" s="5" t="n">
        <v>-6.3</v>
      </c>
      <c r="D44" s="5"/>
      <c r="E44" s="5"/>
      <c r="F44" s="5" t="s">
        <v>110</v>
      </c>
      <c r="G44" s="8" t="s">
        <v>123</v>
      </c>
      <c r="H44" s="6" t="s">
        <v>185</v>
      </c>
      <c r="I44" s="5"/>
      <c r="J44" s="5" t="s">
        <v>125</v>
      </c>
      <c r="K44" s="6" t="s">
        <v>206</v>
      </c>
      <c r="L44" s="5" t="s">
        <v>65</v>
      </c>
    </row>
    <row r="45" customFormat="false" ht="15" hidden="false" customHeight="false" outlineLevel="0" collapsed="false">
      <c r="A45" s="5" t="s">
        <v>207</v>
      </c>
      <c r="B45" s="6" t="s">
        <v>208</v>
      </c>
      <c r="C45" s="5" t="n">
        <v>-14.8</v>
      </c>
      <c r="D45" s="5"/>
      <c r="E45" s="5"/>
      <c r="F45" s="5" t="s">
        <v>110</v>
      </c>
      <c r="G45" s="8" t="s">
        <v>123</v>
      </c>
      <c r="H45" s="6" t="s">
        <v>185</v>
      </c>
      <c r="I45" s="5"/>
      <c r="J45" s="5" t="s">
        <v>125</v>
      </c>
      <c r="K45" s="6" t="s">
        <v>209</v>
      </c>
      <c r="L45" s="5" t="s">
        <v>65</v>
      </c>
    </row>
    <row r="46" customFormat="false" ht="23.85" hidden="false" customHeight="false" outlineLevel="0" collapsed="false">
      <c r="A46" s="5" t="s">
        <v>210</v>
      </c>
      <c r="B46" s="6" t="s">
        <v>211</v>
      </c>
      <c r="C46" s="5" t="n">
        <v>-1.3</v>
      </c>
      <c r="D46" s="5"/>
      <c r="E46" s="5"/>
      <c r="F46" s="5" t="s">
        <v>110</v>
      </c>
      <c r="G46" s="8" t="s">
        <v>123</v>
      </c>
      <c r="H46" s="6" t="s">
        <v>212</v>
      </c>
      <c r="I46" s="5"/>
      <c r="J46" s="5" t="s">
        <v>125</v>
      </c>
      <c r="K46" s="6" t="s">
        <v>213</v>
      </c>
      <c r="L46" s="5" t="s">
        <v>65</v>
      </c>
    </row>
    <row r="47" customFormat="false" ht="23.85" hidden="false" customHeight="false" outlineLevel="0" collapsed="false">
      <c r="A47" s="5" t="s">
        <v>214</v>
      </c>
      <c r="B47" s="6" t="s">
        <v>215</v>
      </c>
      <c r="C47" s="5" t="n">
        <v>-3</v>
      </c>
      <c r="D47" s="5"/>
      <c r="E47" s="5"/>
      <c r="F47" s="5" t="s">
        <v>110</v>
      </c>
      <c r="G47" s="8" t="s">
        <v>123</v>
      </c>
      <c r="H47" s="6" t="s">
        <v>212</v>
      </c>
      <c r="I47" s="5"/>
      <c r="J47" s="5" t="s">
        <v>125</v>
      </c>
      <c r="K47" s="6" t="s">
        <v>216</v>
      </c>
      <c r="L47" s="5" t="s">
        <v>65</v>
      </c>
    </row>
    <row r="48" customFormat="false" ht="57.45" hidden="false" customHeight="false" outlineLevel="0" collapsed="false">
      <c r="A48" s="5" t="s">
        <v>217</v>
      </c>
      <c r="B48" s="6" t="s">
        <v>218</v>
      </c>
      <c r="C48" s="5" t="n">
        <v>3.5</v>
      </c>
      <c r="D48" s="5"/>
      <c r="E48" s="5"/>
      <c r="F48" s="5" t="s">
        <v>219</v>
      </c>
      <c r="G48" s="8" t="s">
        <v>123</v>
      </c>
      <c r="H48" s="6" t="s">
        <v>220</v>
      </c>
      <c r="I48" s="5"/>
      <c r="J48" s="5" t="s">
        <v>125</v>
      </c>
      <c r="K48" s="6" t="s">
        <v>221</v>
      </c>
      <c r="L48" s="5" t="s">
        <v>54</v>
      </c>
    </row>
    <row r="49" customFormat="false" ht="57.45" hidden="false" customHeight="false" outlineLevel="0" collapsed="false">
      <c r="A49" s="5" t="s">
        <v>222</v>
      </c>
      <c r="B49" s="6" t="s">
        <v>223</v>
      </c>
      <c r="C49" s="5" t="n">
        <v>20.1</v>
      </c>
      <c r="D49" s="5"/>
      <c r="E49" s="5"/>
      <c r="F49" s="5" t="s">
        <v>219</v>
      </c>
      <c r="G49" s="8" t="s">
        <v>123</v>
      </c>
      <c r="H49" s="6" t="s">
        <v>220</v>
      </c>
      <c r="I49" s="5"/>
      <c r="J49" s="5" t="s">
        <v>125</v>
      </c>
      <c r="K49" s="6" t="s">
        <v>224</v>
      </c>
      <c r="L49" s="5" t="s">
        <v>54</v>
      </c>
    </row>
    <row r="50" customFormat="false" ht="46.25" hidden="false" customHeight="false" outlineLevel="0" collapsed="false">
      <c r="A50" s="5" t="s">
        <v>225</v>
      </c>
      <c r="B50" s="6" t="s">
        <v>226</v>
      </c>
      <c r="C50" s="5" t="n">
        <v>2.4</v>
      </c>
      <c r="D50" s="5"/>
      <c r="E50" s="5"/>
      <c r="F50" s="5" t="s">
        <v>219</v>
      </c>
      <c r="G50" s="8" t="s">
        <v>123</v>
      </c>
      <c r="H50" s="6" t="s">
        <v>220</v>
      </c>
      <c r="I50" s="5"/>
      <c r="J50" s="5" t="s">
        <v>125</v>
      </c>
      <c r="K50" s="6" t="s">
        <v>227</v>
      </c>
      <c r="L50" s="5" t="s">
        <v>65</v>
      </c>
    </row>
    <row r="51" customFormat="false" ht="46.25" hidden="false" customHeight="false" outlineLevel="0" collapsed="false">
      <c r="A51" s="5" t="s">
        <v>228</v>
      </c>
      <c r="B51" s="6" t="s">
        <v>229</v>
      </c>
      <c r="C51" s="5" t="n">
        <v>12.6</v>
      </c>
      <c r="D51" s="5"/>
      <c r="E51" s="5"/>
      <c r="F51" s="5" t="s">
        <v>219</v>
      </c>
      <c r="G51" s="8" t="s">
        <v>123</v>
      </c>
      <c r="H51" s="6" t="s">
        <v>220</v>
      </c>
      <c r="I51" s="5"/>
      <c r="J51" s="5" t="s">
        <v>125</v>
      </c>
      <c r="K51" s="6" t="s">
        <v>230</v>
      </c>
      <c r="L51" s="5" t="s">
        <v>65</v>
      </c>
    </row>
    <row r="52" customFormat="false" ht="23.85" hidden="false" customHeight="false" outlineLevel="0" collapsed="false">
      <c r="A52" s="5" t="s">
        <v>231</v>
      </c>
      <c r="B52" s="6" t="s">
        <v>232</v>
      </c>
      <c r="C52" s="5" t="n">
        <v>90.8</v>
      </c>
      <c r="D52" s="5"/>
      <c r="E52" s="5"/>
      <c r="F52" s="5" t="s">
        <v>158</v>
      </c>
      <c r="G52" s="8" t="s">
        <v>123</v>
      </c>
      <c r="H52" s="6" t="s">
        <v>233</v>
      </c>
      <c r="I52" s="5"/>
      <c r="J52" s="5" t="s">
        <v>125</v>
      </c>
      <c r="K52" s="6" t="s">
        <v>234</v>
      </c>
      <c r="L52" s="5" t="s">
        <v>65</v>
      </c>
    </row>
    <row r="53" customFormat="false" ht="23.85" hidden="false" customHeight="false" outlineLevel="0" collapsed="false">
      <c r="A53" s="5" t="s">
        <v>235</v>
      </c>
      <c r="B53" s="6" t="s">
        <v>236</v>
      </c>
      <c r="C53" s="5" t="n">
        <v>1</v>
      </c>
      <c r="D53" s="5"/>
      <c r="E53" s="5"/>
      <c r="F53" s="5" t="s">
        <v>219</v>
      </c>
      <c r="G53" s="8" t="s">
        <v>123</v>
      </c>
      <c r="H53" s="6" t="s">
        <v>237</v>
      </c>
      <c r="I53" s="5"/>
      <c r="J53" s="5" t="s">
        <v>125</v>
      </c>
      <c r="K53" s="6" t="s">
        <v>238</v>
      </c>
      <c r="L53" s="5" t="s">
        <v>65</v>
      </c>
    </row>
    <row r="54" customFormat="false" ht="23.85" hidden="false" customHeight="false" outlineLevel="0" collapsed="false">
      <c r="A54" s="5" t="s">
        <v>239</v>
      </c>
      <c r="B54" s="6" t="s">
        <v>240</v>
      </c>
      <c r="C54" s="5" t="n">
        <v>5.1</v>
      </c>
      <c r="D54" s="5"/>
      <c r="E54" s="5"/>
      <c r="F54" s="5" t="s">
        <v>219</v>
      </c>
      <c r="G54" s="8" t="s">
        <v>123</v>
      </c>
      <c r="H54" s="6" t="s">
        <v>237</v>
      </c>
      <c r="I54" s="5"/>
      <c r="J54" s="5" t="s">
        <v>125</v>
      </c>
      <c r="K54" s="6" t="s">
        <v>241</v>
      </c>
      <c r="L54" s="5" t="s">
        <v>65</v>
      </c>
    </row>
    <row r="55" customFormat="false" ht="35.05" hidden="false" customHeight="false" outlineLevel="0" collapsed="false">
      <c r="A55" s="5" t="s">
        <v>242</v>
      </c>
      <c r="B55" s="6" t="s">
        <v>243</v>
      </c>
      <c r="C55" s="5" t="n">
        <v>26.5</v>
      </c>
      <c r="D55" s="5"/>
      <c r="E55" s="5"/>
      <c r="F55" s="5" t="s">
        <v>219</v>
      </c>
      <c r="G55" s="8" t="s">
        <v>123</v>
      </c>
      <c r="H55" s="6" t="s">
        <v>220</v>
      </c>
      <c r="I55" s="5"/>
      <c r="J55" s="5" t="s">
        <v>125</v>
      </c>
      <c r="K55" s="6" t="s">
        <v>244</v>
      </c>
      <c r="L55" s="5" t="s">
        <v>54</v>
      </c>
    </row>
    <row r="56" customFormat="false" ht="46.25" hidden="false" customHeight="false" outlineLevel="0" collapsed="false">
      <c r="A56" s="5" t="s">
        <v>245</v>
      </c>
      <c r="B56" s="6" t="s">
        <v>246</v>
      </c>
      <c r="C56" s="5" t="n">
        <v>4.3</v>
      </c>
      <c r="D56" s="5"/>
      <c r="E56" s="5"/>
      <c r="F56" s="5" t="s">
        <v>110</v>
      </c>
      <c r="G56" s="8" t="s">
        <v>123</v>
      </c>
      <c r="H56" s="6" t="s">
        <v>247</v>
      </c>
      <c r="I56" s="5"/>
      <c r="J56" s="5" t="s">
        <v>125</v>
      </c>
      <c r="K56" s="6" t="s">
        <v>248</v>
      </c>
      <c r="L56" s="5" t="s">
        <v>65</v>
      </c>
    </row>
    <row r="57" customFormat="false" ht="23.85" hidden="false" customHeight="false" outlineLevel="0" collapsed="false">
      <c r="A57" s="5" t="s">
        <v>249</v>
      </c>
      <c r="B57" s="6" t="s">
        <v>250</v>
      </c>
      <c r="C57" s="5" t="n">
        <v>0.2</v>
      </c>
      <c r="D57" s="5"/>
      <c r="E57" s="5"/>
      <c r="F57" s="5" t="s">
        <v>110</v>
      </c>
      <c r="G57" s="8" t="s">
        <v>123</v>
      </c>
      <c r="H57" s="6" t="s">
        <v>247</v>
      </c>
      <c r="I57" s="5"/>
      <c r="J57" s="5" t="s">
        <v>125</v>
      </c>
      <c r="K57" s="6" t="s">
        <v>251</v>
      </c>
      <c r="L57" s="5" t="s">
        <v>65</v>
      </c>
    </row>
    <row r="58" customFormat="false" ht="23.85" hidden="false" customHeight="false" outlineLevel="0" collapsed="false">
      <c r="A58" s="5" t="s">
        <v>252</v>
      </c>
      <c r="B58" s="6" t="s">
        <v>253</v>
      </c>
      <c r="C58" s="5" t="n">
        <v>2.7</v>
      </c>
      <c r="D58" s="5"/>
      <c r="E58" s="5"/>
      <c r="F58" s="5" t="s">
        <v>110</v>
      </c>
      <c r="G58" s="8" t="s">
        <v>123</v>
      </c>
      <c r="H58" s="6" t="s">
        <v>254</v>
      </c>
      <c r="I58" s="5"/>
      <c r="J58" s="5" t="s">
        <v>125</v>
      </c>
      <c r="K58" s="6" t="s">
        <v>255</v>
      </c>
      <c r="L58" s="5" t="s">
        <v>54</v>
      </c>
    </row>
    <row r="59" customFormat="false" ht="57.45" hidden="false" customHeight="false" outlineLevel="0" collapsed="false">
      <c r="A59" s="5" t="s">
        <v>256</v>
      </c>
      <c r="B59" s="6" t="s">
        <v>257</v>
      </c>
      <c r="C59" s="5" t="n">
        <v>31.6</v>
      </c>
      <c r="D59" s="5"/>
      <c r="E59" s="5"/>
      <c r="F59" s="5" t="s">
        <v>110</v>
      </c>
      <c r="G59" s="8" t="s">
        <v>123</v>
      </c>
      <c r="H59" s="6" t="s">
        <v>254</v>
      </c>
      <c r="I59" s="5"/>
      <c r="J59" s="5" t="s">
        <v>125</v>
      </c>
      <c r="K59" s="6" t="s">
        <v>258</v>
      </c>
      <c r="L59" s="5" t="s">
        <v>54</v>
      </c>
    </row>
    <row r="60" customFormat="false" ht="46.25" hidden="false" customHeight="false" outlineLevel="0" collapsed="false">
      <c r="A60" s="5" t="s">
        <v>259</v>
      </c>
      <c r="B60" s="6" t="s">
        <v>260</v>
      </c>
      <c r="C60" s="5" t="n">
        <v>2</v>
      </c>
      <c r="D60" s="5"/>
      <c r="E60" s="5"/>
      <c r="F60" s="5" t="s">
        <v>110</v>
      </c>
      <c r="G60" s="8" t="s">
        <v>123</v>
      </c>
      <c r="H60" s="6" t="s">
        <v>254</v>
      </c>
      <c r="I60" s="5"/>
      <c r="J60" s="5" t="s">
        <v>125</v>
      </c>
      <c r="K60" s="6" t="s">
        <v>261</v>
      </c>
      <c r="L60" s="5" t="s">
        <v>54</v>
      </c>
    </row>
    <row r="61" customFormat="false" ht="23.85" hidden="false" customHeight="false" outlineLevel="0" collapsed="false">
      <c r="A61" s="5" t="s">
        <v>262</v>
      </c>
      <c r="B61" s="6" t="s">
        <v>263</v>
      </c>
      <c r="C61" s="5" t="n">
        <v>11.4</v>
      </c>
      <c r="D61" s="5"/>
      <c r="E61" s="5"/>
      <c r="F61" s="5" t="s">
        <v>110</v>
      </c>
      <c r="G61" s="8" t="s">
        <v>123</v>
      </c>
      <c r="H61" s="6" t="s">
        <v>264</v>
      </c>
      <c r="I61" s="5"/>
      <c r="J61" s="5" t="s">
        <v>125</v>
      </c>
      <c r="K61" s="6" t="s">
        <v>265</v>
      </c>
      <c r="L61" s="5" t="s">
        <v>65</v>
      </c>
    </row>
    <row r="62" customFormat="false" ht="23.85" hidden="false" customHeight="false" outlineLevel="0" collapsed="false">
      <c r="A62" s="5" t="s">
        <v>266</v>
      </c>
      <c r="B62" s="6" t="s">
        <v>267</v>
      </c>
      <c r="C62" s="5" t="n">
        <v>41.4</v>
      </c>
      <c r="D62" s="5"/>
      <c r="E62" s="5"/>
      <c r="F62" s="5" t="s">
        <v>110</v>
      </c>
      <c r="G62" s="8" t="s">
        <v>123</v>
      </c>
      <c r="H62" s="6" t="s">
        <v>268</v>
      </c>
      <c r="I62" s="5"/>
      <c r="J62" s="5" t="s">
        <v>125</v>
      </c>
      <c r="K62" s="6" t="s">
        <v>269</v>
      </c>
      <c r="L62" s="5" t="s">
        <v>65</v>
      </c>
    </row>
    <row r="63" customFormat="false" ht="23.85" hidden="false" customHeight="false" outlineLevel="0" collapsed="false">
      <c r="A63" s="5" t="s">
        <v>270</v>
      </c>
      <c r="B63" s="6" t="s">
        <v>271</v>
      </c>
      <c r="C63" s="5" t="n">
        <v>11.9</v>
      </c>
      <c r="D63" s="5"/>
      <c r="E63" s="5"/>
      <c r="F63" s="5" t="s">
        <v>110</v>
      </c>
      <c r="G63" s="8" t="s">
        <v>123</v>
      </c>
      <c r="H63" s="6" t="s">
        <v>268</v>
      </c>
      <c r="I63" s="5"/>
      <c r="J63" s="5" t="s">
        <v>125</v>
      </c>
      <c r="K63" s="6" t="s">
        <v>272</v>
      </c>
      <c r="L63" s="5" t="s">
        <v>65</v>
      </c>
    </row>
    <row r="64" customFormat="false" ht="23.85" hidden="false" customHeight="false" outlineLevel="0" collapsed="false">
      <c r="A64" s="5" t="s">
        <v>273</v>
      </c>
      <c r="B64" s="6" t="s">
        <v>274</v>
      </c>
      <c r="C64" s="5" t="n">
        <v>10.5</v>
      </c>
      <c r="D64" s="5"/>
      <c r="E64" s="5"/>
      <c r="F64" s="5" t="s">
        <v>110</v>
      </c>
      <c r="G64" s="8" t="s">
        <v>123</v>
      </c>
      <c r="H64" s="6" t="s">
        <v>268</v>
      </c>
      <c r="I64" s="5"/>
      <c r="J64" s="5" t="s">
        <v>125</v>
      </c>
      <c r="K64" s="6" t="s">
        <v>275</v>
      </c>
      <c r="L64" s="5" t="s">
        <v>65</v>
      </c>
    </row>
    <row r="65" customFormat="false" ht="35.05" hidden="false" customHeight="false" outlineLevel="0" collapsed="false">
      <c r="A65" s="5" t="s">
        <v>276</v>
      </c>
      <c r="B65" s="6" t="s">
        <v>277</v>
      </c>
      <c r="C65" s="5" t="n">
        <v>96</v>
      </c>
      <c r="D65" s="5"/>
      <c r="E65" s="5"/>
      <c r="F65" s="5" t="s">
        <v>110</v>
      </c>
      <c r="G65" s="8" t="s">
        <v>123</v>
      </c>
      <c r="H65" s="6" t="s">
        <v>268</v>
      </c>
      <c r="I65" s="5"/>
      <c r="J65" s="5" t="s">
        <v>125</v>
      </c>
      <c r="K65" s="6" t="s">
        <v>278</v>
      </c>
      <c r="L65" s="5" t="s">
        <v>65</v>
      </c>
    </row>
    <row r="66" customFormat="false" ht="23.85" hidden="false" customHeight="false" outlineLevel="0" collapsed="false">
      <c r="A66" s="5" t="s">
        <v>279</v>
      </c>
      <c r="B66" s="6" t="s">
        <v>280</v>
      </c>
      <c r="C66" s="5" t="n">
        <v>61</v>
      </c>
      <c r="D66" s="5"/>
      <c r="E66" s="5"/>
      <c r="F66" s="5" t="s">
        <v>158</v>
      </c>
      <c r="G66" s="8" t="s">
        <v>123</v>
      </c>
      <c r="H66" s="6" t="s">
        <v>268</v>
      </c>
      <c r="I66" s="5"/>
      <c r="J66" s="5" t="s">
        <v>125</v>
      </c>
      <c r="K66" s="6" t="s">
        <v>281</v>
      </c>
      <c r="L66" s="5" t="s">
        <v>65</v>
      </c>
    </row>
    <row r="67" customFormat="false" ht="23.85" hidden="false" customHeight="false" outlineLevel="0" collapsed="false">
      <c r="A67" s="5" t="s">
        <v>282</v>
      </c>
      <c r="B67" s="6" t="s">
        <v>283</v>
      </c>
      <c r="C67" s="5" t="n">
        <v>91</v>
      </c>
      <c r="D67" s="5"/>
      <c r="E67" s="5"/>
      <c r="F67" s="5" t="s">
        <v>158</v>
      </c>
      <c r="G67" s="8" t="s">
        <v>123</v>
      </c>
      <c r="H67" s="6" t="s">
        <v>268</v>
      </c>
      <c r="I67" s="5"/>
      <c r="J67" s="5" t="s">
        <v>125</v>
      </c>
      <c r="K67" s="6" t="s">
        <v>284</v>
      </c>
      <c r="L67" s="5" t="s">
        <v>65</v>
      </c>
    </row>
    <row r="68" customFormat="false" ht="23.85" hidden="false" customHeight="false" outlineLevel="0" collapsed="false">
      <c r="A68" s="5" t="s">
        <v>285</v>
      </c>
      <c r="B68" s="6" t="s">
        <v>286</v>
      </c>
      <c r="C68" s="5" t="n">
        <v>27.6</v>
      </c>
      <c r="D68" s="5"/>
      <c r="E68" s="5"/>
      <c r="F68" s="5" t="s">
        <v>110</v>
      </c>
      <c r="G68" s="8" t="s">
        <v>123</v>
      </c>
      <c r="H68" s="6" t="s">
        <v>268</v>
      </c>
      <c r="I68" s="5"/>
      <c r="J68" s="5" t="s">
        <v>125</v>
      </c>
      <c r="K68" s="6" t="s">
        <v>287</v>
      </c>
      <c r="L68" s="5" t="s">
        <v>54</v>
      </c>
    </row>
    <row r="69" customFormat="false" ht="23.85" hidden="false" customHeight="false" outlineLevel="0" collapsed="false">
      <c r="A69" s="5" t="s">
        <v>288</v>
      </c>
      <c r="B69" s="6" t="s">
        <v>289</v>
      </c>
      <c r="C69" s="5" t="n">
        <v>80</v>
      </c>
      <c r="D69" s="5"/>
      <c r="E69" s="5"/>
      <c r="F69" s="5" t="s">
        <v>110</v>
      </c>
      <c r="G69" s="8" t="s">
        <v>123</v>
      </c>
      <c r="H69" s="6" t="s">
        <v>290</v>
      </c>
      <c r="I69" s="5"/>
      <c r="J69" s="5" t="s">
        <v>125</v>
      </c>
      <c r="K69" s="6" t="s">
        <v>291</v>
      </c>
      <c r="L69" s="5" t="s">
        <v>54</v>
      </c>
    </row>
    <row r="70" customFormat="false" ht="35.05" hidden="false" customHeight="false" outlineLevel="0" collapsed="false">
      <c r="A70" s="5" t="s">
        <v>292</v>
      </c>
      <c r="B70" s="6" t="s">
        <v>293</v>
      </c>
      <c r="C70" s="5" t="n">
        <v>55</v>
      </c>
      <c r="D70" s="5"/>
      <c r="E70" s="5"/>
      <c r="F70" s="5" t="s">
        <v>110</v>
      </c>
      <c r="G70" s="8" t="s">
        <v>123</v>
      </c>
      <c r="H70" s="6" t="s">
        <v>290</v>
      </c>
      <c r="I70" s="5"/>
      <c r="J70" s="5" t="s">
        <v>125</v>
      </c>
      <c r="K70" s="6" t="s">
        <v>294</v>
      </c>
      <c r="L70" s="5" t="s">
        <v>54</v>
      </c>
    </row>
    <row r="71" customFormat="false" ht="57.45" hidden="false" customHeight="false" outlineLevel="0" collapsed="false">
      <c r="A71" s="5" t="s">
        <v>295</v>
      </c>
      <c r="B71" s="6" t="s">
        <v>296</v>
      </c>
      <c r="C71" s="5" t="n">
        <v>68</v>
      </c>
      <c r="D71" s="5"/>
      <c r="E71" s="5"/>
      <c r="F71" s="5" t="s">
        <v>110</v>
      </c>
      <c r="G71" s="8" t="s">
        <v>123</v>
      </c>
      <c r="H71" s="6" t="s">
        <v>297</v>
      </c>
      <c r="I71" s="5"/>
      <c r="J71" s="5" t="s">
        <v>125</v>
      </c>
      <c r="K71" s="6" t="s">
        <v>298</v>
      </c>
      <c r="L71" s="5" t="s">
        <v>54</v>
      </c>
    </row>
    <row r="72" customFormat="false" ht="23.85" hidden="false" customHeight="false" outlineLevel="0" collapsed="false">
      <c r="A72" s="5" t="s">
        <v>299</v>
      </c>
      <c r="B72" s="6" t="s">
        <v>300</v>
      </c>
      <c r="C72" s="5" t="n">
        <v>7.3</v>
      </c>
      <c r="D72" s="5" t="n">
        <v>5.2</v>
      </c>
      <c r="E72" s="5" t="n">
        <v>9.5</v>
      </c>
      <c r="F72" s="5" t="s">
        <v>110</v>
      </c>
      <c r="G72" s="8" t="s">
        <v>123</v>
      </c>
      <c r="H72" s="6" t="s">
        <v>301</v>
      </c>
      <c r="I72" s="5"/>
      <c r="J72" s="5" t="s">
        <v>125</v>
      </c>
      <c r="K72" s="6" t="s">
        <v>302</v>
      </c>
      <c r="L72" s="5" t="s">
        <v>54</v>
      </c>
    </row>
    <row r="73" customFormat="false" ht="35.05" hidden="false" customHeight="false" outlineLevel="0" collapsed="false">
      <c r="A73" s="5" t="s">
        <v>303</v>
      </c>
      <c r="B73" s="6" t="s">
        <v>304</v>
      </c>
      <c r="C73" s="5" t="n">
        <v>8</v>
      </c>
      <c r="D73" s="5" t="n">
        <v>5</v>
      </c>
      <c r="E73" s="5" t="n">
        <v>12</v>
      </c>
      <c r="F73" s="5" t="s">
        <v>110</v>
      </c>
      <c r="G73" s="9" t="s">
        <v>305</v>
      </c>
      <c r="H73" s="6" t="s">
        <v>306</v>
      </c>
      <c r="I73" s="5"/>
      <c r="J73" s="5" t="s">
        <v>125</v>
      </c>
      <c r="K73" s="6" t="s">
        <v>307</v>
      </c>
      <c r="L73" s="5" t="s">
        <v>50</v>
      </c>
    </row>
    <row r="74" customFormat="false" ht="23.85" hidden="false" customHeight="false" outlineLevel="0" collapsed="false">
      <c r="A74" s="5" t="s">
        <v>308</v>
      </c>
      <c r="B74" s="6" t="s">
        <v>309</v>
      </c>
      <c r="C74" s="5" t="n">
        <v>2</v>
      </c>
      <c r="D74" s="5" t="n">
        <v>0.5</v>
      </c>
      <c r="E74" s="5" t="n">
        <v>5</v>
      </c>
      <c r="F74" s="5" t="s">
        <v>110</v>
      </c>
      <c r="G74" s="9" t="s">
        <v>305</v>
      </c>
      <c r="H74" s="6" t="s">
        <v>310</v>
      </c>
      <c r="I74" s="5"/>
      <c r="J74" s="5" t="s">
        <v>125</v>
      </c>
      <c r="K74" s="6" t="s">
        <v>311</v>
      </c>
      <c r="L74" s="5" t="s">
        <v>50</v>
      </c>
    </row>
    <row r="75" customFormat="false" ht="35.05" hidden="false" customHeight="false" outlineLevel="0" collapsed="false">
      <c r="A75" s="5" t="s">
        <v>312</v>
      </c>
      <c r="B75" s="6" t="s">
        <v>313</v>
      </c>
      <c r="C75" s="5" t="n">
        <v>30</v>
      </c>
      <c r="D75" s="5" t="n">
        <v>10</v>
      </c>
      <c r="E75" s="5" t="n">
        <v>50</v>
      </c>
      <c r="F75" s="5" t="s">
        <v>110</v>
      </c>
      <c r="G75" s="9" t="s">
        <v>305</v>
      </c>
      <c r="H75" s="6" t="s">
        <v>310</v>
      </c>
      <c r="I75" s="5"/>
      <c r="J75" s="5" t="s">
        <v>125</v>
      </c>
      <c r="K75" s="6" t="s">
        <v>314</v>
      </c>
      <c r="L75" s="5" t="s">
        <v>50</v>
      </c>
    </row>
    <row r="76" customFormat="false" ht="23.85" hidden="false" customHeight="false" outlineLevel="0" collapsed="false">
      <c r="A76" s="5" t="s">
        <v>315</v>
      </c>
      <c r="B76" s="6" t="s">
        <v>316</v>
      </c>
      <c r="C76" s="5" t="n">
        <v>10</v>
      </c>
      <c r="D76" s="5" t="n">
        <v>5</v>
      </c>
      <c r="E76" s="5" t="n">
        <v>20</v>
      </c>
      <c r="F76" s="5" t="s">
        <v>110</v>
      </c>
      <c r="G76" s="9" t="s">
        <v>305</v>
      </c>
      <c r="H76" s="6" t="s">
        <v>310</v>
      </c>
      <c r="I76" s="5"/>
      <c r="J76" s="5" t="s">
        <v>125</v>
      </c>
      <c r="K76" s="6" t="s">
        <v>317</v>
      </c>
      <c r="L76" s="5" t="s">
        <v>50</v>
      </c>
    </row>
    <row r="77" customFormat="false" ht="46.25" hidden="false" customHeight="false" outlineLevel="0" collapsed="false">
      <c r="A77" s="5" t="s">
        <v>318</v>
      </c>
      <c r="B77" s="6" t="s">
        <v>319</v>
      </c>
      <c r="C77" s="5" t="n">
        <v>25</v>
      </c>
      <c r="D77" s="5" t="n">
        <v>10</v>
      </c>
      <c r="E77" s="5" t="n">
        <v>40</v>
      </c>
      <c r="F77" s="5" t="s">
        <v>110</v>
      </c>
      <c r="G77" s="9" t="s">
        <v>305</v>
      </c>
      <c r="H77" s="6" t="s">
        <v>310</v>
      </c>
      <c r="I77" s="5"/>
      <c r="J77" s="5" t="s">
        <v>125</v>
      </c>
      <c r="K77" s="6" t="s">
        <v>320</v>
      </c>
      <c r="L77" s="5" t="s">
        <v>65</v>
      </c>
    </row>
    <row r="78" customFormat="false" ht="35.05" hidden="false" customHeight="false" outlineLevel="0" collapsed="false">
      <c r="A78" s="5" t="s">
        <v>321</v>
      </c>
      <c r="B78" s="6" t="s">
        <v>322</v>
      </c>
      <c r="C78" s="5" t="n">
        <v>40</v>
      </c>
      <c r="D78" s="5" t="n">
        <v>30</v>
      </c>
      <c r="E78" s="5" t="n">
        <v>50</v>
      </c>
      <c r="F78" s="5" t="s">
        <v>110</v>
      </c>
      <c r="G78" s="9" t="s">
        <v>305</v>
      </c>
      <c r="H78" s="6" t="s">
        <v>310</v>
      </c>
      <c r="I78" s="5"/>
      <c r="J78" s="5" t="s">
        <v>125</v>
      </c>
      <c r="K78" s="6" t="s">
        <v>323</v>
      </c>
      <c r="L78" s="5" t="s">
        <v>144</v>
      </c>
    </row>
    <row r="79" customFormat="false" ht="23.85" hidden="false" customHeight="false" outlineLevel="0" collapsed="false">
      <c r="A79" s="5" t="s">
        <v>324</v>
      </c>
      <c r="B79" s="6" t="s">
        <v>325</v>
      </c>
      <c r="C79" s="5" t="n">
        <v>3</v>
      </c>
      <c r="D79" s="5" t="n">
        <v>1</v>
      </c>
      <c r="E79" s="5" t="n">
        <v>6</v>
      </c>
      <c r="F79" s="5" t="s">
        <v>326</v>
      </c>
      <c r="G79" s="9" t="s">
        <v>305</v>
      </c>
      <c r="H79" s="6" t="s">
        <v>310</v>
      </c>
      <c r="I79" s="5"/>
      <c r="J79" s="5" t="s">
        <v>125</v>
      </c>
      <c r="K79" s="6" t="s">
        <v>327</v>
      </c>
      <c r="L79" s="5" t="s">
        <v>144</v>
      </c>
    </row>
    <row r="80" customFormat="false" ht="23.85" hidden="false" customHeight="false" outlineLevel="0" collapsed="false">
      <c r="A80" s="5" t="s">
        <v>328</v>
      </c>
      <c r="B80" s="6" t="s">
        <v>329</v>
      </c>
      <c r="C80" s="5" t="n">
        <v>2000</v>
      </c>
      <c r="D80" s="5" t="n">
        <v>1000</v>
      </c>
      <c r="E80" s="5" t="n">
        <v>3500</v>
      </c>
      <c r="F80" s="5" t="s">
        <v>330</v>
      </c>
      <c r="G80" s="9" t="s">
        <v>305</v>
      </c>
      <c r="H80" s="6" t="s">
        <v>310</v>
      </c>
      <c r="I80" s="5"/>
      <c r="J80" s="5" t="s">
        <v>125</v>
      </c>
      <c r="K80" s="6" t="s">
        <v>331</v>
      </c>
      <c r="L80" s="5" t="s">
        <v>144</v>
      </c>
    </row>
    <row r="81" customFormat="false" ht="23.85" hidden="false" customHeight="false" outlineLevel="0" collapsed="false">
      <c r="A81" s="5" t="s">
        <v>332</v>
      </c>
      <c r="B81" s="6" t="s">
        <v>333</v>
      </c>
      <c r="C81" s="5" t="n">
        <v>15</v>
      </c>
      <c r="D81" s="5" t="n">
        <v>10</v>
      </c>
      <c r="E81" s="5" t="n">
        <v>25</v>
      </c>
      <c r="F81" s="5" t="s">
        <v>110</v>
      </c>
      <c r="G81" s="9" t="s">
        <v>305</v>
      </c>
      <c r="H81" s="6" t="s">
        <v>310</v>
      </c>
      <c r="I81" s="5"/>
      <c r="J81" s="5" t="s">
        <v>125</v>
      </c>
      <c r="K81" s="6" t="s">
        <v>334</v>
      </c>
      <c r="L81" s="5" t="s">
        <v>144</v>
      </c>
    </row>
    <row r="82" customFormat="false" ht="15" hidden="false" customHeight="false" outlineLevel="0" collapsed="false">
      <c r="A82" s="5" t="s">
        <v>335</v>
      </c>
      <c r="B82" s="6" t="s">
        <v>336</v>
      </c>
      <c r="C82" s="5" t="n">
        <v>48</v>
      </c>
      <c r="D82" s="5" t="n">
        <v>36</v>
      </c>
      <c r="E82" s="5" t="n">
        <v>60</v>
      </c>
      <c r="F82" s="5" t="s">
        <v>93</v>
      </c>
      <c r="G82" s="9" t="s">
        <v>305</v>
      </c>
      <c r="H82" s="6" t="s">
        <v>310</v>
      </c>
      <c r="I82" s="5"/>
      <c r="J82" s="5" t="s">
        <v>125</v>
      </c>
      <c r="K82" s="6" t="s">
        <v>189</v>
      </c>
      <c r="L82" s="5" t="s">
        <v>144</v>
      </c>
    </row>
    <row r="83" customFormat="false" ht="15" hidden="false" customHeight="false" outlineLevel="0" collapsed="false">
      <c r="A83" s="5" t="s">
        <v>337</v>
      </c>
      <c r="B83" s="6" t="s">
        <v>338</v>
      </c>
      <c r="C83" s="5" t="n">
        <v>7</v>
      </c>
      <c r="D83" s="5" t="n">
        <v>4</v>
      </c>
      <c r="E83" s="5" t="n">
        <v>10</v>
      </c>
      <c r="F83" s="5" t="s">
        <v>110</v>
      </c>
      <c r="G83" s="9" t="s">
        <v>305</v>
      </c>
      <c r="H83" s="6" t="s">
        <v>310</v>
      </c>
      <c r="I83" s="5"/>
      <c r="J83" s="5" t="s">
        <v>125</v>
      </c>
      <c r="K83" s="6" t="s">
        <v>189</v>
      </c>
      <c r="L83" s="5" t="s">
        <v>144</v>
      </c>
    </row>
    <row r="84" customFormat="false" ht="23.85" hidden="false" customHeight="false" outlineLevel="0" collapsed="false">
      <c r="A84" s="5" t="s">
        <v>339</v>
      </c>
      <c r="B84" s="6" t="s">
        <v>340</v>
      </c>
      <c r="C84" s="5" t="n">
        <v>10420</v>
      </c>
      <c r="D84" s="5"/>
      <c r="E84" s="5"/>
      <c r="F84" s="5" t="s">
        <v>341</v>
      </c>
      <c r="G84" s="8" t="s">
        <v>123</v>
      </c>
      <c r="H84" s="6" t="s">
        <v>342</v>
      </c>
      <c r="I84" s="5"/>
      <c r="J84" s="5" t="s">
        <v>125</v>
      </c>
      <c r="K84" s="6" t="s">
        <v>343</v>
      </c>
      <c r="L84" s="5" t="s">
        <v>144</v>
      </c>
    </row>
    <row r="85" customFormat="false" ht="35.05" hidden="false" customHeight="false" outlineLevel="0" collapsed="false">
      <c r="A85" s="5" t="s">
        <v>344</v>
      </c>
      <c r="B85" s="6" t="s">
        <v>345</v>
      </c>
      <c r="C85" s="5" t="n">
        <v>-13.1</v>
      </c>
      <c r="D85" s="5"/>
      <c r="E85" s="5"/>
      <c r="F85" s="5" t="s">
        <v>110</v>
      </c>
      <c r="G85" s="8" t="s">
        <v>123</v>
      </c>
      <c r="H85" s="6" t="s">
        <v>124</v>
      </c>
      <c r="I85" s="5"/>
      <c r="J85" s="5" t="s">
        <v>125</v>
      </c>
      <c r="K85" s="6" t="s">
        <v>346</v>
      </c>
      <c r="L85" s="5" t="s">
        <v>65</v>
      </c>
    </row>
    <row r="86" customFormat="false" ht="23.85" hidden="false" customHeight="false" outlineLevel="0" collapsed="false">
      <c r="A86" s="5" t="s">
        <v>347</v>
      </c>
      <c r="B86" s="6" t="s">
        <v>348</v>
      </c>
      <c r="C86" s="5" t="n">
        <v>-5</v>
      </c>
      <c r="D86" s="5"/>
      <c r="E86" s="5"/>
      <c r="F86" s="5" t="s">
        <v>110</v>
      </c>
      <c r="G86" s="8" t="s">
        <v>123</v>
      </c>
      <c r="H86" s="6" t="s">
        <v>124</v>
      </c>
      <c r="I86" s="5"/>
      <c r="J86" s="5" t="s">
        <v>125</v>
      </c>
      <c r="K86" s="6" t="s">
        <v>189</v>
      </c>
      <c r="L86" s="5" t="s">
        <v>65</v>
      </c>
    </row>
    <row r="87" customFormat="false" ht="35.05" hidden="false" customHeight="false" outlineLevel="0" collapsed="false">
      <c r="A87" s="5" t="s">
        <v>349</v>
      </c>
      <c r="B87" s="6" t="s">
        <v>350</v>
      </c>
      <c r="C87" s="5" t="n">
        <v>-38</v>
      </c>
      <c r="D87" s="5"/>
      <c r="E87" s="5"/>
      <c r="F87" s="5" t="s">
        <v>110</v>
      </c>
      <c r="G87" s="8" t="s">
        <v>123</v>
      </c>
      <c r="H87" s="6" t="s">
        <v>124</v>
      </c>
      <c r="I87" s="5"/>
      <c r="J87" s="5" t="s">
        <v>125</v>
      </c>
      <c r="K87" s="6" t="s">
        <v>351</v>
      </c>
      <c r="L87" s="5" t="s">
        <v>54</v>
      </c>
    </row>
    <row r="88" customFormat="false" ht="23.85" hidden="false" customHeight="false" outlineLevel="0" collapsed="false">
      <c r="A88" s="5" t="s">
        <v>352</v>
      </c>
      <c r="B88" s="6" t="s">
        <v>353</v>
      </c>
      <c r="C88" s="5" t="n">
        <v>59.9</v>
      </c>
      <c r="D88" s="5"/>
      <c r="E88" s="5"/>
      <c r="F88" s="5" t="s">
        <v>110</v>
      </c>
      <c r="G88" s="8" t="s">
        <v>123</v>
      </c>
      <c r="H88" s="6" t="s">
        <v>124</v>
      </c>
      <c r="I88" s="5"/>
      <c r="J88" s="5" t="s">
        <v>125</v>
      </c>
      <c r="K88" s="6" t="s">
        <v>189</v>
      </c>
      <c r="L88" s="5" t="s">
        <v>54</v>
      </c>
    </row>
    <row r="89" customFormat="false" ht="46.25" hidden="false" customHeight="false" outlineLevel="0" collapsed="false">
      <c r="A89" s="5" t="s">
        <v>354</v>
      </c>
      <c r="B89" s="6" t="s">
        <v>355</v>
      </c>
      <c r="C89" s="5" t="n">
        <v>276902</v>
      </c>
      <c r="D89" s="5"/>
      <c r="E89" s="5"/>
      <c r="F89" s="5" t="s">
        <v>356</v>
      </c>
      <c r="G89" s="8" t="s">
        <v>123</v>
      </c>
      <c r="H89" s="6" t="s">
        <v>357</v>
      </c>
      <c r="I89" s="5"/>
      <c r="J89" s="5" t="s">
        <v>125</v>
      </c>
      <c r="K89" s="6" t="s">
        <v>358</v>
      </c>
      <c r="L89" s="5" t="s">
        <v>54</v>
      </c>
    </row>
    <row r="90" customFormat="false" ht="68.65" hidden="false" customHeight="false" outlineLevel="0" collapsed="false">
      <c r="A90" s="5" t="s">
        <v>359</v>
      </c>
      <c r="B90" s="6" t="s">
        <v>360</v>
      </c>
      <c r="C90" s="5" t="n">
        <v>17.4</v>
      </c>
      <c r="D90" s="5"/>
      <c r="E90" s="5"/>
      <c r="F90" s="5" t="s">
        <v>110</v>
      </c>
      <c r="G90" s="8" t="s">
        <v>123</v>
      </c>
      <c r="H90" s="6" t="s">
        <v>361</v>
      </c>
      <c r="I90" s="5"/>
      <c r="J90" s="5" t="s">
        <v>125</v>
      </c>
      <c r="K90" s="6" t="s">
        <v>362</v>
      </c>
      <c r="L90" s="5" t="s">
        <v>54</v>
      </c>
    </row>
    <row r="91" customFormat="false" ht="79.85" hidden="false" customHeight="false" outlineLevel="0" collapsed="false">
      <c r="A91" s="5" t="s">
        <v>363</v>
      </c>
      <c r="B91" s="6" t="s">
        <v>364</v>
      </c>
      <c r="C91" s="5" t="n">
        <v>21.9</v>
      </c>
      <c r="D91" s="5"/>
      <c r="E91" s="5"/>
      <c r="F91" s="5" t="s">
        <v>110</v>
      </c>
      <c r="G91" s="8" t="s">
        <v>123</v>
      </c>
      <c r="H91" s="6" t="s">
        <v>365</v>
      </c>
      <c r="I91" s="5"/>
      <c r="J91" s="5" t="s">
        <v>125</v>
      </c>
      <c r="K91" s="6" t="s">
        <v>366</v>
      </c>
      <c r="L91" s="5" t="s">
        <v>54</v>
      </c>
    </row>
    <row r="92" customFormat="false" ht="79.85" hidden="false" customHeight="false" outlineLevel="0" collapsed="false">
      <c r="A92" s="5" t="s">
        <v>367</v>
      </c>
      <c r="B92" s="6" t="s">
        <v>368</v>
      </c>
      <c r="C92" s="5" t="n">
        <v>98.7</v>
      </c>
      <c r="D92" s="5"/>
      <c r="E92" s="5"/>
      <c r="F92" s="5" t="s">
        <v>110</v>
      </c>
      <c r="G92" s="8" t="s">
        <v>123</v>
      </c>
      <c r="H92" s="6" t="s">
        <v>369</v>
      </c>
      <c r="I92" s="5"/>
      <c r="J92" s="5" t="s">
        <v>125</v>
      </c>
      <c r="K92" s="6" t="s">
        <v>370</v>
      </c>
      <c r="L92" s="5" t="s">
        <v>54</v>
      </c>
    </row>
    <row r="93" customFormat="false" ht="57.45" hidden="false" customHeight="false" outlineLevel="0" collapsed="false">
      <c r="A93" s="5" t="s">
        <v>371</v>
      </c>
      <c r="B93" s="6" t="s">
        <v>372</v>
      </c>
      <c r="C93" s="5" t="n">
        <v>96.7</v>
      </c>
      <c r="D93" s="5"/>
      <c r="E93" s="5"/>
      <c r="F93" s="5" t="s">
        <v>110</v>
      </c>
      <c r="G93" s="8" t="s">
        <v>123</v>
      </c>
      <c r="H93" s="6" t="s">
        <v>369</v>
      </c>
      <c r="I93" s="5"/>
      <c r="J93" s="5" t="s">
        <v>125</v>
      </c>
      <c r="K93" s="6" t="s">
        <v>373</v>
      </c>
      <c r="L93" s="5" t="s">
        <v>54</v>
      </c>
    </row>
    <row r="94" customFormat="false" ht="57.45" hidden="false" customHeight="false" outlineLevel="0" collapsed="false">
      <c r="A94" s="5" t="s">
        <v>374</v>
      </c>
      <c r="B94" s="6" t="s">
        <v>375</v>
      </c>
      <c r="C94" s="5" t="n">
        <v>20.7</v>
      </c>
      <c r="D94" s="5"/>
      <c r="E94" s="5"/>
      <c r="F94" s="5" t="s">
        <v>110</v>
      </c>
      <c r="G94" s="8" t="s">
        <v>123</v>
      </c>
      <c r="H94" s="6" t="s">
        <v>369</v>
      </c>
      <c r="I94" s="5"/>
      <c r="J94" s="5" t="s">
        <v>125</v>
      </c>
      <c r="K94" s="6" t="s">
        <v>376</v>
      </c>
      <c r="L94" s="5" t="s">
        <v>54</v>
      </c>
    </row>
    <row r="95" customFormat="false" ht="91" hidden="false" customHeight="false" outlineLevel="0" collapsed="false">
      <c r="A95" s="5" t="s">
        <v>377</v>
      </c>
      <c r="B95" s="6" t="s">
        <v>378</v>
      </c>
      <c r="C95" s="5" t="n">
        <v>7.4</v>
      </c>
      <c r="D95" s="5"/>
      <c r="E95" s="5"/>
      <c r="F95" s="5" t="s">
        <v>110</v>
      </c>
      <c r="G95" s="8" t="s">
        <v>123</v>
      </c>
      <c r="H95" s="6" t="s">
        <v>379</v>
      </c>
      <c r="I95" s="5"/>
      <c r="J95" s="5" t="s">
        <v>125</v>
      </c>
      <c r="K95" s="6" t="s">
        <v>380</v>
      </c>
      <c r="L95" s="5" t="s">
        <v>54</v>
      </c>
    </row>
    <row r="96" customFormat="false" ht="57.45" hidden="false" customHeight="false" outlineLevel="0" collapsed="false">
      <c r="A96" s="5" t="s">
        <v>381</v>
      </c>
      <c r="B96" s="6" t="s">
        <v>382</v>
      </c>
      <c r="C96" s="5" t="n">
        <v>80.3</v>
      </c>
      <c r="D96" s="5"/>
      <c r="E96" s="5"/>
      <c r="F96" s="5" t="s">
        <v>110</v>
      </c>
      <c r="G96" s="8" t="s">
        <v>123</v>
      </c>
      <c r="H96" s="6" t="s">
        <v>383</v>
      </c>
      <c r="I96" s="5"/>
      <c r="J96" s="5" t="s">
        <v>125</v>
      </c>
      <c r="K96" s="6" t="s">
        <v>384</v>
      </c>
      <c r="L96" s="5" t="s">
        <v>54</v>
      </c>
    </row>
    <row r="97" customFormat="false" ht="57.45" hidden="false" customHeight="false" outlineLevel="0" collapsed="false">
      <c r="A97" s="5" t="s">
        <v>385</v>
      </c>
      <c r="B97" s="6" t="s">
        <v>386</v>
      </c>
      <c r="C97" s="5" t="n">
        <v>96</v>
      </c>
      <c r="D97" s="5"/>
      <c r="E97" s="5"/>
      <c r="F97" s="5" t="s">
        <v>110</v>
      </c>
      <c r="G97" s="8" t="s">
        <v>123</v>
      </c>
      <c r="H97" s="6" t="s">
        <v>383</v>
      </c>
      <c r="I97" s="5"/>
      <c r="J97" s="5" t="s">
        <v>125</v>
      </c>
      <c r="K97" s="6" t="s">
        <v>387</v>
      </c>
      <c r="L97" s="5" t="s">
        <v>54</v>
      </c>
    </row>
    <row r="98" customFormat="false" ht="57.45" hidden="false" customHeight="false" outlineLevel="0" collapsed="false">
      <c r="A98" s="5" t="s">
        <v>388</v>
      </c>
      <c r="B98" s="6" t="s">
        <v>389</v>
      </c>
      <c r="C98" s="5" t="n">
        <v>8344</v>
      </c>
      <c r="D98" s="5"/>
      <c r="E98" s="5"/>
      <c r="F98" s="5" t="s">
        <v>356</v>
      </c>
      <c r="G98" s="8" t="s">
        <v>123</v>
      </c>
      <c r="H98" s="6" t="s">
        <v>383</v>
      </c>
      <c r="I98" s="5"/>
      <c r="J98" s="5" t="s">
        <v>125</v>
      </c>
      <c r="K98" s="6" t="s">
        <v>390</v>
      </c>
      <c r="L98" s="5" t="s">
        <v>54</v>
      </c>
    </row>
    <row r="99" customFormat="false" ht="35.05" hidden="false" customHeight="false" outlineLevel="0" collapsed="false">
      <c r="A99" s="5" t="s">
        <v>391</v>
      </c>
      <c r="B99" s="6" t="s">
        <v>392</v>
      </c>
      <c r="C99" s="5" t="n">
        <v>64.6</v>
      </c>
      <c r="D99" s="5"/>
      <c r="E99" s="5"/>
      <c r="F99" s="5" t="s">
        <v>393</v>
      </c>
      <c r="G99" s="8" t="s">
        <v>123</v>
      </c>
      <c r="H99" s="6" t="s">
        <v>147</v>
      </c>
      <c r="I99" s="5"/>
      <c r="J99" s="5" t="s">
        <v>394</v>
      </c>
      <c r="K99" s="6" t="s">
        <v>395</v>
      </c>
      <c r="L99" s="5" t="s">
        <v>54</v>
      </c>
    </row>
    <row r="100" customFormat="false" ht="35.05" hidden="false" customHeight="false" outlineLevel="0" collapsed="false">
      <c r="A100" s="5" t="s">
        <v>396</v>
      </c>
      <c r="B100" s="6" t="s">
        <v>397</v>
      </c>
      <c r="C100" s="5" t="n">
        <v>1.53</v>
      </c>
      <c r="D100" s="5"/>
      <c r="E100" s="5"/>
      <c r="F100" s="5" t="s">
        <v>398</v>
      </c>
      <c r="G100" s="8" t="s">
        <v>123</v>
      </c>
      <c r="H100" s="6" t="s">
        <v>147</v>
      </c>
      <c r="I100" s="5"/>
      <c r="J100" s="5" t="s">
        <v>394</v>
      </c>
      <c r="K100" s="6" t="s">
        <v>399</v>
      </c>
      <c r="L100" s="5" t="s">
        <v>54</v>
      </c>
    </row>
    <row r="101" customFormat="false" ht="57.45" hidden="false" customHeight="false" outlineLevel="0" collapsed="false">
      <c r="A101" s="5" t="s">
        <v>400</v>
      </c>
      <c r="B101" s="6" t="s">
        <v>401</v>
      </c>
      <c r="C101" s="5" t="n">
        <v>42.3</v>
      </c>
      <c r="D101" s="5"/>
      <c r="E101" s="5"/>
      <c r="F101" s="5" t="s">
        <v>402</v>
      </c>
      <c r="G101" s="8" t="s">
        <v>123</v>
      </c>
      <c r="H101" s="6" t="s">
        <v>147</v>
      </c>
      <c r="I101" s="5"/>
      <c r="J101" s="5" t="s">
        <v>394</v>
      </c>
      <c r="K101" s="6" t="s">
        <v>403</v>
      </c>
      <c r="L101" s="5" t="s">
        <v>54</v>
      </c>
    </row>
    <row r="102" customFormat="false" ht="46.25" hidden="false" customHeight="false" outlineLevel="0" collapsed="false">
      <c r="A102" s="5" t="s">
        <v>404</v>
      </c>
      <c r="B102" s="6" t="s">
        <v>405</v>
      </c>
      <c r="C102" s="5" t="n">
        <v>11969</v>
      </c>
      <c r="D102" s="5"/>
      <c r="E102" s="5"/>
      <c r="F102" s="5" t="s">
        <v>330</v>
      </c>
      <c r="G102" s="8" t="s">
        <v>123</v>
      </c>
      <c r="H102" s="6" t="s">
        <v>268</v>
      </c>
      <c r="I102" s="5"/>
      <c r="J102" s="5" t="s">
        <v>394</v>
      </c>
      <c r="K102" s="6" t="s">
        <v>406</v>
      </c>
      <c r="L102" s="5" t="s">
        <v>407</v>
      </c>
    </row>
    <row r="103" customFormat="false" ht="46.25" hidden="false" customHeight="false" outlineLevel="0" collapsed="false">
      <c r="A103" s="5" t="s">
        <v>408</v>
      </c>
      <c r="B103" s="6" t="s">
        <v>409</v>
      </c>
      <c r="C103" s="5" t="n">
        <v>10.5</v>
      </c>
      <c r="D103" s="5"/>
      <c r="E103" s="5"/>
      <c r="F103" s="5" t="s">
        <v>110</v>
      </c>
      <c r="G103" s="8" t="s">
        <v>123</v>
      </c>
      <c r="H103" s="6" t="s">
        <v>290</v>
      </c>
      <c r="I103" s="5"/>
      <c r="J103" s="5" t="s">
        <v>394</v>
      </c>
      <c r="K103" s="6" t="s">
        <v>410</v>
      </c>
      <c r="L103" s="5" t="s">
        <v>54</v>
      </c>
    </row>
    <row r="104" customFormat="false" ht="35.05" hidden="false" customHeight="false" outlineLevel="0" collapsed="false">
      <c r="A104" s="5" t="s">
        <v>411</v>
      </c>
      <c r="B104" s="6" t="s">
        <v>412</v>
      </c>
      <c r="C104" s="5" t="n">
        <v>2419</v>
      </c>
      <c r="D104" s="5"/>
      <c r="E104" s="5"/>
      <c r="F104" s="5" t="s">
        <v>48</v>
      </c>
      <c r="G104" s="7" t="s">
        <v>40</v>
      </c>
      <c r="H104" s="6" t="s">
        <v>413</v>
      </c>
      <c r="I104" s="5" t="s">
        <v>42</v>
      </c>
      <c r="J104" s="5" t="s">
        <v>394</v>
      </c>
      <c r="K104" s="6" t="s">
        <v>414</v>
      </c>
      <c r="L104" s="5" t="s">
        <v>54</v>
      </c>
    </row>
    <row r="105" customFormat="false" ht="35.05" hidden="false" customHeight="false" outlineLevel="0" collapsed="false">
      <c r="A105" s="5" t="s">
        <v>415</v>
      </c>
      <c r="B105" s="6" t="s">
        <v>416</v>
      </c>
      <c r="C105" s="5" t="n">
        <v>2576000</v>
      </c>
      <c r="D105" s="5"/>
      <c r="E105" s="5"/>
      <c r="F105" s="5" t="s">
        <v>39</v>
      </c>
      <c r="G105" s="7" t="s">
        <v>40</v>
      </c>
      <c r="H105" s="6" t="s">
        <v>413</v>
      </c>
      <c r="I105" s="5" t="s">
        <v>42</v>
      </c>
      <c r="J105" s="5" t="s">
        <v>394</v>
      </c>
      <c r="K105" s="6" t="s">
        <v>417</v>
      </c>
      <c r="L105" s="5" t="s">
        <v>54</v>
      </c>
    </row>
    <row r="106" customFormat="false" ht="46.25" hidden="false" customHeight="false" outlineLevel="0" collapsed="false">
      <c r="A106" s="5" t="s">
        <v>418</v>
      </c>
      <c r="B106" s="6" t="s">
        <v>419</v>
      </c>
      <c r="C106" s="5" t="n">
        <v>2576</v>
      </c>
      <c r="D106" s="5"/>
      <c r="E106" s="5"/>
      <c r="F106" s="5" t="s">
        <v>48</v>
      </c>
      <c r="G106" s="7" t="s">
        <v>40</v>
      </c>
      <c r="H106" s="6" t="s">
        <v>61</v>
      </c>
      <c r="I106" s="5" t="s">
        <v>62</v>
      </c>
      <c r="J106" s="5" t="s">
        <v>394</v>
      </c>
      <c r="K106" s="6" t="s">
        <v>420</v>
      </c>
      <c r="L106" s="5" t="s">
        <v>65</v>
      </c>
    </row>
    <row r="107" customFormat="false" ht="102.2" hidden="false" customHeight="false" outlineLevel="0" collapsed="false">
      <c r="A107" s="5" t="s">
        <v>421</v>
      </c>
      <c r="B107" s="6" t="s">
        <v>422</v>
      </c>
      <c r="C107" s="5" t="n">
        <v>10</v>
      </c>
      <c r="D107" s="5" t="n">
        <v>-1.4</v>
      </c>
      <c r="E107" s="5" t="n">
        <v>13.1</v>
      </c>
      <c r="F107" s="5" t="s">
        <v>158</v>
      </c>
      <c r="G107" s="9" t="s">
        <v>305</v>
      </c>
      <c r="H107" s="6" t="s">
        <v>423</v>
      </c>
      <c r="I107" s="5" t="s">
        <v>424</v>
      </c>
      <c r="J107" s="5" t="s">
        <v>394</v>
      </c>
      <c r="K107" s="6" t="s">
        <v>425</v>
      </c>
      <c r="L107" s="5" t="s">
        <v>407</v>
      </c>
    </row>
    <row r="108" customFormat="false" ht="68.65" hidden="false" customHeight="false" outlineLevel="0" collapsed="false">
      <c r="A108" s="5" t="s">
        <v>426</v>
      </c>
      <c r="B108" s="6" t="s">
        <v>427</v>
      </c>
      <c r="C108" s="5" t="n">
        <v>8</v>
      </c>
      <c r="D108" s="5" t="n">
        <v>5</v>
      </c>
      <c r="E108" s="5" t="n">
        <v>12</v>
      </c>
      <c r="F108" s="5" t="s">
        <v>158</v>
      </c>
      <c r="G108" s="9" t="s">
        <v>305</v>
      </c>
      <c r="H108" s="6" t="s">
        <v>428</v>
      </c>
      <c r="I108" s="5"/>
      <c r="J108" s="5" t="s">
        <v>394</v>
      </c>
      <c r="K108" s="6" t="s">
        <v>429</v>
      </c>
      <c r="L108" s="5" t="s">
        <v>407</v>
      </c>
    </row>
    <row r="109" customFormat="false" ht="102.2" hidden="false" customHeight="false" outlineLevel="0" collapsed="false">
      <c r="A109" s="5" t="s">
        <v>430</v>
      </c>
      <c r="B109" s="6" t="s">
        <v>431</v>
      </c>
      <c r="C109" s="5" t="n">
        <v>2.5</v>
      </c>
      <c r="D109" s="5" t="n">
        <v>1.25</v>
      </c>
      <c r="E109" s="5" t="n">
        <v>4</v>
      </c>
      <c r="F109" s="5" t="s">
        <v>158</v>
      </c>
      <c r="G109" s="9" t="s">
        <v>305</v>
      </c>
      <c r="H109" s="6" t="s">
        <v>432</v>
      </c>
      <c r="I109" s="5" t="s">
        <v>433</v>
      </c>
      <c r="J109" s="5" t="s">
        <v>394</v>
      </c>
      <c r="K109" s="6" t="s">
        <v>434</v>
      </c>
      <c r="L109" s="5" t="s">
        <v>407</v>
      </c>
    </row>
    <row r="110" customFormat="false" ht="102.2" hidden="false" customHeight="false" outlineLevel="0" collapsed="false">
      <c r="A110" s="5" t="s">
        <v>435</v>
      </c>
      <c r="B110" s="6" t="s">
        <v>436</v>
      </c>
      <c r="C110" s="5" t="n">
        <v>450</v>
      </c>
      <c r="D110" s="5" t="n">
        <v>399</v>
      </c>
      <c r="E110" s="5" t="n">
        <v>797</v>
      </c>
      <c r="F110" s="5" t="s">
        <v>330</v>
      </c>
      <c r="G110" s="9" t="s">
        <v>305</v>
      </c>
      <c r="H110" s="6" t="s">
        <v>437</v>
      </c>
      <c r="I110" s="5" t="s">
        <v>438</v>
      </c>
      <c r="J110" s="5" t="s">
        <v>394</v>
      </c>
      <c r="K110" s="6" t="s">
        <v>439</v>
      </c>
      <c r="L110" s="5" t="s">
        <v>407</v>
      </c>
    </row>
    <row r="111" customFormat="false" ht="79.85" hidden="false" customHeight="false" outlineLevel="0" collapsed="false">
      <c r="A111" s="5" t="s">
        <v>440</v>
      </c>
      <c r="B111" s="6" t="s">
        <v>441</v>
      </c>
      <c r="C111" s="5" t="n">
        <v>-66</v>
      </c>
      <c r="D111" s="5" t="n">
        <v>-106</v>
      </c>
      <c r="E111" s="5" t="n">
        <v>-64</v>
      </c>
      <c r="F111" s="5" t="s">
        <v>330</v>
      </c>
      <c r="G111" s="9" t="s">
        <v>305</v>
      </c>
      <c r="H111" s="6" t="s">
        <v>442</v>
      </c>
      <c r="I111" s="5" t="s">
        <v>438</v>
      </c>
      <c r="J111" s="5" t="s">
        <v>394</v>
      </c>
      <c r="K111" s="6" t="s">
        <v>443</v>
      </c>
      <c r="L111" s="5" t="s">
        <v>407</v>
      </c>
    </row>
    <row r="112" customFormat="false" ht="91" hidden="false" customHeight="false" outlineLevel="0" collapsed="false">
      <c r="A112" s="5" t="s">
        <v>444</v>
      </c>
      <c r="B112" s="6" t="s">
        <v>445</v>
      </c>
      <c r="C112" s="5" t="n">
        <v>400</v>
      </c>
      <c r="D112" s="5" t="n">
        <v>200</v>
      </c>
      <c r="E112" s="5" t="n">
        <v>900</v>
      </c>
      <c r="F112" s="5" t="s">
        <v>330</v>
      </c>
      <c r="G112" s="9" t="s">
        <v>305</v>
      </c>
      <c r="H112" s="6" t="s">
        <v>446</v>
      </c>
      <c r="I112" s="5" t="s">
        <v>447</v>
      </c>
      <c r="J112" s="5" t="s">
        <v>394</v>
      </c>
      <c r="K112" s="6" t="s">
        <v>448</v>
      </c>
      <c r="L112" s="5" t="s">
        <v>407</v>
      </c>
    </row>
    <row r="113" customFormat="false" ht="91" hidden="false" customHeight="false" outlineLevel="0" collapsed="false">
      <c r="A113" s="5" t="s">
        <v>449</v>
      </c>
      <c r="B113" s="6" t="s">
        <v>450</v>
      </c>
      <c r="C113" s="5" t="n">
        <v>-500</v>
      </c>
      <c r="D113" s="5" t="n">
        <v>-1020</v>
      </c>
      <c r="E113" s="5" t="n">
        <v>-300</v>
      </c>
      <c r="F113" s="5" t="s">
        <v>330</v>
      </c>
      <c r="G113" s="9" t="s">
        <v>305</v>
      </c>
      <c r="H113" s="6" t="s">
        <v>451</v>
      </c>
      <c r="I113" s="5" t="s">
        <v>452</v>
      </c>
      <c r="J113" s="5" t="s">
        <v>394</v>
      </c>
      <c r="K113" s="6" t="s">
        <v>453</v>
      </c>
      <c r="L113" s="5" t="s">
        <v>407</v>
      </c>
    </row>
    <row r="114" customFormat="false" ht="102.2" hidden="false" customHeight="false" outlineLevel="0" collapsed="false">
      <c r="A114" s="5" t="s">
        <v>454</v>
      </c>
      <c r="B114" s="6" t="s">
        <v>455</v>
      </c>
      <c r="C114" s="5" t="n">
        <v>300</v>
      </c>
      <c r="D114" s="5" t="n">
        <v>100</v>
      </c>
      <c r="E114" s="5" t="n">
        <v>1725</v>
      </c>
      <c r="F114" s="5" t="s">
        <v>330</v>
      </c>
      <c r="G114" s="9" t="s">
        <v>305</v>
      </c>
      <c r="H114" s="6" t="s">
        <v>456</v>
      </c>
      <c r="I114" s="5" t="s">
        <v>447</v>
      </c>
      <c r="J114" s="5" t="s">
        <v>394</v>
      </c>
      <c r="K114" s="6" t="s">
        <v>457</v>
      </c>
      <c r="L114" s="5" t="s">
        <v>407</v>
      </c>
    </row>
    <row r="115" customFormat="false" ht="46.25" hidden="false" customHeight="false" outlineLevel="0" collapsed="false">
      <c r="A115" s="5" t="s">
        <v>458</v>
      </c>
      <c r="B115" s="6" t="s">
        <v>459</v>
      </c>
      <c r="C115" s="5" t="n">
        <v>13</v>
      </c>
      <c r="D115" s="5" t="n">
        <v>10</v>
      </c>
      <c r="E115" s="5" t="n">
        <v>17</v>
      </c>
      <c r="F115" s="5" t="s">
        <v>48</v>
      </c>
      <c r="G115" s="9" t="s">
        <v>305</v>
      </c>
      <c r="H115" s="6" t="s">
        <v>460</v>
      </c>
      <c r="I115" s="5"/>
      <c r="J115" s="5" t="s">
        <v>394</v>
      </c>
      <c r="K115" s="6" t="s">
        <v>461</v>
      </c>
      <c r="L115" s="5" t="s">
        <v>462</v>
      </c>
    </row>
    <row r="116" customFormat="false" ht="35.05" hidden="false" customHeight="false" outlineLevel="0" collapsed="false">
      <c r="A116" s="5" t="s">
        <v>463</v>
      </c>
      <c r="B116" s="6" t="s">
        <v>464</v>
      </c>
      <c r="C116" s="5" t="n">
        <v>4</v>
      </c>
      <c r="D116" s="5" t="n">
        <v>3</v>
      </c>
      <c r="E116" s="5" t="n">
        <v>6</v>
      </c>
      <c r="F116" s="5" t="s">
        <v>48</v>
      </c>
      <c r="G116" s="9" t="s">
        <v>305</v>
      </c>
      <c r="H116" s="6" t="s">
        <v>460</v>
      </c>
      <c r="I116" s="5"/>
      <c r="J116" s="5" t="s">
        <v>394</v>
      </c>
      <c r="K116" s="6" t="s">
        <v>465</v>
      </c>
      <c r="L116" s="5" t="s">
        <v>462</v>
      </c>
    </row>
    <row r="117" customFormat="false" ht="35.05" hidden="false" customHeight="false" outlineLevel="0" collapsed="false">
      <c r="A117" s="5" t="s">
        <v>466</v>
      </c>
      <c r="B117" s="6" t="s">
        <v>467</v>
      </c>
      <c r="C117" s="5" t="n">
        <v>3</v>
      </c>
      <c r="D117" s="5" t="n">
        <v>2</v>
      </c>
      <c r="E117" s="5" t="n">
        <v>4</v>
      </c>
      <c r="F117" s="5" t="s">
        <v>48</v>
      </c>
      <c r="G117" s="9" t="s">
        <v>305</v>
      </c>
      <c r="H117" s="6" t="s">
        <v>460</v>
      </c>
      <c r="I117" s="5"/>
      <c r="J117" s="5" t="s">
        <v>394</v>
      </c>
      <c r="K117" s="6" t="s">
        <v>468</v>
      </c>
      <c r="L117" s="5" t="s">
        <v>462</v>
      </c>
    </row>
    <row r="118" customFormat="false" ht="57.45" hidden="false" customHeight="false" outlineLevel="0" collapsed="false">
      <c r="A118" s="5" t="s">
        <v>469</v>
      </c>
      <c r="B118" s="6" t="s">
        <v>470</v>
      </c>
      <c r="C118" s="5" t="n">
        <v>95</v>
      </c>
      <c r="D118" s="5"/>
      <c r="E118" s="5"/>
      <c r="F118" s="5" t="s">
        <v>471</v>
      </c>
      <c r="G118" s="10" t="s">
        <v>472</v>
      </c>
      <c r="H118" s="6" t="s">
        <v>473</v>
      </c>
      <c r="I118" s="5"/>
      <c r="J118" s="5" t="s">
        <v>394</v>
      </c>
      <c r="K118" s="6" t="s">
        <v>474</v>
      </c>
      <c r="L118" s="5" t="s">
        <v>475</v>
      </c>
    </row>
    <row r="119" customFormat="false" ht="46.25" hidden="false" customHeight="false" outlineLevel="0" collapsed="false">
      <c r="A119" s="5" t="s">
        <v>476</v>
      </c>
      <c r="B119" s="6" t="s">
        <v>477</v>
      </c>
      <c r="C119" s="5" t="n">
        <v>95</v>
      </c>
      <c r="D119" s="5"/>
      <c r="E119" s="5"/>
      <c r="F119" s="5" t="s">
        <v>471</v>
      </c>
      <c r="G119" s="10" t="s">
        <v>472</v>
      </c>
      <c r="H119" s="6" t="s">
        <v>473</v>
      </c>
      <c r="I119" s="5"/>
      <c r="J119" s="5" t="s">
        <v>394</v>
      </c>
      <c r="K119" s="6" t="s">
        <v>478</v>
      </c>
      <c r="L119" s="5" t="s">
        <v>475</v>
      </c>
    </row>
    <row r="120" customFormat="false" ht="79.85" hidden="false" customHeight="false" outlineLevel="0" collapsed="false">
      <c r="A120" s="5" t="s">
        <v>479</v>
      </c>
      <c r="B120" s="6" t="s">
        <v>480</v>
      </c>
      <c r="C120" s="5" t="n">
        <v>90</v>
      </c>
      <c r="D120" s="5"/>
      <c r="E120" s="5"/>
      <c r="F120" s="5" t="s">
        <v>110</v>
      </c>
      <c r="G120" s="10" t="s">
        <v>472</v>
      </c>
      <c r="H120" s="6" t="s">
        <v>473</v>
      </c>
      <c r="I120" s="5"/>
      <c r="J120" s="5" t="s">
        <v>394</v>
      </c>
      <c r="K120" s="6" t="s">
        <v>481</v>
      </c>
      <c r="L120" s="5" t="s">
        <v>475</v>
      </c>
    </row>
    <row r="121" customFormat="false" ht="79.85" hidden="false" customHeight="false" outlineLevel="0" collapsed="false">
      <c r="A121" s="5" t="s">
        <v>482</v>
      </c>
      <c r="B121" s="6" t="s">
        <v>483</v>
      </c>
      <c r="C121" s="5" t="n">
        <v>70</v>
      </c>
      <c r="D121" s="5"/>
      <c r="E121" s="5"/>
      <c r="F121" s="5" t="s">
        <v>110</v>
      </c>
      <c r="G121" s="10" t="s">
        <v>472</v>
      </c>
      <c r="H121" s="6" t="s">
        <v>473</v>
      </c>
      <c r="I121" s="5"/>
      <c r="J121" s="5" t="s">
        <v>394</v>
      </c>
      <c r="K121" s="6" t="s">
        <v>484</v>
      </c>
      <c r="L121" s="5" t="s">
        <v>475</v>
      </c>
    </row>
    <row r="122" customFormat="false" ht="35.05" hidden="false" customHeight="false" outlineLevel="0" collapsed="false">
      <c r="A122" s="5" t="s">
        <v>485</v>
      </c>
      <c r="B122" s="6" t="s">
        <v>486</v>
      </c>
      <c r="C122" s="5" t="n">
        <v>0.5</v>
      </c>
      <c r="D122" s="5"/>
      <c r="E122" s="5"/>
      <c r="F122" s="5" t="s">
        <v>487</v>
      </c>
      <c r="G122" s="10" t="s">
        <v>472</v>
      </c>
      <c r="H122" s="6" t="s">
        <v>473</v>
      </c>
      <c r="I122" s="5"/>
      <c r="J122" s="5" t="s">
        <v>394</v>
      </c>
      <c r="K122" s="6" t="s">
        <v>488</v>
      </c>
      <c r="L122" s="5" t="s">
        <v>475</v>
      </c>
    </row>
    <row r="123" customFormat="false" ht="46.25" hidden="false" customHeight="false" outlineLevel="0" collapsed="false">
      <c r="A123" s="5" t="s">
        <v>489</v>
      </c>
      <c r="B123" s="6" t="s">
        <v>490</v>
      </c>
      <c r="C123" s="5" t="n">
        <v>2</v>
      </c>
      <c r="D123" s="5"/>
      <c r="E123" s="5"/>
      <c r="F123" s="5" t="s">
        <v>326</v>
      </c>
      <c r="G123" s="10" t="s">
        <v>472</v>
      </c>
      <c r="H123" s="6" t="s">
        <v>473</v>
      </c>
      <c r="I123" s="5"/>
      <c r="J123" s="5" t="s">
        <v>394</v>
      </c>
      <c r="K123" s="6" t="s">
        <v>491</v>
      </c>
      <c r="L123" s="5" t="s">
        <v>475</v>
      </c>
    </row>
    <row r="124" customFormat="false" ht="46.25" hidden="false" customHeight="false" outlineLevel="0" collapsed="false">
      <c r="A124" s="5" t="s">
        <v>492</v>
      </c>
      <c r="B124" s="6" t="s">
        <v>493</v>
      </c>
      <c r="C124" s="5" t="n">
        <v>95</v>
      </c>
      <c r="D124" s="5"/>
      <c r="E124" s="5"/>
      <c r="F124" s="5" t="s">
        <v>110</v>
      </c>
      <c r="G124" s="10" t="s">
        <v>472</v>
      </c>
      <c r="H124" s="6" t="s">
        <v>473</v>
      </c>
      <c r="I124" s="5"/>
      <c r="J124" s="5" t="s">
        <v>394</v>
      </c>
      <c r="K124" s="6" t="s">
        <v>494</v>
      </c>
      <c r="L124" s="5" t="s">
        <v>475</v>
      </c>
    </row>
    <row r="125" customFormat="false" ht="57.45" hidden="false" customHeight="false" outlineLevel="0" collapsed="false">
      <c r="A125" s="5" t="s">
        <v>495</v>
      </c>
      <c r="B125" s="6" t="s">
        <v>496</v>
      </c>
      <c r="C125" s="5" t="n">
        <v>15</v>
      </c>
      <c r="D125" s="5"/>
      <c r="E125" s="5"/>
      <c r="F125" s="5" t="s">
        <v>110</v>
      </c>
      <c r="G125" s="10" t="s">
        <v>472</v>
      </c>
      <c r="H125" s="6" t="s">
        <v>473</v>
      </c>
      <c r="I125" s="5"/>
      <c r="J125" s="5" t="s">
        <v>394</v>
      </c>
      <c r="K125" s="6" t="s">
        <v>497</v>
      </c>
      <c r="L125" s="5" t="s">
        <v>475</v>
      </c>
    </row>
    <row r="126" customFormat="false" ht="57.45" hidden="false" customHeight="false" outlineLevel="0" collapsed="false">
      <c r="A126" s="5" t="s">
        <v>498</v>
      </c>
      <c r="B126" s="6" t="s">
        <v>499</v>
      </c>
      <c r="C126" s="5" t="n">
        <v>70</v>
      </c>
      <c r="D126" s="5"/>
      <c r="E126" s="5"/>
      <c r="F126" s="5" t="s">
        <v>110</v>
      </c>
      <c r="G126" s="10" t="s">
        <v>472</v>
      </c>
      <c r="H126" s="6" t="s">
        <v>473</v>
      </c>
      <c r="I126" s="5"/>
      <c r="J126" s="5" t="s">
        <v>394</v>
      </c>
      <c r="K126" s="6" t="s">
        <v>500</v>
      </c>
      <c r="L126" s="5" t="s">
        <v>475</v>
      </c>
    </row>
    <row r="127" customFormat="false" ht="35.05" hidden="false" customHeight="false" outlineLevel="0" collapsed="false">
      <c r="A127" s="5" t="s">
        <v>501</v>
      </c>
      <c r="B127" s="6" t="s">
        <v>502</v>
      </c>
      <c r="C127" s="5" t="n">
        <v>80</v>
      </c>
      <c r="D127" s="5"/>
      <c r="E127" s="5"/>
      <c r="F127" s="5" t="s">
        <v>503</v>
      </c>
      <c r="G127" s="10" t="s">
        <v>472</v>
      </c>
      <c r="H127" s="6" t="s">
        <v>473</v>
      </c>
      <c r="I127" s="5"/>
      <c r="J127" s="5" t="s">
        <v>394</v>
      </c>
      <c r="K127" s="6" t="s">
        <v>504</v>
      </c>
      <c r="L127" s="5" t="s">
        <v>475</v>
      </c>
    </row>
    <row r="128" customFormat="false" ht="35.05" hidden="false" customHeight="false" outlineLevel="0" collapsed="false">
      <c r="A128" s="5" t="s">
        <v>505</v>
      </c>
      <c r="B128" s="6" t="s">
        <v>506</v>
      </c>
      <c r="C128" s="5" t="n">
        <v>10</v>
      </c>
      <c r="D128" s="5"/>
      <c r="E128" s="5"/>
      <c r="F128" s="5" t="s">
        <v>507</v>
      </c>
      <c r="G128" s="10" t="s">
        <v>472</v>
      </c>
      <c r="H128" s="6" t="s">
        <v>473</v>
      </c>
      <c r="I128" s="5"/>
      <c r="J128" s="5" t="s">
        <v>394</v>
      </c>
      <c r="K128" s="6" t="s">
        <v>508</v>
      </c>
      <c r="L128" s="5" t="s">
        <v>509</v>
      </c>
    </row>
    <row r="129" customFormat="false" ht="57.45" hidden="false" customHeight="false" outlineLevel="0" collapsed="false">
      <c r="A129" s="5" t="s">
        <v>510</v>
      </c>
      <c r="B129" s="6" t="s">
        <v>511</v>
      </c>
      <c r="C129" s="5" t="n">
        <v>5</v>
      </c>
      <c r="D129" s="5"/>
      <c r="E129" s="5"/>
      <c r="F129" s="5" t="s">
        <v>512</v>
      </c>
      <c r="G129" s="10" t="s">
        <v>472</v>
      </c>
      <c r="H129" s="6" t="s">
        <v>473</v>
      </c>
      <c r="I129" s="5"/>
      <c r="J129" s="5" t="s">
        <v>394</v>
      </c>
      <c r="K129" s="6" t="s">
        <v>513</v>
      </c>
      <c r="L129" s="5" t="s">
        <v>509</v>
      </c>
    </row>
    <row r="130" customFormat="false" ht="57.45" hidden="false" customHeight="false" outlineLevel="0" collapsed="false">
      <c r="A130" s="5" t="s">
        <v>514</v>
      </c>
      <c r="B130" s="6" t="s">
        <v>515</v>
      </c>
      <c r="C130" s="5" t="n">
        <v>1.5</v>
      </c>
      <c r="D130" s="5"/>
      <c r="E130" s="5"/>
      <c r="F130" s="5" t="s">
        <v>110</v>
      </c>
      <c r="G130" s="10" t="s">
        <v>472</v>
      </c>
      <c r="H130" s="6" t="s">
        <v>473</v>
      </c>
      <c r="I130" s="5"/>
      <c r="J130" s="5" t="s">
        <v>394</v>
      </c>
      <c r="K130" s="6" t="s">
        <v>516</v>
      </c>
      <c r="L130" s="5" t="s">
        <v>509</v>
      </c>
    </row>
    <row r="131" customFormat="false" ht="57.45" hidden="false" customHeight="false" outlineLevel="0" collapsed="false">
      <c r="A131" s="5" t="s">
        <v>517</v>
      </c>
      <c r="B131" s="6" t="s">
        <v>518</v>
      </c>
      <c r="C131" s="5" t="n">
        <v>3</v>
      </c>
      <c r="D131" s="5"/>
      <c r="E131" s="5"/>
      <c r="F131" s="5" t="s">
        <v>398</v>
      </c>
      <c r="G131" s="10" t="s">
        <v>472</v>
      </c>
      <c r="H131" s="6" t="s">
        <v>473</v>
      </c>
      <c r="I131" s="5"/>
      <c r="J131" s="5" t="s">
        <v>394</v>
      </c>
      <c r="K131" s="6" t="s">
        <v>519</v>
      </c>
      <c r="L131" s="5" t="s">
        <v>509</v>
      </c>
    </row>
    <row r="132" customFormat="false" ht="57.45" hidden="false" customHeight="false" outlineLevel="0" collapsed="false">
      <c r="A132" s="5" t="s">
        <v>520</v>
      </c>
      <c r="B132" s="6" t="s">
        <v>521</v>
      </c>
      <c r="C132" s="5" t="n">
        <v>5</v>
      </c>
      <c r="D132" s="5"/>
      <c r="E132" s="5"/>
      <c r="F132" s="5" t="s">
        <v>487</v>
      </c>
      <c r="G132" s="10" t="s">
        <v>472</v>
      </c>
      <c r="H132" s="6" t="s">
        <v>522</v>
      </c>
      <c r="I132" s="5"/>
      <c r="J132" s="5" t="s">
        <v>394</v>
      </c>
      <c r="K132" s="6" t="s">
        <v>523</v>
      </c>
      <c r="L132" s="5" t="s">
        <v>524</v>
      </c>
    </row>
    <row r="133" customFormat="false" ht="46.25" hidden="false" customHeight="false" outlineLevel="0" collapsed="false">
      <c r="A133" s="5" t="s">
        <v>525</v>
      </c>
      <c r="B133" s="6" t="s">
        <v>526</v>
      </c>
      <c r="C133" s="5" t="n">
        <v>5</v>
      </c>
      <c r="D133" s="5"/>
      <c r="E133" s="5"/>
      <c r="F133" s="5" t="s">
        <v>48</v>
      </c>
      <c r="G133" s="10" t="s">
        <v>472</v>
      </c>
      <c r="H133" s="6" t="s">
        <v>473</v>
      </c>
      <c r="I133" s="5"/>
      <c r="J133" s="5" t="s">
        <v>394</v>
      </c>
      <c r="K133" s="6" t="s">
        <v>527</v>
      </c>
      <c r="L133" s="5" t="s">
        <v>462</v>
      </c>
    </row>
    <row r="134" customFormat="false" ht="23.85" hidden="false" customHeight="false" outlineLevel="0" collapsed="false">
      <c r="A134" s="5" t="s">
        <v>528</v>
      </c>
      <c r="B134" s="6" t="s">
        <v>529</v>
      </c>
      <c r="C134" s="5" t="n">
        <v>6</v>
      </c>
      <c r="D134" s="5"/>
      <c r="E134" s="5"/>
      <c r="F134" s="5" t="s">
        <v>48</v>
      </c>
      <c r="G134" s="10" t="s">
        <v>472</v>
      </c>
      <c r="H134" s="6" t="s">
        <v>473</v>
      </c>
      <c r="I134" s="5"/>
      <c r="J134" s="5" t="s">
        <v>394</v>
      </c>
      <c r="K134" s="6" t="s">
        <v>530</v>
      </c>
      <c r="L134" s="5" t="s">
        <v>462</v>
      </c>
    </row>
    <row r="135" customFormat="false" ht="23.85" hidden="false" customHeight="false" outlineLevel="0" collapsed="false">
      <c r="A135" s="5" t="s">
        <v>531</v>
      </c>
      <c r="B135" s="6" t="s">
        <v>532</v>
      </c>
      <c r="C135" s="5" t="n">
        <v>5</v>
      </c>
      <c r="D135" s="5"/>
      <c r="E135" s="5"/>
      <c r="F135" s="5" t="s">
        <v>48</v>
      </c>
      <c r="G135" s="10" t="s">
        <v>472</v>
      </c>
      <c r="H135" s="6" t="s">
        <v>473</v>
      </c>
      <c r="I135" s="5"/>
      <c r="J135" s="5" t="s">
        <v>394</v>
      </c>
      <c r="K135" s="6" t="s">
        <v>533</v>
      </c>
      <c r="L135" s="5" t="s">
        <v>462</v>
      </c>
    </row>
    <row r="136" customFormat="false" ht="23.85" hidden="false" customHeight="false" outlineLevel="0" collapsed="false">
      <c r="A136" s="5" t="s">
        <v>534</v>
      </c>
      <c r="B136" s="6" t="s">
        <v>535</v>
      </c>
      <c r="C136" s="5" t="n">
        <v>4</v>
      </c>
      <c r="D136" s="5"/>
      <c r="E136" s="5"/>
      <c r="F136" s="5" t="s">
        <v>48</v>
      </c>
      <c r="G136" s="10" t="s">
        <v>472</v>
      </c>
      <c r="H136" s="6" t="s">
        <v>473</v>
      </c>
      <c r="I136" s="5"/>
      <c r="J136" s="5" t="s">
        <v>394</v>
      </c>
      <c r="K136" s="6" t="s">
        <v>536</v>
      </c>
      <c r="L136" s="5" t="s">
        <v>462</v>
      </c>
    </row>
    <row r="137" customFormat="false" ht="79.85" hidden="false" customHeight="false" outlineLevel="0" collapsed="false">
      <c r="A137" s="5" t="s">
        <v>537</v>
      </c>
      <c r="B137" s="6" t="s">
        <v>538</v>
      </c>
      <c r="C137" s="5" t="n">
        <v>0.3</v>
      </c>
      <c r="D137" s="5" t="n">
        <v>0.239</v>
      </c>
      <c r="E137" s="5" t="n">
        <v>0.361</v>
      </c>
      <c r="F137" s="5" t="s">
        <v>539</v>
      </c>
      <c r="G137" s="8" t="s">
        <v>123</v>
      </c>
      <c r="H137" s="6" t="s">
        <v>540</v>
      </c>
      <c r="I137" s="5"/>
      <c r="J137" s="5" t="s">
        <v>541</v>
      </c>
      <c r="K137" s="6" t="s">
        <v>542</v>
      </c>
      <c r="L137" s="5" t="s">
        <v>65</v>
      </c>
    </row>
    <row r="138" customFormat="false" ht="57.45" hidden="false" customHeight="false" outlineLevel="0" collapsed="false">
      <c r="A138" s="5" t="s">
        <v>543</v>
      </c>
      <c r="B138" s="6" t="s">
        <v>544</v>
      </c>
      <c r="C138" s="5" t="n">
        <v>3.1</v>
      </c>
      <c r="D138" s="5" t="n">
        <v>2.5</v>
      </c>
      <c r="E138" s="5" t="n">
        <v>3.7</v>
      </c>
      <c r="F138" s="5" t="s">
        <v>545</v>
      </c>
      <c r="G138" s="8" t="s">
        <v>123</v>
      </c>
      <c r="H138" s="6" t="s">
        <v>540</v>
      </c>
      <c r="I138" s="5"/>
      <c r="J138" s="5" t="s">
        <v>541</v>
      </c>
      <c r="K138" s="6" t="s">
        <v>546</v>
      </c>
      <c r="L138" s="5" t="s">
        <v>65</v>
      </c>
    </row>
    <row r="139" customFormat="false" ht="46.25" hidden="false" customHeight="false" outlineLevel="0" collapsed="false">
      <c r="A139" s="5" t="s">
        <v>547</v>
      </c>
      <c r="B139" s="6" t="s">
        <v>548</v>
      </c>
      <c r="C139" s="5" t="n">
        <v>0.033</v>
      </c>
      <c r="D139" s="5"/>
      <c r="E139" s="5"/>
      <c r="F139" s="5" t="s">
        <v>539</v>
      </c>
      <c r="G139" s="8" t="s">
        <v>123</v>
      </c>
      <c r="H139" s="6" t="s">
        <v>540</v>
      </c>
      <c r="I139" s="5"/>
      <c r="J139" s="5" t="s">
        <v>541</v>
      </c>
      <c r="K139" s="6" t="s">
        <v>549</v>
      </c>
      <c r="L139" s="5" t="s">
        <v>54</v>
      </c>
    </row>
    <row r="140" customFormat="false" ht="46.25" hidden="false" customHeight="false" outlineLevel="0" collapsed="false">
      <c r="A140" s="5" t="s">
        <v>550</v>
      </c>
      <c r="B140" s="6" t="s">
        <v>551</v>
      </c>
      <c r="C140" s="5" t="n">
        <v>-10.3</v>
      </c>
      <c r="D140" s="5" t="n">
        <v>-13.2</v>
      </c>
      <c r="E140" s="5" t="n">
        <v>-7.3</v>
      </c>
      <c r="F140" s="5" t="s">
        <v>110</v>
      </c>
      <c r="G140" s="8" t="s">
        <v>123</v>
      </c>
      <c r="H140" s="6" t="s">
        <v>540</v>
      </c>
      <c r="I140" s="5"/>
      <c r="J140" s="5" t="s">
        <v>541</v>
      </c>
      <c r="K140" s="6" t="s">
        <v>552</v>
      </c>
      <c r="L140" s="5" t="s">
        <v>54</v>
      </c>
    </row>
    <row r="141" customFormat="false" ht="68.65" hidden="false" customHeight="false" outlineLevel="0" collapsed="false">
      <c r="A141" s="5" t="s">
        <v>553</v>
      </c>
      <c r="B141" s="6" t="s">
        <v>554</v>
      </c>
      <c r="C141" s="5" t="n">
        <v>-1.1</v>
      </c>
      <c r="D141" s="5" t="n">
        <v>-6.3</v>
      </c>
      <c r="E141" s="5" t="n">
        <v>4.5</v>
      </c>
      <c r="F141" s="5" t="s">
        <v>110</v>
      </c>
      <c r="G141" s="8" t="s">
        <v>123</v>
      </c>
      <c r="H141" s="6" t="s">
        <v>540</v>
      </c>
      <c r="I141" s="5"/>
      <c r="J141" s="5" t="s">
        <v>541</v>
      </c>
      <c r="K141" s="6" t="s">
        <v>555</v>
      </c>
      <c r="L141" s="5" t="s">
        <v>54</v>
      </c>
    </row>
    <row r="142" customFormat="false" ht="57.45" hidden="false" customHeight="false" outlineLevel="0" collapsed="false">
      <c r="A142" s="5" t="s">
        <v>556</v>
      </c>
      <c r="B142" s="6" t="s">
        <v>557</v>
      </c>
      <c r="C142" s="5" t="n">
        <v>-0.013</v>
      </c>
      <c r="D142" s="5"/>
      <c r="E142" s="5"/>
      <c r="F142" s="5" t="s">
        <v>539</v>
      </c>
      <c r="G142" s="8" t="s">
        <v>123</v>
      </c>
      <c r="H142" s="6" t="s">
        <v>540</v>
      </c>
      <c r="I142" s="5"/>
      <c r="J142" s="5" t="s">
        <v>541</v>
      </c>
      <c r="K142" s="6" t="s">
        <v>558</v>
      </c>
      <c r="L142" s="5" t="s">
        <v>54</v>
      </c>
    </row>
    <row r="143" customFormat="false" ht="46.25" hidden="false" customHeight="false" outlineLevel="0" collapsed="false">
      <c r="A143" s="5" t="s">
        <v>559</v>
      </c>
      <c r="B143" s="6" t="s">
        <v>560</v>
      </c>
      <c r="C143" s="5" t="n">
        <v>0.056</v>
      </c>
      <c r="D143" s="5"/>
      <c r="E143" s="5"/>
      <c r="F143" s="5" t="s">
        <v>539</v>
      </c>
      <c r="G143" s="8" t="s">
        <v>123</v>
      </c>
      <c r="H143" s="6" t="s">
        <v>540</v>
      </c>
      <c r="I143" s="5"/>
      <c r="J143" s="5" t="s">
        <v>541</v>
      </c>
      <c r="K143" s="6" t="s">
        <v>561</v>
      </c>
      <c r="L143" s="5" t="s">
        <v>54</v>
      </c>
    </row>
    <row r="144" customFormat="false" ht="113.4" hidden="false" customHeight="false" outlineLevel="0" collapsed="false">
      <c r="A144" s="5" t="s">
        <v>562</v>
      </c>
      <c r="B144" s="6" t="s">
        <v>563</v>
      </c>
      <c r="C144" s="5" t="n">
        <v>6.5</v>
      </c>
      <c r="D144" s="5"/>
      <c r="E144" s="5"/>
      <c r="F144" s="5" t="s">
        <v>564</v>
      </c>
      <c r="G144" s="7" t="s">
        <v>40</v>
      </c>
      <c r="H144" s="6" t="s">
        <v>565</v>
      </c>
      <c r="I144" s="5" t="s">
        <v>566</v>
      </c>
      <c r="J144" s="5" t="s">
        <v>567</v>
      </c>
      <c r="K144" s="6" t="s">
        <v>568</v>
      </c>
      <c r="L144" s="5" t="s">
        <v>65</v>
      </c>
    </row>
    <row r="145" customFormat="false" ht="124.6" hidden="false" customHeight="false" outlineLevel="0" collapsed="false">
      <c r="A145" s="5" t="s">
        <v>569</v>
      </c>
      <c r="B145" s="6" t="s">
        <v>570</v>
      </c>
      <c r="C145" s="5" t="n">
        <v>1.5</v>
      </c>
      <c r="D145" s="5"/>
      <c r="E145" s="5"/>
      <c r="F145" s="5" t="s">
        <v>564</v>
      </c>
      <c r="G145" s="7" t="s">
        <v>40</v>
      </c>
      <c r="H145" s="6" t="s">
        <v>565</v>
      </c>
      <c r="I145" s="5" t="s">
        <v>566</v>
      </c>
      <c r="J145" s="5" t="s">
        <v>567</v>
      </c>
      <c r="K145" s="6" t="s">
        <v>571</v>
      </c>
      <c r="L145" s="5" t="s">
        <v>65</v>
      </c>
    </row>
    <row r="146" customFormat="false" ht="102.2" hidden="false" customHeight="false" outlineLevel="0" collapsed="false">
      <c r="A146" s="5" t="s">
        <v>572</v>
      </c>
      <c r="B146" s="6" t="s">
        <v>573</v>
      </c>
      <c r="C146" s="5" t="n">
        <v>18.2</v>
      </c>
      <c r="D146" s="5"/>
      <c r="E146" s="5"/>
      <c r="F146" s="5" t="s">
        <v>574</v>
      </c>
      <c r="G146" s="8" t="s">
        <v>123</v>
      </c>
      <c r="H146" s="6" t="s">
        <v>575</v>
      </c>
      <c r="I146" s="5"/>
      <c r="J146" s="5" t="s">
        <v>576</v>
      </c>
      <c r="K146" s="6" t="s">
        <v>577</v>
      </c>
      <c r="L146" s="5" t="s">
        <v>54</v>
      </c>
    </row>
    <row r="147" customFormat="false" ht="102.2" hidden="false" customHeight="false" outlineLevel="0" collapsed="false">
      <c r="A147" s="5" t="s">
        <v>578</v>
      </c>
      <c r="B147" s="6" t="s">
        <v>579</v>
      </c>
      <c r="C147" s="5" t="n">
        <v>27.8</v>
      </c>
      <c r="D147" s="5"/>
      <c r="E147" s="5"/>
      <c r="F147" s="5" t="s">
        <v>580</v>
      </c>
      <c r="G147" s="8" t="s">
        <v>123</v>
      </c>
      <c r="H147" s="6" t="s">
        <v>575</v>
      </c>
      <c r="I147" s="5"/>
      <c r="J147" s="5" t="s">
        <v>576</v>
      </c>
      <c r="K147" s="6" t="s">
        <v>581</v>
      </c>
      <c r="L147" s="5" t="s">
        <v>54</v>
      </c>
    </row>
    <row r="148" customFormat="false" ht="91" hidden="false" customHeight="false" outlineLevel="0" collapsed="false">
      <c r="A148" s="5" t="s">
        <v>582</v>
      </c>
      <c r="B148" s="6" t="s">
        <v>583</v>
      </c>
      <c r="C148" s="5" t="n">
        <v>5</v>
      </c>
      <c r="D148" s="5"/>
      <c r="E148" s="5"/>
      <c r="F148" s="5" t="s">
        <v>584</v>
      </c>
      <c r="G148" s="8" t="s">
        <v>123</v>
      </c>
      <c r="H148" s="6" t="s">
        <v>575</v>
      </c>
      <c r="I148" s="5"/>
      <c r="J148" s="5" t="s">
        <v>576</v>
      </c>
      <c r="K148" s="6" t="s">
        <v>585</v>
      </c>
      <c r="L148" s="5" t="s">
        <v>54</v>
      </c>
    </row>
    <row r="149" customFormat="false" ht="91" hidden="false" customHeight="false" outlineLevel="0" collapsed="false">
      <c r="A149" s="5" t="s">
        <v>586</v>
      </c>
      <c r="B149" s="6" t="s">
        <v>587</v>
      </c>
      <c r="C149" s="5" t="n">
        <v>15.1</v>
      </c>
      <c r="D149" s="5"/>
      <c r="E149" s="5"/>
      <c r="F149" s="5" t="s">
        <v>580</v>
      </c>
      <c r="G149" s="8" t="s">
        <v>123</v>
      </c>
      <c r="H149" s="6" t="s">
        <v>575</v>
      </c>
      <c r="I149" s="5"/>
      <c r="J149" s="5" t="s">
        <v>576</v>
      </c>
      <c r="K149" s="6" t="s">
        <v>588</v>
      </c>
      <c r="L149" s="5" t="s">
        <v>54</v>
      </c>
    </row>
    <row r="150" customFormat="false" ht="102.2" hidden="false" customHeight="false" outlineLevel="0" collapsed="false">
      <c r="A150" s="5" t="s">
        <v>589</v>
      </c>
      <c r="B150" s="6" t="s">
        <v>590</v>
      </c>
      <c r="C150" s="5" t="n">
        <v>1.84</v>
      </c>
      <c r="D150" s="5"/>
      <c r="E150" s="5"/>
      <c r="F150" s="5" t="s">
        <v>591</v>
      </c>
      <c r="G150" s="8" t="s">
        <v>123</v>
      </c>
      <c r="H150" s="6" t="s">
        <v>575</v>
      </c>
      <c r="I150" s="5"/>
      <c r="J150" s="5" t="s">
        <v>576</v>
      </c>
      <c r="K150" s="6" t="s">
        <v>592</v>
      </c>
      <c r="L150" s="5" t="s">
        <v>54</v>
      </c>
    </row>
    <row r="151" customFormat="false" ht="91" hidden="false" customHeight="false" outlineLevel="0" collapsed="false">
      <c r="A151" s="5" t="s">
        <v>593</v>
      </c>
      <c r="B151" s="6" t="s">
        <v>594</v>
      </c>
      <c r="C151" s="5" t="n">
        <v>6759930</v>
      </c>
      <c r="D151" s="5"/>
      <c r="E151" s="5"/>
      <c r="F151" s="5" t="s">
        <v>595</v>
      </c>
      <c r="G151" s="8" t="s">
        <v>123</v>
      </c>
      <c r="H151" s="6" t="s">
        <v>575</v>
      </c>
      <c r="I151" s="5"/>
      <c r="J151" s="5" t="s">
        <v>576</v>
      </c>
      <c r="K151" s="6" t="s">
        <v>596</v>
      </c>
      <c r="L151" s="5" t="s">
        <v>54</v>
      </c>
    </row>
    <row r="152" customFormat="false" ht="113.4" hidden="false" customHeight="false" outlineLevel="0" collapsed="false">
      <c r="A152" s="5" t="s">
        <v>597</v>
      </c>
      <c r="B152" s="6" t="s">
        <v>598</v>
      </c>
      <c r="C152" s="5" t="n">
        <v>21.5</v>
      </c>
      <c r="D152" s="5"/>
      <c r="E152" s="5"/>
      <c r="F152" s="5" t="s">
        <v>599</v>
      </c>
      <c r="G152" s="8" t="s">
        <v>123</v>
      </c>
      <c r="H152" s="6" t="s">
        <v>575</v>
      </c>
      <c r="I152" s="5"/>
      <c r="J152" s="5" t="s">
        <v>576</v>
      </c>
      <c r="K152" s="6" t="s">
        <v>600</v>
      </c>
      <c r="L152" s="5" t="s">
        <v>54</v>
      </c>
    </row>
    <row r="153" customFormat="false" ht="46.25" hidden="false" customHeight="false" outlineLevel="0" collapsed="false">
      <c r="A153" s="5" t="s">
        <v>601</v>
      </c>
      <c r="B153" s="6" t="s">
        <v>602</v>
      </c>
      <c r="C153" s="5" t="n">
        <v>1931085</v>
      </c>
      <c r="D153" s="5"/>
      <c r="E153" s="5"/>
      <c r="F153" s="5" t="s">
        <v>603</v>
      </c>
      <c r="G153" s="8" t="s">
        <v>123</v>
      </c>
      <c r="H153" s="6" t="s">
        <v>575</v>
      </c>
      <c r="I153" s="5"/>
      <c r="J153" s="5" t="s">
        <v>576</v>
      </c>
      <c r="K153" s="6" t="s">
        <v>604</v>
      </c>
      <c r="L153" s="5" t="s">
        <v>54</v>
      </c>
    </row>
    <row r="154" customFormat="false" ht="46.25" hidden="false" customHeight="false" outlineLevel="0" collapsed="false">
      <c r="A154" s="5" t="s">
        <v>605</v>
      </c>
      <c r="B154" s="6" t="s">
        <v>606</v>
      </c>
      <c r="C154" s="5" t="n">
        <v>-9.1</v>
      </c>
      <c r="D154" s="5"/>
      <c r="E154" s="5"/>
      <c r="F154" s="5" t="s">
        <v>110</v>
      </c>
      <c r="G154" s="8" t="s">
        <v>123</v>
      </c>
      <c r="H154" s="6" t="s">
        <v>575</v>
      </c>
      <c r="I154" s="5"/>
      <c r="J154" s="5" t="s">
        <v>576</v>
      </c>
      <c r="K154" s="6" t="s">
        <v>607</v>
      </c>
      <c r="L154" s="5" t="s">
        <v>54</v>
      </c>
    </row>
    <row r="155" customFormat="false" ht="46.25" hidden="false" customHeight="false" outlineLevel="0" collapsed="false">
      <c r="A155" s="5" t="s">
        <v>608</v>
      </c>
      <c r="B155" s="6" t="s">
        <v>609</v>
      </c>
      <c r="C155" s="5" t="n">
        <v>2124429</v>
      </c>
      <c r="D155" s="5"/>
      <c r="E155" s="5"/>
      <c r="F155" s="5" t="s">
        <v>595</v>
      </c>
      <c r="G155" s="7" t="s">
        <v>40</v>
      </c>
      <c r="H155" s="6" t="s">
        <v>610</v>
      </c>
      <c r="I155" s="5" t="s">
        <v>611</v>
      </c>
      <c r="J155" s="5" t="s">
        <v>612</v>
      </c>
      <c r="K155" s="6" t="s">
        <v>613</v>
      </c>
      <c r="L155" s="5" t="s">
        <v>54</v>
      </c>
    </row>
    <row r="156" customFormat="false" ht="113.4" hidden="false" customHeight="false" outlineLevel="0" collapsed="false">
      <c r="A156" s="5" t="s">
        <v>614</v>
      </c>
      <c r="B156" s="6" t="s">
        <v>615</v>
      </c>
      <c r="C156" s="5" t="n">
        <v>-16.9</v>
      </c>
      <c r="D156" s="5" t="n">
        <v>-31.4</v>
      </c>
      <c r="E156" s="5" t="n">
        <v>0.7</v>
      </c>
      <c r="F156" s="5" t="s">
        <v>616</v>
      </c>
      <c r="G156" s="8" t="s">
        <v>123</v>
      </c>
      <c r="H156" s="6" t="s">
        <v>617</v>
      </c>
      <c r="I156" s="5"/>
      <c r="J156" s="5" t="s">
        <v>576</v>
      </c>
      <c r="K156" s="6" t="s">
        <v>618</v>
      </c>
      <c r="L156" s="5" t="s">
        <v>54</v>
      </c>
    </row>
    <row r="157" customFormat="false" ht="79.85" hidden="false" customHeight="false" outlineLevel="0" collapsed="false">
      <c r="A157" s="5" t="s">
        <v>619</v>
      </c>
      <c r="B157" s="6" t="s">
        <v>620</v>
      </c>
      <c r="C157" s="5" t="n">
        <v>-9.1</v>
      </c>
      <c r="D157" s="5" t="n">
        <v>-26.9</v>
      </c>
      <c r="E157" s="5" t="n">
        <v>13.2</v>
      </c>
      <c r="F157" s="5" t="s">
        <v>616</v>
      </c>
      <c r="G157" s="8" t="s">
        <v>123</v>
      </c>
      <c r="H157" s="6" t="s">
        <v>617</v>
      </c>
      <c r="I157" s="5"/>
      <c r="J157" s="5" t="s">
        <v>576</v>
      </c>
      <c r="K157" s="6" t="s">
        <v>621</v>
      </c>
      <c r="L157" s="5" t="s">
        <v>54</v>
      </c>
    </row>
    <row r="158" customFormat="false" ht="135.8" hidden="false" customHeight="false" outlineLevel="0" collapsed="false">
      <c r="A158" s="5" t="s">
        <v>622</v>
      </c>
      <c r="B158" s="6" t="s">
        <v>623</v>
      </c>
      <c r="C158" s="5" t="n">
        <v>20</v>
      </c>
      <c r="D158" s="5" t="n">
        <v>4</v>
      </c>
      <c r="E158" s="5" t="n">
        <v>38.5</v>
      </c>
      <c r="F158" s="5" t="s">
        <v>616</v>
      </c>
      <c r="G158" s="8" t="s">
        <v>123</v>
      </c>
      <c r="H158" s="6" t="s">
        <v>617</v>
      </c>
      <c r="I158" s="5"/>
      <c r="J158" s="5" t="s">
        <v>576</v>
      </c>
      <c r="K158" s="6" t="s">
        <v>624</v>
      </c>
      <c r="L158" s="5" t="s">
        <v>54</v>
      </c>
    </row>
    <row r="159" customFormat="false" ht="57.45" hidden="false" customHeight="false" outlineLevel="0" collapsed="false">
      <c r="A159" s="5" t="s">
        <v>625</v>
      </c>
      <c r="B159" s="6" t="s">
        <v>626</v>
      </c>
      <c r="C159" s="5" t="n">
        <v>716</v>
      </c>
      <c r="D159" s="5"/>
      <c r="E159" s="5"/>
      <c r="F159" s="5" t="s">
        <v>616</v>
      </c>
      <c r="G159" s="8" t="s">
        <v>123</v>
      </c>
      <c r="H159" s="6" t="s">
        <v>617</v>
      </c>
      <c r="I159" s="5"/>
      <c r="J159" s="5" t="s">
        <v>576</v>
      </c>
      <c r="K159" s="6" t="s">
        <v>627</v>
      </c>
      <c r="L159" s="5" t="s">
        <v>54</v>
      </c>
    </row>
    <row r="160" customFormat="false" ht="102.2" hidden="false" customHeight="false" outlineLevel="0" collapsed="false">
      <c r="A160" s="5" t="s">
        <v>628</v>
      </c>
      <c r="B160" s="6" t="s">
        <v>629</v>
      </c>
      <c r="C160" s="5" t="n">
        <v>0.039</v>
      </c>
      <c r="D160" s="5"/>
      <c r="E160" s="5"/>
      <c r="F160" s="5" t="s">
        <v>630</v>
      </c>
      <c r="G160" s="8" t="s">
        <v>123</v>
      </c>
      <c r="H160" s="6" t="s">
        <v>631</v>
      </c>
      <c r="I160" s="5"/>
      <c r="J160" s="5" t="s">
        <v>576</v>
      </c>
      <c r="K160" s="6" t="s">
        <v>632</v>
      </c>
      <c r="L160" s="5" t="s">
        <v>54</v>
      </c>
    </row>
    <row r="161" customFormat="false" ht="102.2" hidden="false" customHeight="false" outlineLevel="0" collapsed="false">
      <c r="A161" s="5" t="s">
        <v>633</v>
      </c>
      <c r="B161" s="6" t="s">
        <v>634</v>
      </c>
      <c r="C161" s="5" t="n">
        <v>5686</v>
      </c>
      <c r="D161" s="5"/>
      <c r="E161" s="5"/>
      <c r="F161" s="5" t="s">
        <v>635</v>
      </c>
      <c r="G161" s="8" t="s">
        <v>123</v>
      </c>
      <c r="H161" s="6" t="s">
        <v>631</v>
      </c>
      <c r="I161" s="5"/>
      <c r="J161" s="5" t="s">
        <v>576</v>
      </c>
      <c r="K161" s="6" t="s">
        <v>636</v>
      </c>
      <c r="L161" s="5" t="s">
        <v>54</v>
      </c>
    </row>
    <row r="162" customFormat="false" ht="113.4" hidden="false" customHeight="false" outlineLevel="0" collapsed="false">
      <c r="A162" s="5" t="s">
        <v>637</v>
      </c>
      <c r="B162" s="6" t="s">
        <v>638</v>
      </c>
      <c r="C162" s="5" t="n">
        <v>0.449</v>
      </c>
      <c r="D162" s="5"/>
      <c r="E162" s="5"/>
      <c r="F162" s="5" t="s">
        <v>639</v>
      </c>
      <c r="G162" s="8" t="s">
        <v>123</v>
      </c>
      <c r="H162" s="6" t="s">
        <v>631</v>
      </c>
      <c r="I162" s="5"/>
      <c r="J162" s="5" t="s">
        <v>576</v>
      </c>
      <c r="K162" s="6" t="s">
        <v>640</v>
      </c>
      <c r="L162" s="5" t="s">
        <v>54</v>
      </c>
    </row>
    <row r="163" customFormat="false" ht="79.85" hidden="false" customHeight="false" outlineLevel="0" collapsed="false">
      <c r="A163" s="5" t="s">
        <v>641</v>
      </c>
      <c r="B163" s="6" t="s">
        <v>642</v>
      </c>
      <c r="C163" s="5" t="n">
        <v>8.64</v>
      </c>
      <c r="D163" s="5" t="n">
        <v>5.73</v>
      </c>
      <c r="E163" s="5" t="n">
        <v>11.72</v>
      </c>
      <c r="F163" s="5" t="s">
        <v>326</v>
      </c>
      <c r="G163" s="8" t="s">
        <v>123</v>
      </c>
      <c r="H163" s="6" t="s">
        <v>643</v>
      </c>
      <c r="I163" s="5"/>
      <c r="J163" s="5" t="s">
        <v>576</v>
      </c>
      <c r="K163" s="6" t="s">
        <v>644</v>
      </c>
      <c r="L163" s="5" t="s">
        <v>54</v>
      </c>
    </row>
    <row r="164" customFormat="false" ht="91" hidden="false" customHeight="false" outlineLevel="0" collapsed="false">
      <c r="A164" s="5" t="s">
        <v>645</v>
      </c>
      <c r="B164" s="6" t="s">
        <v>646</v>
      </c>
      <c r="C164" s="5" t="n">
        <v>8.85</v>
      </c>
      <c r="D164" s="5" t="n">
        <v>5.99</v>
      </c>
      <c r="E164" s="5" t="n">
        <v>11.96</v>
      </c>
      <c r="F164" s="5" t="s">
        <v>326</v>
      </c>
      <c r="G164" s="8" t="s">
        <v>123</v>
      </c>
      <c r="H164" s="6" t="s">
        <v>643</v>
      </c>
      <c r="I164" s="5"/>
      <c r="J164" s="5" t="s">
        <v>576</v>
      </c>
      <c r="K164" s="6" t="s">
        <v>647</v>
      </c>
      <c r="L164" s="5" t="s">
        <v>54</v>
      </c>
    </row>
    <row r="165" customFormat="false" ht="68.65" hidden="false" customHeight="false" outlineLevel="0" collapsed="false">
      <c r="A165" s="5" t="s">
        <v>648</v>
      </c>
      <c r="B165" s="6" t="s">
        <v>649</v>
      </c>
      <c r="C165" s="5" t="n">
        <v>6.83</v>
      </c>
      <c r="D165" s="5" t="n">
        <v>4.47</v>
      </c>
      <c r="E165" s="5" t="n">
        <v>9.33</v>
      </c>
      <c r="F165" s="5" t="s">
        <v>326</v>
      </c>
      <c r="G165" s="8" t="s">
        <v>123</v>
      </c>
      <c r="H165" s="6" t="s">
        <v>643</v>
      </c>
      <c r="I165" s="5"/>
      <c r="J165" s="5" t="s">
        <v>576</v>
      </c>
      <c r="K165" s="6" t="s">
        <v>650</v>
      </c>
      <c r="L165" s="5" t="s">
        <v>54</v>
      </c>
    </row>
    <row r="166" customFormat="false" ht="102.2" hidden="false" customHeight="false" outlineLevel="0" collapsed="false">
      <c r="A166" s="5" t="s">
        <v>651</v>
      </c>
      <c r="B166" s="6" t="s">
        <v>652</v>
      </c>
      <c r="C166" s="5" t="n">
        <v>13</v>
      </c>
      <c r="D166" s="5"/>
      <c r="E166" s="5"/>
      <c r="F166" s="5" t="s">
        <v>653</v>
      </c>
      <c r="G166" s="8" t="s">
        <v>123</v>
      </c>
      <c r="H166" s="6" t="s">
        <v>654</v>
      </c>
      <c r="I166" s="5"/>
      <c r="J166" s="5" t="s">
        <v>576</v>
      </c>
      <c r="K166" s="6" t="s">
        <v>655</v>
      </c>
      <c r="L166" s="5" t="s">
        <v>54</v>
      </c>
    </row>
    <row r="167" customFormat="false" ht="124.6" hidden="false" customHeight="false" outlineLevel="0" collapsed="false">
      <c r="A167" s="5" t="s">
        <v>656</v>
      </c>
      <c r="B167" s="6" t="s">
        <v>657</v>
      </c>
      <c r="C167" s="5" t="n">
        <v>2.4</v>
      </c>
      <c r="D167" s="5"/>
      <c r="E167" s="5"/>
      <c r="F167" s="5" t="s">
        <v>653</v>
      </c>
      <c r="G167" s="8" t="s">
        <v>123</v>
      </c>
      <c r="H167" s="6" t="s">
        <v>654</v>
      </c>
      <c r="I167" s="5"/>
      <c r="J167" s="5" t="s">
        <v>576</v>
      </c>
      <c r="K167" s="6" t="s">
        <v>658</v>
      </c>
      <c r="L167" s="5" t="s">
        <v>54</v>
      </c>
    </row>
    <row r="168" customFormat="false" ht="124.6" hidden="false" customHeight="false" outlineLevel="0" collapsed="false">
      <c r="A168" s="5" t="s">
        <v>659</v>
      </c>
      <c r="B168" s="6" t="s">
        <v>660</v>
      </c>
      <c r="C168" s="5" t="n">
        <v>3.85</v>
      </c>
      <c r="D168" s="5"/>
      <c r="E168" s="5"/>
      <c r="F168" s="5" t="s">
        <v>653</v>
      </c>
      <c r="G168" s="8" t="s">
        <v>123</v>
      </c>
      <c r="H168" s="6" t="s">
        <v>654</v>
      </c>
      <c r="I168" s="5"/>
      <c r="J168" s="5" t="s">
        <v>576</v>
      </c>
      <c r="K168" s="6" t="s">
        <v>661</v>
      </c>
      <c r="L168" s="5" t="s">
        <v>54</v>
      </c>
    </row>
    <row r="169" customFormat="false" ht="68.65" hidden="false" customHeight="false" outlineLevel="0" collapsed="false">
      <c r="A169" s="5" t="s">
        <v>662</v>
      </c>
      <c r="B169" s="6" t="s">
        <v>663</v>
      </c>
      <c r="C169" s="5" t="n">
        <v>30.9</v>
      </c>
      <c r="D169" s="5"/>
      <c r="E169" s="5"/>
      <c r="F169" s="5" t="s">
        <v>653</v>
      </c>
      <c r="G169" s="8" t="s">
        <v>123</v>
      </c>
      <c r="H169" s="6" t="s">
        <v>654</v>
      </c>
      <c r="I169" s="5"/>
      <c r="J169" s="5" t="s">
        <v>576</v>
      </c>
      <c r="K169" s="6" t="s">
        <v>664</v>
      </c>
      <c r="L169" s="5" t="s">
        <v>54</v>
      </c>
    </row>
    <row r="170" customFormat="false" ht="102.2" hidden="false" customHeight="false" outlineLevel="0" collapsed="false">
      <c r="A170" s="5" t="s">
        <v>665</v>
      </c>
      <c r="B170" s="6" t="s">
        <v>666</v>
      </c>
      <c r="C170" s="5" t="n">
        <v>1.54</v>
      </c>
      <c r="D170" s="5"/>
      <c r="E170" s="5"/>
      <c r="F170" s="5" t="s">
        <v>667</v>
      </c>
      <c r="G170" s="8" t="s">
        <v>123</v>
      </c>
      <c r="H170" s="6" t="s">
        <v>668</v>
      </c>
      <c r="I170" s="5"/>
      <c r="J170" s="5" t="s">
        <v>576</v>
      </c>
      <c r="K170" s="6" t="s">
        <v>669</v>
      </c>
      <c r="L170" s="5" t="s">
        <v>54</v>
      </c>
    </row>
    <row r="171" customFormat="false" ht="147" hidden="false" customHeight="false" outlineLevel="0" collapsed="false">
      <c r="A171" s="5" t="s">
        <v>670</v>
      </c>
      <c r="B171" s="6" t="s">
        <v>671</v>
      </c>
      <c r="C171" s="5" t="n">
        <v>1.03</v>
      </c>
      <c r="D171" s="5"/>
      <c r="E171" s="5"/>
      <c r="F171" s="5" t="s">
        <v>667</v>
      </c>
      <c r="G171" s="8" t="s">
        <v>123</v>
      </c>
      <c r="H171" s="6" t="s">
        <v>668</v>
      </c>
      <c r="I171" s="5"/>
      <c r="J171" s="5" t="s">
        <v>576</v>
      </c>
      <c r="K171" s="6" t="s">
        <v>672</v>
      </c>
      <c r="L171" s="5" t="s">
        <v>54</v>
      </c>
    </row>
    <row r="172" customFormat="false" ht="79.85" hidden="false" customHeight="false" outlineLevel="0" collapsed="false">
      <c r="A172" s="5" t="s">
        <v>673</v>
      </c>
      <c r="B172" s="6" t="s">
        <v>674</v>
      </c>
      <c r="C172" s="5" t="n">
        <v>0.9999</v>
      </c>
      <c r="D172" s="5"/>
      <c r="E172" s="5"/>
      <c r="F172" s="5" t="s">
        <v>675</v>
      </c>
      <c r="G172" s="8" t="s">
        <v>123</v>
      </c>
      <c r="H172" s="6" t="s">
        <v>676</v>
      </c>
      <c r="I172" s="5"/>
      <c r="J172" s="5" t="s">
        <v>576</v>
      </c>
      <c r="K172" s="6" t="s">
        <v>677</v>
      </c>
      <c r="L172" s="5" t="s">
        <v>54</v>
      </c>
    </row>
    <row r="173" customFormat="false" ht="79.85" hidden="false" customHeight="false" outlineLevel="0" collapsed="false">
      <c r="A173" s="5" t="s">
        <v>678</v>
      </c>
      <c r="B173" s="6" t="s">
        <v>679</v>
      </c>
      <c r="C173" s="5" t="n">
        <v>1</v>
      </c>
      <c r="D173" s="5"/>
      <c r="E173" s="5"/>
      <c r="F173" s="5" t="s">
        <v>680</v>
      </c>
      <c r="G173" s="8" t="s">
        <v>123</v>
      </c>
      <c r="H173" s="6" t="s">
        <v>676</v>
      </c>
      <c r="I173" s="5"/>
      <c r="J173" s="5" t="s">
        <v>576</v>
      </c>
      <c r="K173" s="6" t="s">
        <v>681</v>
      </c>
      <c r="L173" s="5" t="s">
        <v>54</v>
      </c>
    </row>
    <row r="174" customFormat="false" ht="46.25" hidden="false" customHeight="false" outlineLevel="0" collapsed="false">
      <c r="A174" s="5" t="s">
        <v>682</v>
      </c>
      <c r="B174" s="6" t="s">
        <v>683</v>
      </c>
      <c r="C174" s="5" t="n">
        <v>0.0088</v>
      </c>
      <c r="D174" s="5"/>
      <c r="E174" s="5"/>
      <c r="F174" s="5" t="s">
        <v>684</v>
      </c>
      <c r="G174" s="8" t="s">
        <v>123</v>
      </c>
      <c r="H174" s="6" t="s">
        <v>676</v>
      </c>
      <c r="I174" s="5"/>
      <c r="J174" s="5" t="s">
        <v>576</v>
      </c>
      <c r="K174" s="6" t="s">
        <v>685</v>
      </c>
      <c r="L174" s="5" t="s">
        <v>54</v>
      </c>
    </row>
    <row r="175" customFormat="false" ht="79.85" hidden="false" customHeight="false" outlineLevel="0" collapsed="false">
      <c r="A175" s="5" t="s">
        <v>686</v>
      </c>
      <c r="B175" s="6" t="s">
        <v>687</v>
      </c>
      <c r="C175" s="5" t="n">
        <v>0.9929</v>
      </c>
      <c r="D175" s="5"/>
      <c r="E175" s="5"/>
      <c r="F175" s="5" t="s">
        <v>680</v>
      </c>
      <c r="G175" s="8" t="s">
        <v>123</v>
      </c>
      <c r="H175" s="6" t="s">
        <v>676</v>
      </c>
      <c r="I175" s="5"/>
      <c r="J175" s="5" t="s">
        <v>576</v>
      </c>
      <c r="K175" s="6" t="s">
        <v>688</v>
      </c>
      <c r="L175" s="5" t="s">
        <v>54</v>
      </c>
    </row>
    <row r="176" customFormat="false" ht="113.4" hidden="false" customHeight="false" outlineLevel="0" collapsed="false">
      <c r="A176" s="5" t="s">
        <v>689</v>
      </c>
      <c r="B176" s="6" t="s">
        <v>690</v>
      </c>
      <c r="C176" s="5" t="n">
        <v>0.723</v>
      </c>
      <c r="D176" s="5"/>
      <c r="E176" s="5"/>
      <c r="F176" s="5" t="s">
        <v>691</v>
      </c>
      <c r="G176" s="8" t="s">
        <v>123</v>
      </c>
      <c r="H176" s="6" t="s">
        <v>692</v>
      </c>
      <c r="I176" s="5"/>
      <c r="J176" s="5" t="s">
        <v>576</v>
      </c>
      <c r="K176" s="6" t="s">
        <v>693</v>
      </c>
      <c r="L176" s="5" t="s">
        <v>54</v>
      </c>
    </row>
    <row r="177" customFormat="false" ht="102.2" hidden="false" customHeight="false" outlineLevel="0" collapsed="false">
      <c r="A177" s="5" t="s">
        <v>694</v>
      </c>
      <c r="B177" s="6" t="s">
        <v>695</v>
      </c>
      <c r="C177" s="5" t="n">
        <v>3.34</v>
      </c>
      <c r="D177" s="5"/>
      <c r="E177" s="5"/>
      <c r="F177" s="5" t="s">
        <v>667</v>
      </c>
      <c r="G177" s="8" t="s">
        <v>123</v>
      </c>
      <c r="H177" s="6" t="s">
        <v>692</v>
      </c>
      <c r="I177" s="5"/>
      <c r="J177" s="5" t="s">
        <v>576</v>
      </c>
      <c r="K177" s="6" t="s">
        <v>696</v>
      </c>
      <c r="L177" s="5" t="s">
        <v>54</v>
      </c>
    </row>
    <row r="178" customFormat="false" ht="113.4" hidden="false" customHeight="false" outlineLevel="0" collapsed="false">
      <c r="A178" s="5" t="s">
        <v>697</v>
      </c>
      <c r="B178" s="6" t="s">
        <v>698</v>
      </c>
      <c r="C178" s="5" t="n">
        <v>0.694</v>
      </c>
      <c r="D178" s="5"/>
      <c r="E178" s="5"/>
      <c r="F178" s="5" t="s">
        <v>691</v>
      </c>
      <c r="G178" s="8" t="s">
        <v>123</v>
      </c>
      <c r="H178" s="6" t="s">
        <v>692</v>
      </c>
      <c r="I178" s="5"/>
      <c r="J178" s="5" t="s">
        <v>576</v>
      </c>
      <c r="K178" s="6" t="s">
        <v>699</v>
      </c>
      <c r="L178" s="5" t="s">
        <v>54</v>
      </c>
    </row>
    <row r="179" customFormat="false" ht="102.2" hidden="false" customHeight="false" outlineLevel="0" collapsed="false">
      <c r="A179" s="5" t="s">
        <v>700</v>
      </c>
      <c r="B179" s="6" t="s">
        <v>701</v>
      </c>
      <c r="C179" s="5" t="n">
        <v>0.703</v>
      </c>
      <c r="D179" s="5"/>
      <c r="E179" s="5"/>
      <c r="F179" s="5" t="s">
        <v>691</v>
      </c>
      <c r="G179" s="8" t="s">
        <v>123</v>
      </c>
      <c r="H179" s="6" t="s">
        <v>692</v>
      </c>
      <c r="I179" s="5"/>
      <c r="J179" s="5" t="s">
        <v>576</v>
      </c>
      <c r="K179" s="6" t="s">
        <v>702</v>
      </c>
      <c r="L179" s="5" t="s">
        <v>54</v>
      </c>
    </row>
    <row r="180" customFormat="false" ht="135.8" hidden="false" customHeight="false" outlineLevel="0" collapsed="false">
      <c r="A180" s="5" t="s">
        <v>703</v>
      </c>
      <c r="B180" s="6" t="s">
        <v>704</v>
      </c>
      <c r="C180" s="5" t="n">
        <v>0.615</v>
      </c>
      <c r="D180" s="5"/>
      <c r="E180" s="5"/>
      <c r="F180" s="5" t="s">
        <v>691</v>
      </c>
      <c r="G180" s="8" t="s">
        <v>123</v>
      </c>
      <c r="H180" s="6" t="s">
        <v>692</v>
      </c>
      <c r="I180" s="5"/>
      <c r="J180" s="5" t="s">
        <v>576</v>
      </c>
      <c r="K180" s="6" t="s">
        <v>705</v>
      </c>
      <c r="L180" s="5" t="s">
        <v>54</v>
      </c>
    </row>
    <row r="181" customFormat="false" ht="79.85" hidden="false" customHeight="false" outlineLevel="0" collapsed="false">
      <c r="A181" s="5" t="s">
        <v>706</v>
      </c>
      <c r="B181" s="6" t="s">
        <v>707</v>
      </c>
      <c r="C181" s="5" t="n">
        <v>0.662</v>
      </c>
      <c r="D181" s="5"/>
      <c r="E181" s="5"/>
      <c r="F181" s="5" t="s">
        <v>691</v>
      </c>
      <c r="G181" s="8" t="s">
        <v>123</v>
      </c>
      <c r="H181" s="6" t="s">
        <v>708</v>
      </c>
      <c r="I181" s="5"/>
      <c r="J181" s="5" t="s">
        <v>576</v>
      </c>
      <c r="K181" s="6" t="s">
        <v>709</v>
      </c>
      <c r="L181" s="5" t="s">
        <v>54</v>
      </c>
    </row>
    <row r="182" customFormat="false" ht="113.4" hidden="false" customHeight="false" outlineLevel="0" collapsed="false">
      <c r="A182" s="5" t="s">
        <v>710</v>
      </c>
      <c r="B182" s="6" t="s">
        <v>711</v>
      </c>
      <c r="C182" s="5" t="n">
        <v>0.671</v>
      </c>
      <c r="D182" s="5"/>
      <c r="E182" s="5"/>
      <c r="F182" s="5" t="s">
        <v>691</v>
      </c>
      <c r="G182" s="8" t="s">
        <v>123</v>
      </c>
      <c r="H182" s="6" t="s">
        <v>708</v>
      </c>
      <c r="I182" s="5"/>
      <c r="J182" s="5" t="s">
        <v>576</v>
      </c>
      <c r="K182" s="6" t="s">
        <v>712</v>
      </c>
      <c r="L182" s="5" t="s">
        <v>54</v>
      </c>
    </row>
    <row r="183" customFormat="false" ht="147" hidden="false" customHeight="false" outlineLevel="0" collapsed="false">
      <c r="A183" s="5" t="s">
        <v>713</v>
      </c>
      <c r="B183" s="6" t="s">
        <v>714</v>
      </c>
      <c r="C183" s="5" t="n">
        <v>0.722</v>
      </c>
      <c r="D183" s="5"/>
      <c r="E183" s="5"/>
      <c r="F183" s="5" t="s">
        <v>691</v>
      </c>
      <c r="G183" s="8" t="s">
        <v>123</v>
      </c>
      <c r="H183" s="6" t="s">
        <v>708</v>
      </c>
      <c r="I183" s="5"/>
      <c r="J183" s="5" t="s">
        <v>576</v>
      </c>
      <c r="K183" s="6" t="s">
        <v>715</v>
      </c>
      <c r="L183" s="5" t="s">
        <v>54</v>
      </c>
    </row>
    <row r="184" customFormat="false" ht="91" hidden="false" customHeight="false" outlineLevel="0" collapsed="false">
      <c r="A184" s="5" t="s">
        <v>716</v>
      </c>
      <c r="B184" s="6" t="s">
        <v>717</v>
      </c>
      <c r="C184" s="5" t="n">
        <v>-0.14</v>
      </c>
      <c r="D184" s="5" t="n">
        <v>-3.36</v>
      </c>
      <c r="E184" s="5" t="n">
        <v>2.88</v>
      </c>
      <c r="F184" s="5" t="s">
        <v>326</v>
      </c>
      <c r="G184" s="8" t="s">
        <v>123</v>
      </c>
      <c r="H184" s="6" t="s">
        <v>643</v>
      </c>
      <c r="I184" s="5"/>
      <c r="J184" s="5" t="s">
        <v>576</v>
      </c>
      <c r="K184" s="6" t="s">
        <v>718</v>
      </c>
      <c r="L184" s="5" t="s">
        <v>54</v>
      </c>
    </row>
    <row r="185" customFormat="false" ht="68.65" hidden="false" customHeight="false" outlineLevel="0" collapsed="false">
      <c r="A185" s="5" t="s">
        <v>719</v>
      </c>
      <c r="B185" s="6" t="s">
        <v>720</v>
      </c>
      <c r="C185" s="5" t="n">
        <v>0.667</v>
      </c>
      <c r="D185" s="5"/>
      <c r="E185" s="5"/>
      <c r="F185" s="5" t="s">
        <v>691</v>
      </c>
      <c r="G185" s="8" t="s">
        <v>123</v>
      </c>
      <c r="H185" s="6" t="s">
        <v>692</v>
      </c>
      <c r="I185" s="5"/>
      <c r="J185" s="5" t="s">
        <v>576</v>
      </c>
      <c r="K185" s="6" t="s">
        <v>721</v>
      </c>
      <c r="L185" s="5" t="s">
        <v>54</v>
      </c>
    </row>
    <row r="186" customFormat="false" ht="46.25" hidden="false" customHeight="false" outlineLevel="0" collapsed="false">
      <c r="A186" s="5" t="s">
        <v>722</v>
      </c>
      <c r="B186" s="6" t="s">
        <v>723</v>
      </c>
      <c r="C186" s="5" t="n">
        <v>0.618</v>
      </c>
      <c r="D186" s="5"/>
      <c r="E186" s="5"/>
      <c r="F186" s="5" t="s">
        <v>691</v>
      </c>
      <c r="G186" s="8" t="s">
        <v>123</v>
      </c>
      <c r="H186" s="6" t="s">
        <v>692</v>
      </c>
      <c r="I186" s="5"/>
      <c r="J186" s="5" t="s">
        <v>576</v>
      </c>
      <c r="K186" s="6" t="s">
        <v>724</v>
      </c>
      <c r="L186" s="5" t="s">
        <v>54</v>
      </c>
    </row>
    <row r="187" customFormat="false" ht="102.2" hidden="false" customHeight="false" outlineLevel="0" collapsed="false">
      <c r="A187" s="5" t="s">
        <v>725</v>
      </c>
      <c r="B187" s="6" t="s">
        <v>726</v>
      </c>
      <c r="C187" s="5" t="n">
        <v>1.75</v>
      </c>
      <c r="D187" s="5"/>
      <c r="E187" s="5"/>
      <c r="F187" s="5" t="s">
        <v>591</v>
      </c>
      <c r="G187" s="8" t="s">
        <v>123</v>
      </c>
      <c r="H187" s="6" t="s">
        <v>575</v>
      </c>
      <c r="I187" s="5"/>
      <c r="J187" s="5" t="s">
        <v>576</v>
      </c>
      <c r="K187" s="6" t="s">
        <v>727</v>
      </c>
      <c r="L187" s="5" t="s">
        <v>54</v>
      </c>
    </row>
    <row r="188" customFormat="false" ht="46.25" hidden="false" customHeight="false" outlineLevel="0" collapsed="false">
      <c r="A188" s="5" t="s">
        <v>728</v>
      </c>
      <c r="B188" s="6" t="s">
        <v>729</v>
      </c>
      <c r="C188" s="5" t="n">
        <v>19.8</v>
      </c>
      <c r="D188" s="5"/>
      <c r="E188" s="5"/>
      <c r="F188" s="5" t="s">
        <v>580</v>
      </c>
      <c r="G188" s="8" t="s">
        <v>123</v>
      </c>
      <c r="H188" s="6" t="s">
        <v>575</v>
      </c>
      <c r="I188" s="5"/>
      <c r="J188" s="5" t="s">
        <v>576</v>
      </c>
      <c r="K188" s="6" t="s">
        <v>730</v>
      </c>
      <c r="L188" s="5" t="s">
        <v>54</v>
      </c>
    </row>
    <row r="189" customFormat="false" ht="46.25" hidden="false" customHeight="false" outlineLevel="0" collapsed="false">
      <c r="A189" s="5" t="s">
        <v>731</v>
      </c>
      <c r="B189" s="6" t="s">
        <v>732</v>
      </c>
      <c r="C189" s="5" t="n">
        <v>34.8</v>
      </c>
      <c r="D189" s="5"/>
      <c r="E189" s="5"/>
      <c r="F189" s="5" t="s">
        <v>580</v>
      </c>
      <c r="G189" s="8" t="s">
        <v>123</v>
      </c>
      <c r="H189" s="6" t="s">
        <v>575</v>
      </c>
      <c r="I189" s="5"/>
      <c r="J189" s="5" t="s">
        <v>576</v>
      </c>
      <c r="K189" s="6" t="s">
        <v>730</v>
      </c>
      <c r="L189" s="5" t="s">
        <v>54</v>
      </c>
    </row>
    <row r="190" customFormat="false" ht="68.65" hidden="false" customHeight="false" outlineLevel="0" collapsed="false">
      <c r="A190" s="5" t="s">
        <v>733</v>
      </c>
      <c r="B190" s="6" t="s">
        <v>734</v>
      </c>
      <c r="C190" s="5" t="n">
        <v>22.8</v>
      </c>
      <c r="D190" s="5"/>
      <c r="E190" s="5"/>
      <c r="F190" s="5" t="s">
        <v>580</v>
      </c>
      <c r="G190" s="8" t="s">
        <v>123</v>
      </c>
      <c r="H190" s="6" t="s">
        <v>575</v>
      </c>
      <c r="I190" s="5"/>
      <c r="J190" s="5" t="s">
        <v>576</v>
      </c>
      <c r="K190" s="6" t="s">
        <v>735</v>
      </c>
      <c r="L190" s="5" t="s">
        <v>54</v>
      </c>
    </row>
    <row r="191" customFormat="false" ht="46.25" hidden="false" customHeight="false" outlineLevel="0" collapsed="false">
      <c r="A191" s="5" t="s">
        <v>736</v>
      </c>
      <c r="B191" s="6" t="s">
        <v>737</v>
      </c>
      <c r="C191" s="5" t="n">
        <v>32.7</v>
      </c>
      <c r="D191" s="5"/>
      <c r="E191" s="5"/>
      <c r="F191" s="5" t="s">
        <v>580</v>
      </c>
      <c r="G191" s="8" t="s">
        <v>123</v>
      </c>
      <c r="H191" s="6" t="s">
        <v>575</v>
      </c>
      <c r="I191" s="5"/>
      <c r="J191" s="5" t="s">
        <v>576</v>
      </c>
      <c r="K191" s="6" t="s">
        <v>730</v>
      </c>
      <c r="L191" s="5" t="s">
        <v>54</v>
      </c>
    </row>
    <row r="192" customFormat="false" ht="57.45" hidden="false" customHeight="false" outlineLevel="0" collapsed="false">
      <c r="A192" s="5" t="s">
        <v>738</v>
      </c>
      <c r="B192" s="6" t="s">
        <v>739</v>
      </c>
      <c r="C192" s="5" t="n">
        <v>1.6</v>
      </c>
      <c r="D192" s="5"/>
      <c r="E192" s="5"/>
      <c r="F192" s="5" t="s">
        <v>591</v>
      </c>
      <c r="G192" s="8" t="s">
        <v>123</v>
      </c>
      <c r="H192" s="6" t="s">
        <v>575</v>
      </c>
      <c r="I192" s="5"/>
      <c r="J192" s="5" t="s">
        <v>576</v>
      </c>
      <c r="K192" s="6" t="s">
        <v>740</v>
      </c>
      <c r="L192" s="5"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4" min="2" style="0" width="16"/>
    <col collapsed="false" customWidth="true" hidden="false" outlineLevel="0" max="5" min="5" style="0" width="46"/>
  </cols>
  <sheetData>
    <row r="1" customFormat="false" ht="17.35" hidden="false" customHeight="false" outlineLevel="0" collapsed="false">
      <c r="A1" s="1" t="s">
        <v>741</v>
      </c>
    </row>
    <row r="2" customFormat="false" ht="15" hidden="false" customHeight="false" outlineLevel="0" collapsed="false">
      <c r="A2" s="11" t="s">
        <v>742</v>
      </c>
    </row>
    <row r="4" customFormat="false" ht="15" hidden="false" customHeight="false" outlineLevel="0" collapsed="false">
      <c r="A4" s="4"/>
      <c r="B4" s="4" t="s">
        <v>28</v>
      </c>
      <c r="C4" s="4" t="s">
        <v>743</v>
      </c>
      <c r="D4" s="4" t="s">
        <v>29</v>
      </c>
      <c r="E4" s="4" t="s">
        <v>744</v>
      </c>
    </row>
    <row r="5" customFormat="false" ht="15" hidden="false" customHeight="false" outlineLevel="0" collapsed="false">
      <c r="A5" s="0" t="s">
        <v>745</v>
      </c>
      <c r="B5" s="12" t="n">
        <f aca="false">eu_revenue_eur_m * Assumptions!$D$73/100 * (Assumptions!$D$74/100 + Assumptions!$D$76/100)</f>
        <v>158.87575</v>
      </c>
      <c r="C5" s="12" t="n">
        <f aca="false">eu_revenue_eur_m * incentive_pct_revenue/100 * (process_leak_pct/100 + targeting_leak_pct/100)</f>
        <v>554.6208</v>
      </c>
      <c r="D5" s="12" t="n">
        <f aca="false">eu_revenue_eur_m * Assumptions!$E$73/100 * (Assumptions!$E$74/100 + Assumptions!$E$76/100)</f>
        <v>1733.19</v>
      </c>
      <c r="E5" s="11" t="s">
        <v>746</v>
      </c>
    </row>
    <row r="6" customFormat="false" ht="15" hidden="false" customHeight="false" outlineLevel="0" collapsed="false">
      <c r="A6" s="0" t="s">
        <v>747</v>
      </c>
      <c r="B6" s="12" t="n">
        <f aca="false">eu_shipments * Assumptions!$D$78/100 * Assumptions!$D$79/100 * Assumptions!$D$80 / 1000000</f>
        <v>7.47</v>
      </c>
      <c r="C6" s="12" t="n">
        <f aca="false">eu_shipments * finance_penetration/100 * upgrade_capture_uplift/100 * margin_per_repeat_sale / 1000000</f>
        <v>59.76</v>
      </c>
      <c r="D6" s="12" t="n">
        <f aca="false">eu_shipments * Assumptions!$E$78/100 * Assumptions!$E$79/100 * Assumptions!$E$80 / 1000000</f>
        <v>261.45</v>
      </c>
      <c r="E6" s="11" t="s">
        <v>748</v>
      </c>
    </row>
    <row r="7" customFormat="false" ht="15" hidden="false" customHeight="false" outlineLevel="0" collapsed="false">
      <c r="A7" s="0" t="s">
        <v>749</v>
      </c>
      <c r="B7" s="12" t="n">
        <f aca="false">buyback_payables_current_eur_m * (ABS(level_1y_p10_core)/100 + (curve_1y_p80_known/2/retained_1y_pooled * (1 - Assumptions!$D$77/100) + curve_1y_p80_unknown/2/retained_1y_pooled * Assumptions!$D$77/100))</f>
        <v>280.336817180617</v>
      </c>
      <c r="C7" s="12" t="n">
        <f aca="false">buyback_payables_current_eur_m * (ABS(level_1y_p10_core)/100 + (curve_1y_p80_known/2/retained_1y_pooled * (1 - thin_share_of_book/100) + curve_1y_p80_unknown/2/retained_1y_pooled * thin_share_of_book/100))</f>
        <v>298.329631057269</v>
      </c>
      <c r="D7" s="12" t="n">
        <f aca="false">buyback_payables_current_eur_m * (ABS(level_1y_p10_core)/100 + (curve_1y_p80_known/2/retained_1y_pooled * (1 - Assumptions!$E$77/100) + curve_1y_p80_unknown/2/retained_1y_pooled * Assumptions!$E$77/100))</f>
        <v>316.322444933921</v>
      </c>
      <c r="E7" s="11" t="s">
        <v>750</v>
      </c>
    </row>
    <row r="8" customFormat="false" ht="15" hidden="false" customHeight="false" outlineLevel="0" collapsed="false">
      <c r="A8" s="3" t="s">
        <v>751</v>
      </c>
      <c r="B8" s="13" t="n">
        <f aca="false">eu_revenue_eur_m * Assumptions!$D$73/100 * (Assumptions!$D$74/100 + Assumptions!$D$76/100) + eu_shipments * Assumptions!$D$78/100 * Assumptions!$D$79/100 * Assumptions!$D$80 / 1000000 + buyback_payables_current_eur_m * (ABS(level_1y_p10_core)/100 + (curve_1y_p80_known/2/retained_1y_pooled * (1 - Assumptions!$D$77/100) + curve_1y_p80_unknown/2/retained_1y_pooled * Assumptions!$D$77/100))</f>
        <v>446.682567180617</v>
      </c>
      <c r="C8"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c r="D8" s="13" t="n">
        <f aca="false">eu_revenue_eur_m * Assumptions!$E$73/100 * (Assumptions!$E$74/100 + Assumptions!$E$76/100) + eu_shipments * Assumptions!$E$78/100 * Assumptions!$E$79/100 * Assumptions!$E$80 / 1000000 + buyback_payables_current_eur_m * (ABS(level_1y_p10_core)/100 + (curve_1y_p80_known/2/retained_1y_pooled * (1 - Assumptions!$E$77/100) + curve_1y_p80_unknown/2/retained_1y_pooled * Assumptions!$E$77/100))</f>
        <v>2310.96244493392</v>
      </c>
    </row>
    <row r="9" customFormat="false" ht="15" hidden="false" customHeight="false" outlineLevel="0" collapsed="false">
      <c r="A9" s="0" t="s">
        <v>752</v>
      </c>
      <c r="C9" s="12"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f>
        <v>1459.94943105727</v>
      </c>
      <c r="E9" s="11" t="s">
        <v>753</v>
      </c>
    </row>
    <row r="12" customFormat="false" ht="17.35" hidden="false" customHeight="false" outlineLevel="0" collapsed="false">
      <c r="A12" s="1" t="s">
        <v>754</v>
      </c>
    </row>
    <row r="13" customFormat="false" ht="15" hidden="false" customHeight="false" outlineLevel="0" collapsed="false">
      <c r="A13" s="4"/>
      <c r="B13" s="4" t="s">
        <v>48</v>
      </c>
      <c r="C13" s="4" t="s">
        <v>684</v>
      </c>
      <c r="D13" s="4" t="s">
        <v>755</v>
      </c>
    </row>
    <row r="14" customFormat="false" ht="15" hidden="false" customHeight="false" outlineLevel="0" collapsed="false">
      <c r="A14" s="14" t="s">
        <v>756</v>
      </c>
      <c r="B14" s="12" t="n">
        <f aca="false">buyback_payables_current_eur_m * (ABS(level_1y_p10_core)/100 + (curve_1y_p80_known/2/retained_1y_pooled * (1 - thin_share_of_book/100) + curve_1y_p80_unknown/2/retained_1y_pooled * thin_share_of_book/100))</f>
        <v>298.329631057269</v>
      </c>
      <c r="C14" s="15" t="n">
        <f aca="false">B14/(eu_revenue_eur_m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0.326861204721511</v>
      </c>
      <c r="D14" s="11" t="s">
        <v>757</v>
      </c>
    </row>
    <row r="15" customFormat="false" ht="15" hidden="false" customHeight="false" outlineLevel="0" collapsed="false">
      <c r="A15" s="16" t="s">
        <v>758</v>
      </c>
      <c r="B15" s="12" t="n">
        <f aca="false">eu_shipments * finance_penetration/100 * upgrade_capture_uplift/100 * margin_per_repeat_sale / 1000000</f>
        <v>59.76</v>
      </c>
      <c r="C15" s="15" t="n">
        <f aca="false">B15/(eu_revenue_eur_m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0.0654753117380011</v>
      </c>
      <c r="D15" s="11" t="s">
        <v>759</v>
      </c>
    </row>
    <row r="16" customFormat="false" ht="15" hidden="false" customHeight="false" outlineLevel="0" collapsed="false">
      <c r="A16" s="16" t="s">
        <v>760</v>
      </c>
      <c r="B16" s="12" t="n">
        <f aca="false">eu_revenue_eur_m * incentive_pct_revenue/100 * (process_leak_pct/100 + targeting_leak_pct/100)</f>
        <v>554.6208</v>
      </c>
      <c r="C16" s="15" t="n">
        <f aca="false">B16/(eu_revenue_eur_m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0.607663483540488</v>
      </c>
      <c r="D16" s="11" t="s">
        <v>761</v>
      </c>
    </row>
    <row r="17" customFormat="false" ht="45.75" hidden="false" customHeight="true" outlineLevel="0" collapsed="false">
      <c r="A17" s="17" t="s">
        <v>762</v>
      </c>
    </row>
    <row r="20" customFormat="false" ht="17.35" hidden="false" customHeight="false" outlineLevel="0" collapsed="false">
      <c r="A20" s="1" t="s">
        <v>763</v>
      </c>
    </row>
    <row r="21" customFormat="false" ht="15" hidden="false" customHeight="false" outlineLevel="0" collapsed="false">
      <c r="A21" s="4" t="s">
        <v>764</v>
      </c>
      <c r="B21" s="4" t="s">
        <v>31</v>
      </c>
      <c r="C21" s="4" t="s">
        <v>765</v>
      </c>
      <c r="D21" s="4" t="s">
        <v>766</v>
      </c>
      <c r="E21" s="4" t="s">
        <v>767</v>
      </c>
    </row>
    <row r="22" customFormat="false" ht="15" hidden="false" customHeight="false" outlineLevel="0" collapsed="false">
      <c r="A22" s="0" t="s">
        <v>329</v>
      </c>
      <c r="B22" s="16" t="s">
        <v>305</v>
      </c>
      <c r="C22" s="12" t="n">
        <f aca="false">eu_revenue_eur_m * incentive_pct_revenue/100 * (process_leak_pct/100 + targeting_leak_pct/100) + eu_shipments * finance_penetration/100 * upgrade_capture_uplift/100 * Assumptions!$D$80 / 1000000 + buyback_payables_current_eur_m * (ABS(level_1y_p10_core)/100 + (curve_1y_p80_known/2/retained_1y_pooled * (1 - thin_share_of_book/100) + curve_1y_p80_unknown/2/retained_1y_pooled * thin_share_of_book/100))</f>
        <v>882.830431057269</v>
      </c>
      <c r="D22" s="12" t="n">
        <f aca="false">eu_revenue_eur_m * incentive_pct_revenue/100 * (process_leak_pct/100 + targeting_leak_pct/100) + eu_shipments * finance_penetration/100 * upgrade_capture_uplift/100 * Assumptions!$E$80 / 1000000 + buyback_payables_current_eur_m * (ABS(level_1y_p10_core)/100 + (curve_1y_p80_known/2/retained_1y_pooled * (1 - thin_share_of_book/100) + curve_1y_p80_unknown/2/retained_1y_pooled * thin_share_of_book/100))</f>
        <v>957.530431057269</v>
      </c>
      <c r="E22" s="12" t="n">
        <f aca="false">ABS(D22-C22)</f>
        <v>74.7000000000001</v>
      </c>
    </row>
    <row r="23" customFormat="false" ht="15" hidden="false" customHeight="false" outlineLevel="0" collapsed="false">
      <c r="A23" s="0" t="s">
        <v>319</v>
      </c>
      <c r="B23" s="16" t="s">
        <v>305</v>
      </c>
      <c r="C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Assumptions!$D$77/100) + curve_1y_p80_unknown/2/retained_1y_pooled * Assumptions!$D$77/100))</f>
        <v>894.717617180617</v>
      </c>
      <c r="D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Assumptions!$E$77/100) + curve_1y_p80_unknown/2/retained_1y_pooled * Assumptions!$E$77/100))</f>
        <v>930.703244933921</v>
      </c>
      <c r="E23" s="12" t="n">
        <f aca="false">ABS(D23-C23)</f>
        <v>35.9856277533039</v>
      </c>
    </row>
    <row r="24" customFormat="false" ht="15" hidden="false" customHeight="false" outlineLevel="0" collapsed="false">
      <c r="A24" s="0" t="s">
        <v>322</v>
      </c>
      <c r="B24" s="16" t="s">
        <v>305</v>
      </c>
      <c r="C24" s="12" t="n">
        <f aca="false">eu_revenue_eur_m * incentive_pct_revenue/100 * (process_leak_pct/100 + targeting_leak_pct/100) + eu_shipments * Assumptions!$D$78/100 * upgrade_capture_uplift/100 * margin_per_repeat_sale / 1000000 + buyback_payables_current_eur_m * (ABS(level_1y_p10_core)/100 + (curve_1y_p80_known/2/retained_1y_pooled * (1 - thin_share_of_book/100) + curve_1y_p80_unknown/2/retained_1y_pooled * thin_share_of_book/100))</f>
        <v>897.770431057269</v>
      </c>
      <c r="D24" s="12" t="n">
        <f aca="false">eu_revenue_eur_m * incentive_pct_revenue/100 * (process_leak_pct/100 + targeting_leak_pct/100) + eu_shipments * Assumptions!$E$78/100 * upgrade_capture_uplift/100 * margin_per_repeat_sale / 1000000 + buyback_payables_current_eur_m * (ABS(level_1y_p10_core)/100 + (curve_1y_p80_known/2/retained_1y_pooled * (1 - thin_share_of_book/100) + curve_1y_p80_unknown/2/retained_1y_pooled * thin_share_of_book/100))</f>
        <v>927.650431057269</v>
      </c>
      <c r="E24" s="12" t="n">
        <f aca="false">ABS(D24-C24)</f>
        <v>29.88</v>
      </c>
    </row>
    <row r="25" customFormat="false" ht="15" hidden="false" customHeight="false" outlineLevel="0" collapsed="false">
      <c r="A25" s="0" t="s">
        <v>316</v>
      </c>
      <c r="B25" s="16" t="s">
        <v>305</v>
      </c>
      <c r="C25" s="12" t="n">
        <f aca="false">eu_revenue_eur_m * incentive_pct_revenue/100 * (process_leak_pct/100 + Assumptions!$D$76/100)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681.618431057269</v>
      </c>
      <c r="D25" s="12" t="n">
        <f aca="false">eu_revenue_eur_m * incentive_pct_revenue/100 * (process_leak_pct/100 + Assumptions!$E$76/100)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1374.89443105727</v>
      </c>
      <c r="E25" s="12" t="n">
        <f aca="false">ABS(D25-C25)</f>
        <v>693.276</v>
      </c>
    </row>
    <row r="26" customFormat="false" ht="15" hidden="false" customHeight="false" outlineLevel="0" collapsed="false">
      <c r="A26" s="0" t="s">
        <v>304</v>
      </c>
      <c r="B26" s="16" t="s">
        <v>305</v>
      </c>
      <c r="C26" s="12" t="n">
        <f aca="false">eu_revenue_eur_m * Assumptions!$D$73/100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704.727631057269</v>
      </c>
      <c r="D26" s="12" t="n">
        <f aca="false">eu_revenue_eur_m * Assumptions!$E$73/100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1190.02083105727</v>
      </c>
      <c r="E26" s="12" t="n">
        <f aca="false">ABS(D26-C26)</f>
        <v>485.2932</v>
      </c>
    </row>
    <row r="27" customFormat="false" ht="15" hidden="false" customHeight="false" outlineLevel="0" collapsed="false">
      <c r="A27" s="0" t="s">
        <v>325</v>
      </c>
      <c r="B27" s="16" t="s">
        <v>305</v>
      </c>
      <c r="C27" s="12" t="n">
        <f aca="false">eu_revenue_eur_m * incentive_pct_revenue/100 * (process_leak_pct/100 + targeting_leak_pct/100) + eu_shipments * finance_penetration/100 * Assumptions!$D$79/100 * margin_per_repeat_sale / 1000000 + buyback_payables_current_eur_m * (ABS(level_1y_p10_core)/100 + (curve_1y_p80_known/2/retained_1y_pooled * (1 - thin_share_of_book/100) + curve_1y_p80_unknown/2/retained_1y_pooled * thin_share_of_book/100))</f>
        <v>872.870431057269</v>
      </c>
      <c r="D27" s="12" t="n">
        <f aca="false">eu_revenue_eur_m * incentive_pct_revenue/100 * (process_leak_pct/100 + targeting_leak_pct/100) + eu_shipments * finance_penetration/100 * Assumptions!$E$79/100 * margin_per_repeat_sale / 1000000 + buyback_payables_current_eur_m * (ABS(level_1y_p10_core)/100 + (curve_1y_p80_known/2/retained_1y_pooled * (1 - thin_share_of_book/100) + curve_1y_p80_unknown/2/retained_1y_pooled * thin_share_of_book/100))</f>
        <v>972.470431057269</v>
      </c>
      <c r="E27" s="12" t="n">
        <f aca="false">ABS(D27-C27)</f>
        <v>99.6</v>
      </c>
    </row>
    <row r="28" customFormat="false" ht="15" hidden="false" customHeight="false" outlineLevel="0" collapsed="false">
      <c r="A28" s="0" t="s">
        <v>309</v>
      </c>
      <c r="B28" s="16" t="s">
        <v>305</v>
      </c>
      <c r="C28" s="12" t="n">
        <f aca="false">eu_revenue_eur_m * incentive_pct_revenue/100 * (Assumptions!$D$74/100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843.382831057269</v>
      </c>
      <c r="D28" s="12" t="n">
        <f aca="false">eu_revenue_eur_m * incentive_pct_revenue/100 * (Assumptions!$E$74/100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1051.36563105727</v>
      </c>
      <c r="E28" s="12" t="n">
        <f aca="false">ABS(D28-C28)</f>
        <v>207.9828</v>
      </c>
    </row>
    <row r="29" customFormat="false" ht="31.5" hidden="false" customHeight="true" outlineLevel="0" collapsed="false">
      <c r="A29" s="17" t="s">
        <v>768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769</v>
      </c>
    </row>
    <row r="3" customFormat="false" ht="45.75" hidden="false" customHeight="true" outlineLevel="0" collapsed="false">
      <c r="A3" s="17" t="s">
        <v>770</v>
      </c>
    </row>
    <row r="5" customFormat="false" ht="15" hidden="false" customHeight="false" outlineLevel="0" collapsed="false">
      <c r="A5" s="3" t="s">
        <v>771</v>
      </c>
    </row>
    <row r="6" customFormat="false" ht="15" hidden="false" customHeight="false" outlineLevel="0" collapsed="false">
      <c r="A6" s="18" t="s">
        <v>772</v>
      </c>
      <c r="B6" s="19" t="n">
        <f aca="false">eu_revenue_eur_m * incentive_pct_revenue/100</f>
        <v>4621.84</v>
      </c>
      <c r="C6" s="11" t="s">
        <v>773</v>
      </c>
    </row>
    <row r="7" customFormat="false" ht="15" hidden="false" customHeight="false" outlineLevel="0" collapsed="false">
      <c r="A7" s="18" t="s">
        <v>774</v>
      </c>
      <c r="B7" s="19" t="n">
        <f aca="false">eu_revenue_eur_m * incentive_pct_revenue/100 * process_leak_pct/100</f>
        <v>92.4368</v>
      </c>
      <c r="C7" s="11" t="s">
        <v>308</v>
      </c>
    </row>
    <row r="8" customFormat="false" ht="15" hidden="false" customHeight="false" outlineLevel="0" collapsed="false">
      <c r="A8" s="18" t="s">
        <v>775</v>
      </c>
      <c r="B8" s="19" t="n">
        <f aca="false">eu_revenue_eur_m * incentive_pct_revenue/100 * targeting_leak_pct/100</f>
        <v>462.184</v>
      </c>
      <c r="C8" s="11" t="s">
        <v>315</v>
      </c>
    </row>
    <row r="9" customFormat="false" ht="15" hidden="false" customHeight="false" outlineLevel="0" collapsed="false">
      <c r="A9" s="3" t="s">
        <v>776</v>
      </c>
      <c r="B9" s="13" t="n">
        <f aca="false">eu_revenue_eur_m * incentive_pct_revenue/100 * (process_leak_pct/100 + targeting_leak_pct/100)</f>
        <v>554.6208</v>
      </c>
    </row>
    <row r="11" customFormat="false" ht="15" hidden="false" customHeight="false" outlineLevel="0" collapsed="false">
      <c r="A11" s="18" t="s">
        <v>777</v>
      </c>
      <c r="B11" s="19" t="n">
        <f aca="false">eu_revenue_eur_m * incentive_pct_revenue/100 * process_leak_pct/100 * recoverable_share/100</f>
        <v>27.73104</v>
      </c>
      <c r="C11" s="11" t="s">
        <v>778</v>
      </c>
    </row>
    <row r="13" customFormat="false" ht="15" hidden="false" customHeight="false" outlineLevel="0" collapsed="false">
      <c r="A13" s="3" t="s">
        <v>779</v>
      </c>
    </row>
    <row r="14" customFormat="false" ht="60" hidden="false" customHeight="true" outlineLevel="0" collapsed="false">
      <c r="A14" s="17" t="s">
        <v>780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8" min="2" style="0" width="17"/>
  </cols>
  <sheetData>
    <row r="1" customFormat="false" ht="17.35" hidden="false" customHeight="false" outlineLevel="0" collapsed="false">
      <c r="A1" s="1" t="s">
        <v>781</v>
      </c>
    </row>
    <row r="3" customFormat="false" ht="45.75" hidden="false" customHeight="true" outlineLevel="0" collapsed="false">
      <c r="A3" s="17" t="s">
        <v>782</v>
      </c>
    </row>
    <row r="5" customFormat="false" ht="15" hidden="false" customHeight="false" outlineLevel="0" collapsed="false">
      <c r="A5" s="3" t="s">
        <v>783</v>
      </c>
    </row>
    <row r="6" customFormat="false" ht="15" hidden="false" customHeight="false" outlineLevel="0" collapsed="false">
      <c r="A6" s="0" t="s">
        <v>584</v>
      </c>
      <c r="B6" s="0" t="n">
        <v>0</v>
      </c>
      <c r="C6" s="0" t="n">
        <v>1</v>
      </c>
      <c r="D6" s="0" t="n">
        <v>2</v>
      </c>
      <c r="E6" s="0" t="n">
        <v>3</v>
      </c>
      <c r="F6" s="0" t="n">
        <v>4</v>
      </c>
      <c r="G6" s="0" t="n">
        <v>5</v>
      </c>
    </row>
    <row r="7" customFormat="false" ht="15" hidden="false" customHeight="false" outlineLevel="0" collapsed="false">
      <c r="A7" s="0" t="s">
        <v>784</v>
      </c>
      <c r="B7" s="0" t="n">
        <v>100</v>
      </c>
      <c r="C7" s="0" t="n">
        <f aca="false">retained_1y_uk</f>
        <v>91</v>
      </c>
      <c r="D7" s="0" t="n">
        <f aca="false">retained_2y_uk</f>
        <v>78</v>
      </c>
      <c r="E7" s="0" t="n">
        <f aca="false">retained_3y_uk</f>
        <v>66</v>
      </c>
      <c r="F7" s="0" t="n">
        <f aca="false">retained_4y_uk</f>
        <v>59</v>
      </c>
      <c r="G7" s="0" t="n">
        <f aca="false">retained_5y_uk</f>
        <v>52</v>
      </c>
      <c r="H7" s="11" t="s">
        <v>785</v>
      </c>
    </row>
    <row r="9" customFormat="false" ht="15" hidden="false" customHeight="false" outlineLevel="0" collapsed="false">
      <c r="A9" s="3" t="s">
        <v>786</v>
      </c>
    </row>
    <row r="10" customFormat="false" ht="15" hidden="false" customHeight="false" outlineLevel="0" collapsed="false">
      <c r="A10" s="0" t="s">
        <v>787</v>
      </c>
      <c r="B10" s="0" t="n">
        <f aca="false">loan_deposit_pct</f>
        <v>15</v>
      </c>
    </row>
    <row r="11" customFormat="false" ht="15" hidden="false" customHeight="false" outlineLevel="0" collapsed="false">
      <c r="A11" s="0" t="s">
        <v>788</v>
      </c>
      <c r="B11" s="0" t="n">
        <f aca="false">loan_term_months</f>
        <v>48</v>
      </c>
    </row>
    <row r="12" customFormat="false" ht="15" hidden="false" customHeight="false" outlineLevel="0" collapsed="false">
      <c r="A12" s="0" t="s">
        <v>789</v>
      </c>
      <c r="B12" s="0" t="n">
        <f aca="false">loan_apr</f>
        <v>7</v>
      </c>
    </row>
    <row r="13" customFormat="false" ht="15" hidden="false" customHeight="false" outlineLevel="0" collapsed="false">
      <c r="A13" s="0" t="s">
        <v>790</v>
      </c>
      <c r="B13" s="0" t="n">
        <f aca="false">100 - loan_deposit_pct</f>
        <v>85</v>
      </c>
      <c r="C13" s="11" t="s">
        <v>791</v>
      </c>
    </row>
    <row r="15" customFormat="false" ht="31.5" hidden="false" customHeight="true" outlineLevel="0" collapsed="false">
      <c r="A15" s="17" t="s">
        <v>792</v>
      </c>
    </row>
    <row r="17" customFormat="false" ht="26.85" hidden="false" customHeight="false" outlineLevel="0" collapsed="false">
      <c r="A17" s="4" t="s">
        <v>793</v>
      </c>
      <c r="B17" s="4" t="s">
        <v>794</v>
      </c>
      <c r="C17" s="4" t="s">
        <v>795</v>
      </c>
      <c r="D17" s="4" t="s">
        <v>796</v>
      </c>
      <c r="E17" s="4" t="s">
        <v>797</v>
      </c>
      <c r="F17" s="4" t="s">
        <v>798</v>
      </c>
      <c r="G17" s="4" t="s">
        <v>799</v>
      </c>
      <c r="H17" s="4" t="s">
        <v>800</v>
      </c>
    </row>
    <row r="18" customFormat="false" ht="15" hidden="false" customHeight="false" outlineLevel="0" collapsed="false">
      <c r="A18" s="0" t="n">
        <v>0</v>
      </c>
      <c r="B18" s="20" t="n">
        <f aca="false">IF(A18&gt;=loan_term_months,0,(100-loan_deposit_pct)*((1+loan_apr/1200)^loan_term_months-(1+loan_apr/1200)^A18)/((1+loan_apr/1200)^loan_term_months-1))</f>
        <v>85</v>
      </c>
      <c r="C18" s="20" t="n">
        <f aca="false">INDEX($B$7:$G$7,MIN(4,INT(A18/12))+1)+(A18/12-MIN(4,INT(A18/12)))*(INDEX($B$7:$G$7,MIN(4,INT(A18/12))+2)-INDEX($B$7:$G$7,MIN(4,INT(A18/12))+1))</f>
        <v>100</v>
      </c>
      <c r="D18" s="20" t="n">
        <f aca="false">C18-B18</f>
        <v>15</v>
      </c>
      <c r="E18" s="20" t="n">
        <f aca="false">C18*(1+level_3y_p10_core/100)</f>
        <v>92.3</v>
      </c>
      <c r="F18" s="20" t="n">
        <f aca="false">E18-B18</f>
        <v>7.30000000000001</v>
      </c>
      <c r="G18" s="20" t="n">
        <f aca="false">C18*(1+level_3y_worst/100)</f>
        <v>73</v>
      </c>
      <c r="H18" s="20" t="n">
        <f aca="false">G18-B18</f>
        <v>-12</v>
      </c>
    </row>
    <row r="19" customFormat="false" ht="15" hidden="false" customHeight="false" outlineLevel="0" collapsed="false">
      <c r="A19" s="0" t="n">
        <v>1</v>
      </c>
      <c r="B19" s="20" t="n">
        <f aca="false">IF(A19&gt;=loan_term_months,0,(100-loan_deposit_pct)*((1+loan_apr/1200)^loan_term_months-(1+loan_apr/1200)^A19)/((1+loan_apr/1200)^loan_term_months-1))</f>
        <v>83.4604025370257</v>
      </c>
      <c r="C19" s="20" t="n">
        <f aca="false">INDEX($B$7:$G$7,MIN(4,INT(A19/12))+1)+(A19/12-MIN(4,INT(A19/12)))*(INDEX($B$7:$G$7,MIN(4,INT(A19/12))+2)-INDEX($B$7:$G$7,MIN(4,INT(A19/12))+1))</f>
        <v>99.25</v>
      </c>
      <c r="D19" s="20" t="n">
        <f aca="false">C19-B19</f>
        <v>15.7895974629743</v>
      </c>
      <c r="E19" s="20" t="n">
        <f aca="false">C19*(1+level_3y_p10_core/100)</f>
        <v>91.60775</v>
      </c>
      <c r="F19" s="20" t="n">
        <f aca="false">E19-B19</f>
        <v>8.14734746297432</v>
      </c>
      <c r="G19" s="20" t="n">
        <f aca="false">C19*(1+level_3y_worst/100)</f>
        <v>72.4525</v>
      </c>
      <c r="H19" s="20" t="n">
        <f aca="false">G19-B19</f>
        <v>-11.0079025370257</v>
      </c>
    </row>
    <row r="20" customFormat="false" ht="15" hidden="false" customHeight="false" outlineLevel="0" collapsed="false">
      <c r="A20" s="0" t="n">
        <v>2</v>
      </c>
      <c r="B20" s="20" t="n">
        <f aca="false">IF(A20&gt;=loan_term_months,0,(100-loan_deposit_pct)*((1+loan_apr/1200)^loan_term_months-(1+loan_apr/1200)^A20)/((1+loan_apr/1200)^loan_term_months-1))</f>
        <v>81.9118240888507</v>
      </c>
      <c r="C20" s="20" t="n">
        <f aca="false">INDEX($B$7:$G$7,MIN(4,INT(A20/12))+1)+(A20/12-MIN(4,INT(A20/12)))*(INDEX($B$7:$G$7,MIN(4,INT(A20/12))+2)-INDEX($B$7:$G$7,MIN(4,INT(A20/12))+1))</f>
        <v>98.5</v>
      </c>
      <c r="D20" s="20" t="n">
        <f aca="false">C20-B20</f>
        <v>16.5881759111493</v>
      </c>
      <c r="E20" s="20" t="n">
        <f aca="false">C20*(1+level_3y_p10_core/100)</f>
        <v>90.9155</v>
      </c>
      <c r="F20" s="20" t="n">
        <f aca="false">E20-B20</f>
        <v>9.0036759111493</v>
      </c>
      <c r="G20" s="20" t="n">
        <f aca="false">C20*(1+level_3y_worst/100)</f>
        <v>71.905</v>
      </c>
      <c r="H20" s="20" t="n">
        <f aca="false">G20-B20</f>
        <v>-10.0068240888507</v>
      </c>
    </row>
    <row r="21" customFormat="false" ht="15" hidden="false" customHeight="false" outlineLevel="0" collapsed="false">
      <c r="A21" s="0" t="n">
        <v>3</v>
      </c>
      <c r="B21" s="20" t="n">
        <f aca="false">IF(A21&gt;=loan_term_months,0,(100-loan_deposit_pct)*((1+loan_apr/1200)^loan_term_months-(1+loan_apr/1200)^A21)/((1+loan_apr/1200)^loan_term_months-1))</f>
        <v>80.3542122663947</v>
      </c>
      <c r="C21" s="20" t="n">
        <f aca="false">INDEX($B$7:$G$7,MIN(4,INT(A21/12))+1)+(A21/12-MIN(4,INT(A21/12)))*(INDEX($B$7:$G$7,MIN(4,INT(A21/12))+2)-INDEX($B$7:$G$7,MIN(4,INT(A21/12))+1))</f>
        <v>97.75</v>
      </c>
      <c r="D21" s="20" t="n">
        <f aca="false">C21-B21</f>
        <v>17.3957877336053</v>
      </c>
      <c r="E21" s="20" t="n">
        <f aca="false">C21*(1+level_3y_p10_core/100)</f>
        <v>90.22325</v>
      </c>
      <c r="F21" s="20" t="n">
        <f aca="false">E21-B21</f>
        <v>9.86903773360535</v>
      </c>
      <c r="G21" s="20" t="n">
        <f aca="false">C21*(1+level_3y_worst/100)</f>
        <v>71.3575</v>
      </c>
      <c r="H21" s="20" t="n">
        <f aca="false">G21-B21</f>
        <v>-8.99671226639465</v>
      </c>
    </row>
    <row r="22" customFormat="false" ht="15" hidden="false" customHeight="false" outlineLevel="0" collapsed="false">
      <c r="A22" s="0" t="n">
        <v>4</v>
      </c>
      <c r="B22" s="20" t="n">
        <f aca="false">IF(A22&gt;=loan_term_months,0,(100-loan_deposit_pct)*((1+loan_apr/1200)^loan_term_months-(1+loan_apr/1200)^A22)/((1+loan_apr/1200)^loan_term_months-1))</f>
        <v>78.7875143749743</v>
      </c>
      <c r="C22" s="20" t="n">
        <f aca="false">INDEX($B$7:$G$7,MIN(4,INT(A22/12))+1)+(A22/12-MIN(4,INT(A22/12)))*(INDEX($B$7:$G$7,MIN(4,INT(A22/12))+2)-INDEX($B$7:$G$7,MIN(4,INT(A22/12))+1))</f>
        <v>97</v>
      </c>
      <c r="D22" s="20" t="n">
        <f aca="false">C22-B22</f>
        <v>18.2124856250257</v>
      </c>
      <c r="E22" s="20" t="n">
        <f aca="false">C22*(1+level_3y_p10_core/100)</f>
        <v>89.531</v>
      </c>
      <c r="F22" s="20" t="n">
        <f aca="false">E22-B22</f>
        <v>10.7434856250257</v>
      </c>
      <c r="G22" s="20" t="n">
        <f aca="false">C22*(1+level_3y_worst/100)</f>
        <v>70.81</v>
      </c>
      <c r="H22" s="20" t="n">
        <f aca="false">G22-B22</f>
        <v>-7.97751437497433</v>
      </c>
    </row>
    <row r="23" customFormat="false" ht="15" hidden="false" customHeight="false" outlineLevel="0" collapsed="false">
      <c r="A23" s="0" t="n">
        <v>5</v>
      </c>
      <c r="B23" s="20" t="n">
        <f aca="false">IF(A23&gt;=loan_term_months,0,(100-loan_deposit_pct)*((1+loan_apr/1200)^loan_term_months-(1+loan_apr/1200)^A23)/((1+loan_apr/1200)^loan_term_months-1))</f>
        <v>77.2116774125207</v>
      </c>
      <c r="C23" s="20" t="n">
        <f aca="false">INDEX($B$7:$G$7,MIN(4,INT(A23/12))+1)+(A23/12-MIN(4,INT(A23/12)))*(INDEX($B$7:$G$7,MIN(4,INT(A23/12))+2)-INDEX($B$7:$G$7,MIN(4,INT(A23/12))+1))</f>
        <v>96.25</v>
      </c>
      <c r="D23" s="20" t="n">
        <f aca="false">C23-B23</f>
        <v>19.0383225874793</v>
      </c>
      <c r="E23" s="20" t="n">
        <f aca="false">C23*(1+level_3y_p10_core/100)</f>
        <v>88.83875</v>
      </c>
      <c r="F23" s="20" t="n">
        <f aca="false">E23-B23</f>
        <v>11.6270725874793</v>
      </c>
      <c r="G23" s="20" t="n">
        <f aca="false">C23*(1+level_3y_worst/100)</f>
        <v>70.2625</v>
      </c>
      <c r="H23" s="20" t="n">
        <f aca="false">G23-B23</f>
        <v>-6.9491774125207</v>
      </c>
    </row>
    <row r="24" customFormat="false" ht="15" hidden="false" customHeight="false" outlineLevel="0" collapsed="false">
      <c r="A24" s="0" t="n">
        <v>6</v>
      </c>
      <c r="B24" s="20" t="n">
        <f aca="false">IF(A24&gt;=loan_term_months,0,(100-loan_deposit_pct)*((1+loan_apr/1200)^loan_term_months-(1+loan_apr/1200)^A24)/((1+loan_apr/1200)^loan_term_months-1))</f>
        <v>75.6266480677861</v>
      </c>
      <c r="C24" s="20" t="n">
        <f aca="false">INDEX($B$7:$G$7,MIN(4,INT(A24/12))+1)+(A24/12-MIN(4,INT(A24/12)))*(INDEX($B$7:$G$7,MIN(4,INT(A24/12))+2)-INDEX($B$7:$G$7,MIN(4,INT(A24/12))+1))</f>
        <v>95.5</v>
      </c>
      <c r="D24" s="20" t="n">
        <f aca="false">C24-B24</f>
        <v>19.8733519322139</v>
      </c>
      <c r="E24" s="20" t="n">
        <f aca="false">C24*(1+level_3y_p10_core/100)</f>
        <v>88.1465</v>
      </c>
      <c r="F24" s="20" t="n">
        <f aca="false">E24-B24</f>
        <v>12.5198519322139</v>
      </c>
      <c r="G24" s="20" t="n">
        <f aca="false">C24*(1+level_3y_worst/100)</f>
        <v>69.715</v>
      </c>
      <c r="H24" s="20" t="n">
        <f aca="false">G24-B24</f>
        <v>-5.91164806778609</v>
      </c>
    </row>
    <row r="25" customFormat="false" ht="15" hidden="false" customHeight="false" outlineLevel="0" collapsed="false">
      <c r="A25" s="0" t="n">
        <v>7</v>
      </c>
      <c r="B25" s="20" t="n">
        <f aca="false">IF(A25&gt;=loan_term_months,0,(100-loan_deposit_pct)*((1+loan_apr/1200)^loan_term_months-(1+loan_apr/1200)^A25)/((1+loan_apr/1200)^loan_term_months-1))</f>
        <v>74.0323727185406</v>
      </c>
      <c r="C25" s="20" t="n">
        <f aca="false">INDEX($B$7:$G$7,MIN(4,INT(A25/12))+1)+(A25/12-MIN(4,INT(A25/12)))*(INDEX($B$7:$G$7,MIN(4,INT(A25/12))+2)-INDEX($B$7:$G$7,MIN(4,INT(A25/12))+1))</f>
        <v>94.75</v>
      </c>
      <c r="D25" s="20" t="n">
        <f aca="false">C25-B25</f>
        <v>20.7176272814594</v>
      </c>
      <c r="E25" s="20" t="n">
        <f aca="false">C25*(1+level_3y_p10_core/100)</f>
        <v>87.45425</v>
      </c>
      <c r="F25" s="20" t="n">
        <f aca="false">E25-B25</f>
        <v>13.4218772814594</v>
      </c>
      <c r="G25" s="20" t="n">
        <f aca="false">C25*(1+level_3y_worst/100)</f>
        <v>69.1675</v>
      </c>
      <c r="H25" s="20" t="n">
        <f aca="false">G25-B25</f>
        <v>-4.86487271854055</v>
      </c>
    </row>
    <row r="26" customFormat="false" ht="15" hidden="false" customHeight="false" outlineLevel="0" collapsed="false">
      <c r="A26" s="0" t="n">
        <v>8</v>
      </c>
      <c r="B26" s="20" t="n">
        <f aca="false">IF(A26&gt;=loan_term_months,0,(100-loan_deposit_pct)*((1+loan_apr/1200)^loan_term_months-(1+loan_apr/1200)^A26)/((1+loan_apr/1200)^loan_term_months-1))</f>
        <v>72.4287974297577</v>
      </c>
      <c r="C26" s="20" t="n">
        <f aca="false">INDEX($B$7:$G$7,MIN(4,INT(A26/12))+1)+(A26/12-MIN(4,INT(A26/12)))*(INDEX($B$7:$G$7,MIN(4,INT(A26/12))+2)-INDEX($B$7:$G$7,MIN(4,INT(A26/12))+1))</f>
        <v>94</v>
      </c>
      <c r="D26" s="20" t="n">
        <f aca="false">C26-B26</f>
        <v>21.5712025702423</v>
      </c>
      <c r="E26" s="20" t="n">
        <f aca="false">C26*(1+level_3y_p10_core/100)</f>
        <v>86.762</v>
      </c>
      <c r="F26" s="20" t="n">
        <f aca="false">E26-B26</f>
        <v>14.3332025702423</v>
      </c>
      <c r="G26" s="20" t="n">
        <f aca="false">C26*(1+level_3y_worst/100)</f>
        <v>68.62</v>
      </c>
      <c r="H26" s="20" t="n">
        <f aca="false">G26-B26</f>
        <v>-3.8087974297577</v>
      </c>
    </row>
    <row r="27" customFormat="false" ht="15" hidden="false" customHeight="false" outlineLevel="0" collapsed="false">
      <c r="A27" s="0" t="n">
        <v>9</v>
      </c>
      <c r="B27" s="20" t="n">
        <f aca="false">IF(A27&gt;=loan_term_months,0,(100-loan_deposit_pct)*((1+loan_apr/1200)^loan_term_months-(1+loan_apr/1200)^A27)/((1+loan_apr/1200)^loan_term_months-1))</f>
        <v>70.8158679517903</v>
      </c>
      <c r="C27" s="20" t="n">
        <f aca="false">INDEX($B$7:$G$7,MIN(4,INT(A27/12))+1)+(A27/12-MIN(4,INT(A27/12)))*(INDEX($B$7:$G$7,MIN(4,INT(A27/12))+2)-INDEX($B$7:$G$7,MIN(4,INT(A27/12))+1))</f>
        <v>93.25</v>
      </c>
      <c r="D27" s="20" t="n">
        <f aca="false">C27-B27</f>
        <v>22.4341320482097</v>
      </c>
      <c r="E27" s="20" t="n">
        <f aca="false">C27*(1+level_3y_p10_core/100)</f>
        <v>86.06975</v>
      </c>
      <c r="F27" s="20" t="n">
        <f aca="false">E27-B27</f>
        <v>15.2538820482097</v>
      </c>
      <c r="G27" s="20" t="n">
        <f aca="false">C27*(1+level_3y_worst/100)</f>
        <v>68.0725</v>
      </c>
      <c r="H27" s="20" t="n">
        <f aca="false">G27-B27</f>
        <v>-2.74336795179029</v>
      </c>
    </row>
    <row r="28" customFormat="false" ht="15" hidden="false" customHeight="false" outlineLevel="0" collapsed="false">
      <c r="A28" s="0" t="n">
        <v>10</v>
      </c>
      <c r="B28" s="20" t="n">
        <f aca="false">IF(A28&gt;=loan_term_months,0,(100-loan_deposit_pct)*((1+loan_apr/1200)^loan_term_months-(1+loan_apr/1200)^A28)/((1+loan_apr/1200)^loan_term_months-1))</f>
        <v>69.1935297185348</v>
      </c>
      <c r="C28" s="20" t="n">
        <f aca="false">INDEX($B$7:$G$7,MIN(4,INT(A28/12))+1)+(A28/12-MIN(4,INT(A28/12)))*(INDEX($B$7:$G$7,MIN(4,INT(A28/12))+2)-INDEX($B$7:$G$7,MIN(4,INT(A28/12))+1))</f>
        <v>92.5</v>
      </c>
      <c r="D28" s="20" t="n">
        <f aca="false">C28-B28</f>
        <v>23.3064702814652</v>
      </c>
      <c r="E28" s="20" t="n">
        <f aca="false">C28*(1+level_3y_p10_core/100)</f>
        <v>85.3775</v>
      </c>
      <c r="F28" s="20" t="n">
        <f aca="false">E28-B28</f>
        <v>16.1839702814652</v>
      </c>
      <c r="G28" s="20" t="n">
        <f aca="false">C28*(1+level_3y_worst/100)</f>
        <v>67.525</v>
      </c>
      <c r="H28" s="20" t="n">
        <f aca="false">G28-B28</f>
        <v>-1.6685297185348</v>
      </c>
    </row>
    <row r="29" customFormat="false" ht="15" hidden="false" customHeight="false" outlineLevel="0" collapsed="false">
      <c r="A29" s="0" t="n">
        <v>11</v>
      </c>
      <c r="B29" s="20" t="n">
        <f aca="false">IF(A29&gt;=loan_term_months,0,(100-loan_deposit_pct)*((1+loan_apr/1200)^loan_term_months-(1+loan_apr/1200)^A29)/((1+loan_apr/1200)^loan_term_months-1))</f>
        <v>67.5617278455852</v>
      </c>
      <c r="C29" s="20" t="n">
        <f aca="false">INDEX($B$7:$G$7,MIN(4,INT(A29/12))+1)+(A29/12-MIN(4,INT(A29/12)))*(INDEX($B$7:$G$7,MIN(4,INT(A29/12))+2)-INDEX($B$7:$G$7,MIN(4,INT(A29/12))+1))</f>
        <v>91.75</v>
      </c>
      <c r="D29" s="20" t="n">
        <f aca="false">C29-B29</f>
        <v>24.1882721544148</v>
      </c>
      <c r="E29" s="20" t="n">
        <f aca="false">C29*(1+level_3y_p10_core/100)</f>
        <v>84.68525</v>
      </c>
      <c r="F29" s="20" t="n">
        <f aca="false">E29-B29</f>
        <v>17.1235221544148</v>
      </c>
      <c r="G29" s="20" t="n">
        <f aca="false">C29*(1+level_3y_worst/100)</f>
        <v>66.9775</v>
      </c>
      <c r="H29" s="20" t="n">
        <f aca="false">G29-B29</f>
        <v>-0.584227845585247</v>
      </c>
    </row>
    <row r="30" customFormat="false" ht="15" hidden="false" customHeight="false" outlineLevel="0" collapsed="false">
      <c r="A30" s="0" t="n">
        <v>12</v>
      </c>
      <c r="B30" s="20" t="n">
        <f aca="false">IF(A30&gt;=loan_term_months,0,(100-loan_deposit_pct)*((1+loan_apr/1200)^loan_term_months-(1+loan_apr/1200)^A30)/((1+loan_apr/1200)^loan_term_months-1))</f>
        <v>65.9204071283769</v>
      </c>
      <c r="C30" s="20" t="n">
        <f aca="false">INDEX($B$7:$G$7,MIN(4,INT(A30/12))+1)+(A30/12-MIN(4,INT(A30/12)))*(INDEX($B$7:$G$7,MIN(4,INT(A30/12))+2)-INDEX($B$7:$G$7,MIN(4,INT(A30/12))+1))</f>
        <v>91</v>
      </c>
      <c r="D30" s="20" t="n">
        <f aca="false">C30-B30</f>
        <v>25.0795928716231</v>
      </c>
      <c r="E30" s="20" t="n">
        <f aca="false">C30*(1+level_3y_p10_core/100)</f>
        <v>83.993</v>
      </c>
      <c r="F30" s="20" t="n">
        <f aca="false">E30-B30</f>
        <v>18.0725928716231</v>
      </c>
      <c r="G30" s="20" t="n">
        <f aca="false">C30*(1+level_3y_worst/100)</f>
        <v>66.43</v>
      </c>
      <c r="H30" s="20" t="n">
        <f aca="false">G30-B30</f>
        <v>0.509592871623127</v>
      </c>
    </row>
    <row r="31" customFormat="false" ht="15" hidden="false" customHeight="false" outlineLevel="0" collapsed="false">
      <c r="A31" s="0" t="n">
        <v>13</v>
      </c>
      <c r="B31" s="20" t="n">
        <f aca="false">IF(A31&gt;=loan_term_months,0,(100-loan_deposit_pct)*((1+loan_apr/1200)^loan_term_months-(1+loan_apr/1200)^A31)/((1+loan_apr/1200)^loan_term_months-1))</f>
        <v>64.2695120403181</v>
      </c>
      <c r="C31" s="20" t="n">
        <f aca="false">INDEX($B$7:$G$7,MIN(4,INT(A31/12))+1)+(A31/12-MIN(4,INT(A31/12)))*(INDEX($B$7:$G$7,MIN(4,INT(A31/12))+2)-INDEX($B$7:$G$7,MIN(4,INT(A31/12))+1))</f>
        <v>89.9166666666667</v>
      </c>
      <c r="D31" s="20" t="n">
        <f aca="false">C31-B31</f>
        <v>25.6471546263486</v>
      </c>
      <c r="E31" s="20" t="n">
        <f aca="false">C31*(1+level_3y_p10_core/100)</f>
        <v>82.9930833333334</v>
      </c>
      <c r="F31" s="20" t="n">
        <f aca="false">E31-B31</f>
        <v>18.7235712930153</v>
      </c>
      <c r="G31" s="20" t="n">
        <f aca="false">C31*(1+level_3y_worst/100)</f>
        <v>65.6391666666667</v>
      </c>
      <c r="H31" s="20" t="n">
        <f aca="false">G31-B31</f>
        <v>1.36965462634862</v>
      </c>
    </row>
    <row r="32" customFormat="false" ht="15" hidden="false" customHeight="false" outlineLevel="0" collapsed="false">
      <c r="A32" s="0" t="n">
        <v>14</v>
      </c>
      <c r="B32" s="20" t="n">
        <f aca="false">IF(A32&gt;=loan_term_months,0,(100-loan_deposit_pct)*((1+loan_apr/1200)^loan_term_months-(1+loan_apr/1200)^A32)/((1+loan_apr/1200)^loan_term_months-1))</f>
        <v>62.6089867309123</v>
      </c>
      <c r="C32" s="20" t="n">
        <f aca="false">INDEX($B$7:$G$7,MIN(4,INT(A32/12))+1)+(A32/12-MIN(4,INT(A32/12)))*(INDEX($B$7:$G$7,MIN(4,INT(A32/12))+2)-INDEX($B$7:$G$7,MIN(4,INT(A32/12))+1))</f>
        <v>88.8333333333333</v>
      </c>
      <c r="D32" s="20" t="n">
        <f aca="false">C32-B32</f>
        <v>26.224346602421</v>
      </c>
      <c r="E32" s="20" t="n">
        <f aca="false">C32*(1+level_3y_p10_core/100)</f>
        <v>81.9931666666667</v>
      </c>
      <c r="F32" s="20" t="n">
        <f aca="false">E32-B32</f>
        <v>19.3841799357544</v>
      </c>
      <c r="G32" s="20" t="n">
        <f aca="false">C32*(1+level_3y_worst/100)</f>
        <v>64.8483333333333</v>
      </c>
      <c r="H32" s="20" t="n">
        <f aca="false">G32-B32</f>
        <v>2.23934660242102</v>
      </c>
    </row>
    <row r="33" customFormat="false" ht="15" hidden="false" customHeight="false" outlineLevel="0" collapsed="false">
      <c r="A33" s="0" t="n">
        <v>15</v>
      </c>
      <c r="B33" s="20" t="n">
        <f aca="false">IF(A33&gt;=loan_term_months,0,(100-loan_deposit_pct)*((1+loan_apr/1200)^loan_term_months-(1+loan_apr/1200)^A33)/((1+loan_apr/1200)^loan_term_months-1))</f>
        <v>60.9387750238683</v>
      </c>
      <c r="C33" s="20" t="n">
        <f aca="false">INDEX($B$7:$G$7,MIN(4,INT(A33/12))+1)+(A33/12-MIN(4,INT(A33/12)))*(INDEX($B$7:$G$7,MIN(4,INT(A33/12))+2)-INDEX($B$7:$G$7,MIN(4,INT(A33/12))+1))</f>
        <v>87.75</v>
      </c>
      <c r="D33" s="20" t="n">
        <f aca="false">C33-B33</f>
        <v>26.8112249761317</v>
      </c>
      <c r="E33" s="20" t="n">
        <f aca="false">C33*(1+level_3y_p10_core/100)</f>
        <v>80.99325</v>
      </c>
      <c r="F33" s="20" t="n">
        <f aca="false">E33-B33</f>
        <v>20.0544749761317</v>
      </c>
      <c r="G33" s="20" t="n">
        <f aca="false">C33*(1+level_3y_worst/100)</f>
        <v>64.0575</v>
      </c>
      <c r="H33" s="20" t="n">
        <f aca="false">G33-B33</f>
        <v>3.11872497613174</v>
      </c>
    </row>
    <row r="34" customFormat="false" ht="15" hidden="false" customHeight="false" outlineLevel="0" collapsed="false">
      <c r="A34" s="0" t="n">
        <v>16</v>
      </c>
      <c r="B34" s="20" t="n">
        <f aca="false">IF(A34&gt;=loan_term_months,0,(100-loan_deposit_pct)*((1+loan_apr/1200)^loan_term_months-(1+loan_apr/1200)^A34)/((1+loan_apr/1200)^loan_term_months-1))</f>
        <v>59.2588204151999</v>
      </c>
      <c r="C34" s="20" t="n">
        <f aca="false">INDEX($B$7:$G$7,MIN(4,INT(A34/12))+1)+(A34/12-MIN(4,INT(A34/12)))*(INDEX($B$7:$G$7,MIN(4,INT(A34/12))+2)-INDEX($B$7:$G$7,MIN(4,INT(A34/12))+1))</f>
        <v>86.6666666666667</v>
      </c>
      <c r="D34" s="20" t="n">
        <f aca="false">C34-B34</f>
        <v>27.4078462514668</v>
      </c>
      <c r="E34" s="20" t="n">
        <f aca="false">C34*(1+level_3y_p10_core/100)</f>
        <v>79.9933333333333</v>
      </c>
      <c r="F34" s="20" t="n">
        <f aca="false">E34-B34</f>
        <v>20.7345129181335</v>
      </c>
      <c r="G34" s="20" t="n">
        <f aca="false">C34*(1+level_3y_worst/100)</f>
        <v>63.2666666666667</v>
      </c>
      <c r="H34" s="20" t="n">
        <f aca="false">G34-B34</f>
        <v>4.00784625146678</v>
      </c>
    </row>
    <row r="35" customFormat="false" ht="15" hidden="false" customHeight="false" outlineLevel="0" collapsed="false">
      <c r="A35" s="0" t="n">
        <v>17</v>
      </c>
      <c r="B35" s="20" t="n">
        <f aca="false">IF(A35&gt;=loan_term_months,0,(100-loan_deposit_pct)*((1+loan_apr/1200)^loan_term_months-(1+loan_apr/1200)^A35)/((1+loan_apr/1200)^loan_term_months-1))</f>
        <v>57.5690660713142</v>
      </c>
      <c r="C35" s="20" t="n">
        <f aca="false">INDEX($B$7:$G$7,MIN(4,INT(A35/12))+1)+(A35/12-MIN(4,INT(A35/12)))*(INDEX($B$7:$G$7,MIN(4,INT(A35/12))+2)-INDEX($B$7:$G$7,MIN(4,INT(A35/12))+1))</f>
        <v>85.5833333333333</v>
      </c>
      <c r="D35" s="20" t="n">
        <f aca="false">C35-B35</f>
        <v>28.0142672620191</v>
      </c>
      <c r="E35" s="20" t="n">
        <f aca="false">C35*(1+level_3y_p10_core/100)</f>
        <v>78.9934166666667</v>
      </c>
      <c r="F35" s="20" t="n">
        <f aca="false">E35-B35</f>
        <v>21.4243505953524</v>
      </c>
      <c r="G35" s="20" t="n">
        <f aca="false">C35*(1+level_3y_worst/100)</f>
        <v>62.4758333333333</v>
      </c>
      <c r="H35" s="20" t="n">
        <f aca="false">G35-B35</f>
        <v>4.90676726201911</v>
      </c>
    </row>
    <row r="36" customFormat="false" ht="15" hidden="false" customHeight="false" outlineLevel="0" collapsed="false">
      <c r="A36" s="0" t="n">
        <v>18</v>
      </c>
      <c r="B36" s="20" t="n">
        <f aca="false">IF(A36&gt;=loan_term_months,0,(100-loan_deposit_pct)*((1+loan_apr/1200)^loan_term_months-(1+loan_apr/1200)^A36)/((1+loan_apr/1200)^loan_term_months-1))</f>
        <v>55.8694548270893</v>
      </c>
      <c r="C36" s="20" t="n">
        <f aca="false">INDEX($B$7:$G$7,MIN(4,INT(A36/12))+1)+(A36/12-MIN(4,INT(A36/12)))*(INDEX($B$7:$G$7,MIN(4,INT(A36/12))+2)-INDEX($B$7:$G$7,MIN(4,INT(A36/12))+1))</f>
        <v>84.5</v>
      </c>
      <c r="D36" s="20" t="n">
        <f aca="false">C36-B36</f>
        <v>28.6305451729107</v>
      </c>
      <c r="E36" s="20" t="n">
        <f aca="false">C36*(1+level_3y_p10_core/100)</f>
        <v>77.9935</v>
      </c>
      <c r="F36" s="20" t="n">
        <f aca="false">E36-B36</f>
        <v>22.1240451729107</v>
      </c>
      <c r="G36" s="20" t="n">
        <f aca="false">C36*(1+level_3y_worst/100)</f>
        <v>61.685</v>
      </c>
      <c r="H36" s="20" t="n">
        <f aca="false">G36-B36</f>
        <v>5.81554517291074</v>
      </c>
    </row>
    <row r="37" customFormat="false" ht="15" hidden="false" customHeight="false" outlineLevel="0" collapsed="false">
      <c r="A37" s="0" t="n">
        <v>19</v>
      </c>
      <c r="B37" s="20" t="n">
        <f aca="false">IF(A37&gt;=loan_term_months,0,(100-loan_deposit_pct)*((1+loan_apr/1200)^loan_term_months-(1+loan_apr/1200)^A37)/((1+loan_apr/1200)^loan_term_months-1))</f>
        <v>54.1599291839396</v>
      </c>
      <c r="C37" s="20" t="n">
        <f aca="false">INDEX($B$7:$G$7,MIN(4,INT(A37/12))+1)+(A37/12-MIN(4,INT(A37/12)))*(INDEX($B$7:$G$7,MIN(4,INT(A37/12))+2)-INDEX($B$7:$G$7,MIN(4,INT(A37/12))+1))</f>
        <v>83.4166666666667</v>
      </c>
      <c r="D37" s="20" t="n">
        <f aca="false">C37-B37</f>
        <v>29.2567374827271</v>
      </c>
      <c r="E37" s="20" t="n">
        <f aca="false">C37*(1+level_3y_p10_core/100)</f>
        <v>76.9935833333334</v>
      </c>
      <c r="F37" s="20" t="n">
        <f aca="false">E37-B37</f>
        <v>22.8336541493937</v>
      </c>
      <c r="G37" s="20" t="n">
        <f aca="false">C37*(1+level_3y_worst/100)</f>
        <v>60.8941666666667</v>
      </c>
      <c r="H37" s="20" t="n">
        <f aca="false">G37-B37</f>
        <v>6.73423748272706</v>
      </c>
    </row>
    <row r="38" customFormat="false" ht="15" hidden="false" customHeight="false" outlineLevel="0" collapsed="false">
      <c r="A38" s="0" t="n">
        <v>20</v>
      </c>
      <c r="B38" s="20" t="n">
        <f aca="false">IF(A38&gt;=loan_term_months,0,(100-loan_deposit_pct)*((1+loan_apr/1200)^loan_term_months-(1+loan_apr/1200)^A38)/((1+loan_apr/1200)^loan_term_months-1))</f>
        <v>52.4404313078716</v>
      </c>
      <c r="C38" s="20" t="n">
        <f aca="false">INDEX($B$7:$G$7,MIN(4,INT(A38/12))+1)+(A38/12-MIN(4,INT(A38/12)))*(INDEX($B$7:$G$7,MIN(4,INT(A38/12))+2)-INDEX($B$7:$G$7,MIN(4,INT(A38/12))+1))</f>
        <v>82.3333333333333</v>
      </c>
      <c r="D38" s="20" t="n">
        <f aca="false">C38-B38</f>
        <v>29.8929020254617</v>
      </c>
      <c r="E38" s="20" t="n">
        <f aca="false">C38*(1+level_3y_p10_core/100)</f>
        <v>75.9936666666667</v>
      </c>
      <c r="F38" s="20" t="n">
        <f aca="false">E38-B38</f>
        <v>23.5532353587951</v>
      </c>
      <c r="G38" s="20" t="n">
        <f aca="false">C38*(1+level_3y_worst/100)</f>
        <v>60.1033333333333</v>
      </c>
      <c r="H38" s="20" t="n">
        <f aca="false">G38-B38</f>
        <v>7.66290202546173</v>
      </c>
    </row>
    <row r="39" customFormat="false" ht="15" hidden="false" customHeight="false" outlineLevel="0" collapsed="false">
      <c r="A39" s="0" t="n">
        <v>21</v>
      </c>
      <c r="B39" s="20" t="n">
        <f aca="false">IF(A39&gt;=loan_term_months,0,(100-loan_deposit_pct)*((1+loan_apr/1200)^loan_term_months-(1+loan_apr/1200)^A39)/((1+loan_apr/1200)^loan_term_months-1))</f>
        <v>50.7109030275266</v>
      </c>
      <c r="C39" s="20" t="n">
        <f aca="false">INDEX($B$7:$G$7,MIN(4,INT(A39/12))+1)+(A39/12-MIN(4,INT(A39/12)))*(INDEX($B$7:$G$7,MIN(4,INT(A39/12))+2)-INDEX($B$7:$G$7,MIN(4,INT(A39/12))+1))</f>
        <v>81.25</v>
      </c>
      <c r="D39" s="20" t="n">
        <f aca="false">C39-B39</f>
        <v>30.5390969724735</v>
      </c>
      <c r="E39" s="20" t="n">
        <f aca="false">C39*(1+level_3y_p10_core/100)</f>
        <v>74.99375</v>
      </c>
      <c r="F39" s="20" t="n">
        <f aca="false">E39-B39</f>
        <v>24.2828469724735</v>
      </c>
      <c r="G39" s="20" t="n">
        <f aca="false">C39*(1+level_3y_worst/100)</f>
        <v>59.3125</v>
      </c>
      <c r="H39" s="20" t="n">
        <f aca="false">G39-B39</f>
        <v>8.60159697247345</v>
      </c>
    </row>
    <row r="40" customFormat="false" ht="15" hidden="false" customHeight="false" outlineLevel="0" collapsed="false">
      <c r="A40" s="0" t="n">
        <v>22</v>
      </c>
      <c r="B40" s="20" t="n">
        <f aca="false">IF(A40&gt;=loan_term_months,0,(100-loan_deposit_pct)*((1+loan_apr/1200)^loan_term_months-(1+loan_apr/1200)^A40)/((1+loan_apr/1200)^loan_term_months-1))</f>
        <v>48.9712858322128</v>
      </c>
      <c r="C40" s="20" t="n">
        <f aca="false">INDEX($B$7:$G$7,MIN(4,INT(A40/12))+1)+(A40/12-MIN(4,INT(A40/12)))*(INDEX($B$7:$G$7,MIN(4,INT(A40/12))+2)-INDEX($B$7:$G$7,MIN(4,INT(A40/12))+1))</f>
        <v>80.1666666666667</v>
      </c>
      <c r="D40" s="20" t="n">
        <f aca="false">C40-B40</f>
        <v>31.1953808344539</v>
      </c>
      <c r="E40" s="20" t="n">
        <f aca="false">C40*(1+level_3y_p10_core/100)</f>
        <v>73.9938333333333</v>
      </c>
      <c r="F40" s="20" t="n">
        <f aca="false">E40-B40</f>
        <v>25.0225475011205</v>
      </c>
      <c r="G40" s="20" t="n">
        <f aca="false">C40*(1+level_3y_worst/100)</f>
        <v>58.5216666666667</v>
      </c>
      <c r="H40" s="20" t="n">
        <f aca="false">G40-B40</f>
        <v>9.55038083445386</v>
      </c>
    </row>
    <row r="41" customFormat="false" ht="15" hidden="false" customHeight="false" outlineLevel="0" collapsed="false">
      <c r="A41" s="0" t="n">
        <v>23</v>
      </c>
      <c r="B41" s="20" t="n">
        <f aca="false">IF(A41&gt;=loan_term_months,0,(100-loan_deposit_pct)*((1+loan_apr/1200)^loan_term_months-(1+loan_apr/1200)^A41)/((1+loan_apr/1200)^loan_term_months-1))</f>
        <v>47.2215208699264</v>
      </c>
      <c r="C41" s="20" t="n">
        <f aca="false">INDEX($B$7:$G$7,MIN(4,INT(A41/12))+1)+(A41/12-MIN(4,INT(A41/12)))*(INDEX($B$7:$G$7,MIN(4,INT(A41/12))+2)-INDEX($B$7:$G$7,MIN(4,INT(A41/12))+1))</f>
        <v>79.0833333333333</v>
      </c>
      <c r="D41" s="20" t="n">
        <f aca="false">C41-B41</f>
        <v>31.8618124634069</v>
      </c>
      <c r="E41" s="20" t="n">
        <f aca="false">C41*(1+level_3y_p10_core/100)</f>
        <v>72.9939166666667</v>
      </c>
      <c r="F41" s="20" t="n">
        <f aca="false">E41-B41</f>
        <v>25.7723957967402</v>
      </c>
      <c r="G41" s="20" t="n">
        <f aca="false">C41*(1+level_3y_worst/100)</f>
        <v>57.7308333333333</v>
      </c>
      <c r="H41" s="20" t="n">
        <f aca="false">G41-B41</f>
        <v>10.5093124634069</v>
      </c>
    </row>
    <row r="42" customFormat="false" ht="15" hidden="false" customHeight="false" outlineLevel="0" collapsed="false">
      <c r="A42" s="0" t="n">
        <v>24</v>
      </c>
      <c r="B42" s="20" t="n">
        <f aca="false">IF(A42&gt;=loan_term_months,0,(100-loan_deposit_pct)*((1+loan_apr/1200)^loan_term_months-(1+loan_apr/1200)^A42)/((1+loan_apr/1200)^loan_term_months-1))</f>
        <v>45.46154894536</v>
      </c>
      <c r="C42" s="20" t="n">
        <f aca="false">INDEX($B$7:$G$7,MIN(4,INT(A42/12))+1)+(A42/12-MIN(4,INT(A42/12)))*(INDEX($B$7:$G$7,MIN(4,INT(A42/12))+2)-INDEX($B$7:$G$7,MIN(4,INT(A42/12))+1))</f>
        <v>78</v>
      </c>
      <c r="D42" s="20" t="n">
        <f aca="false">C42-B42</f>
        <v>32.53845105464</v>
      </c>
      <c r="E42" s="20" t="n">
        <f aca="false">C42*(1+level_3y_p10_core/100)</f>
        <v>71.994</v>
      </c>
      <c r="F42" s="20" t="n">
        <f aca="false">E42-B42</f>
        <v>26.53245105464</v>
      </c>
      <c r="G42" s="20" t="n">
        <f aca="false">C42*(1+level_3y_worst/100)</f>
        <v>56.94</v>
      </c>
      <c r="H42" s="20" t="n">
        <f aca="false">G42-B42</f>
        <v>11.47845105464</v>
      </c>
    </row>
    <row r="43" customFormat="false" ht="15" hidden="false" customHeight="false" outlineLevel="0" collapsed="false">
      <c r="A43" s="0" t="n">
        <v>25</v>
      </c>
      <c r="B43" s="20" t="n">
        <f aca="false">IF(A43&gt;=loan_term_months,0,(100-loan_deposit_pct)*((1+loan_apr/1200)^loan_term_months-(1+loan_apr/1200)^A43)/((1+loan_apr/1200)^loan_term_months-1))</f>
        <v>43.6913105179003</v>
      </c>
      <c r="C43" s="20" t="n">
        <f aca="false">INDEX($B$7:$G$7,MIN(4,INT(A43/12))+1)+(A43/12-MIN(4,INT(A43/12)))*(INDEX($B$7:$G$7,MIN(4,INT(A43/12))+2)-INDEX($B$7:$G$7,MIN(4,INT(A43/12))+1))</f>
        <v>77</v>
      </c>
      <c r="D43" s="20" t="n">
        <f aca="false">C43-B43</f>
        <v>33.3086894820997</v>
      </c>
      <c r="E43" s="20" t="n">
        <f aca="false">C43*(1+level_3y_p10_core/100)</f>
        <v>71.071</v>
      </c>
      <c r="F43" s="20" t="n">
        <f aca="false">E43-B43</f>
        <v>27.3796894820997</v>
      </c>
      <c r="G43" s="20" t="n">
        <f aca="false">C43*(1+level_3y_worst/100)</f>
        <v>56.21</v>
      </c>
      <c r="H43" s="20" t="n">
        <f aca="false">G43-B43</f>
        <v>12.5186894820997</v>
      </c>
    </row>
    <row r="44" customFormat="false" ht="15" hidden="false" customHeight="false" outlineLevel="0" collapsed="false">
      <c r="A44" s="0" t="n">
        <v>26</v>
      </c>
      <c r="B44" s="20" t="n">
        <f aca="false">IF(A44&gt;=loan_term_months,0,(100-loan_deposit_pct)*((1+loan_apr/1200)^loan_term_months-(1+loan_apr/1200)^A44)/((1+loan_apr/1200)^loan_term_months-1))</f>
        <v>41.9107456996137</v>
      </c>
      <c r="C44" s="20" t="n">
        <f aca="false">INDEX($B$7:$G$7,MIN(4,INT(A44/12))+1)+(A44/12-MIN(4,INT(A44/12)))*(INDEX($B$7:$G$7,MIN(4,INT(A44/12))+2)-INDEX($B$7:$G$7,MIN(4,INT(A44/12))+1))</f>
        <v>76</v>
      </c>
      <c r="D44" s="20" t="n">
        <f aca="false">C44-B44</f>
        <v>34.0892543003863</v>
      </c>
      <c r="E44" s="20" t="n">
        <f aca="false">C44*(1+level_3y_p10_core/100)</f>
        <v>70.148</v>
      </c>
      <c r="F44" s="20" t="n">
        <f aca="false">E44-B44</f>
        <v>28.2372543003863</v>
      </c>
      <c r="G44" s="20" t="n">
        <f aca="false">C44*(1+level_3y_worst/100)</f>
        <v>55.48</v>
      </c>
      <c r="H44" s="20" t="n">
        <f aca="false">G44-B44</f>
        <v>13.5692543003863</v>
      </c>
    </row>
    <row r="45" customFormat="false" ht="15" hidden="false" customHeight="false" outlineLevel="0" collapsed="false">
      <c r="A45" s="0" t="n">
        <v>27</v>
      </c>
      <c r="B45" s="20" t="n">
        <f aca="false">IF(A45&gt;=loan_term_months,0,(100-loan_deposit_pct)*((1+loan_apr/1200)^loan_term_months-(1+loan_apr/1200)^A45)/((1+loan_apr/1200)^loan_term_months-1))</f>
        <v>40.1197942532205</v>
      </c>
      <c r="C45" s="20" t="n">
        <f aca="false">INDEX($B$7:$G$7,MIN(4,INT(A45/12))+1)+(A45/12-MIN(4,INT(A45/12)))*(INDEX($B$7:$G$7,MIN(4,INT(A45/12))+2)-INDEX($B$7:$G$7,MIN(4,INT(A45/12))+1))</f>
        <v>75</v>
      </c>
      <c r="D45" s="20" t="n">
        <f aca="false">C45-B45</f>
        <v>34.8802057467795</v>
      </c>
      <c r="E45" s="20" t="n">
        <f aca="false">C45*(1+level_3y_p10_core/100)</f>
        <v>69.225</v>
      </c>
      <c r="F45" s="20" t="n">
        <f aca="false">E45-B45</f>
        <v>29.1052057467795</v>
      </c>
      <c r="G45" s="20" t="n">
        <f aca="false">C45*(1+level_3y_worst/100)</f>
        <v>54.75</v>
      </c>
      <c r="H45" s="20" t="n">
        <f aca="false">G45-B45</f>
        <v>14.6302057467795</v>
      </c>
    </row>
    <row r="46" customFormat="false" ht="15" hidden="false" customHeight="false" outlineLevel="0" collapsed="false">
      <c r="A46" s="0" t="n">
        <v>28</v>
      </c>
      <c r="B46" s="20" t="n">
        <f aca="false">IF(A46&gt;=loan_term_months,0,(100-loan_deposit_pct)*((1+loan_apr/1200)^loan_term_months-(1+loan_apr/1200)^A46)/((1+loan_apr/1200)^loan_term_months-1))</f>
        <v>38.3183955900567</v>
      </c>
      <c r="C46" s="20" t="n">
        <f aca="false">INDEX($B$7:$G$7,MIN(4,INT(A46/12))+1)+(A46/12-MIN(4,INT(A46/12)))*(INDEX($B$7:$G$7,MIN(4,INT(A46/12))+2)-INDEX($B$7:$G$7,MIN(4,INT(A46/12))+1))</f>
        <v>74</v>
      </c>
      <c r="D46" s="20" t="n">
        <f aca="false">C46-B46</f>
        <v>35.6816044099433</v>
      </c>
      <c r="E46" s="20" t="n">
        <f aca="false">C46*(1+level_3y_p10_core/100)</f>
        <v>68.302</v>
      </c>
      <c r="F46" s="20" t="n">
        <f aca="false">E46-B46</f>
        <v>29.9836044099433</v>
      </c>
      <c r="G46" s="20" t="n">
        <f aca="false">C46*(1+level_3y_worst/100)</f>
        <v>54.02</v>
      </c>
      <c r="H46" s="20" t="n">
        <f aca="false">G46-B46</f>
        <v>15.7016044099433</v>
      </c>
    </row>
    <row r="47" customFormat="false" ht="15" hidden="false" customHeight="false" outlineLevel="0" collapsed="false">
      <c r="A47" s="0" t="n">
        <v>29</v>
      </c>
      <c r="B47" s="20" t="n">
        <f aca="false">IF(A47&gt;=loan_term_months,0,(100-loan_deposit_pct)*((1+loan_apr/1200)^loan_term_months-(1+loan_apr/1200)^A47)/((1+loan_apr/1200)^loan_term_months-1))</f>
        <v>36.5064887680243</v>
      </c>
      <c r="C47" s="20" t="n">
        <f aca="false">INDEX($B$7:$G$7,MIN(4,INT(A47/12))+1)+(A47/12-MIN(4,INT(A47/12)))*(INDEX($B$7:$G$7,MIN(4,INT(A47/12))+2)-INDEX($B$7:$G$7,MIN(4,INT(A47/12))+1))</f>
        <v>73</v>
      </c>
      <c r="D47" s="20" t="n">
        <f aca="false">C47-B47</f>
        <v>36.4935112319757</v>
      </c>
      <c r="E47" s="20" t="n">
        <f aca="false">C47*(1+level_3y_p10_core/100)</f>
        <v>67.379</v>
      </c>
      <c r="F47" s="20" t="n">
        <f aca="false">E47-B47</f>
        <v>30.8725112319757</v>
      </c>
      <c r="G47" s="20" t="n">
        <f aca="false">C47*(1+level_3y_worst/100)</f>
        <v>53.29</v>
      </c>
      <c r="H47" s="20" t="n">
        <f aca="false">G47-B47</f>
        <v>16.7835112319757</v>
      </c>
    </row>
    <row r="48" customFormat="false" ht="15" hidden="false" customHeight="false" outlineLevel="0" collapsed="false">
      <c r="A48" s="0" t="n">
        <v>30</v>
      </c>
      <c r="B48" s="20" t="n">
        <f aca="false">IF(A48&gt;=loan_term_months,0,(100-loan_deposit_pct)*((1+loan_apr/1200)^loan_term_months-(1+loan_apr/1200)^A48)/((1+loan_apr/1200)^loan_term_months-1))</f>
        <v>34.6840124895302</v>
      </c>
      <c r="C48" s="20" t="n">
        <f aca="false">INDEX($B$7:$G$7,MIN(4,INT(A48/12))+1)+(A48/12-MIN(4,INT(A48/12)))*(INDEX($B$7:$G$7,MIN(4,INT(A48/12))+2)-INDEX($B$7:$G$7,MIN(4,INT(A48/12))+1))</f>
        <v>72</v>
      </c>
      <c r="D48" s="20" t="n">
        <f aca="false">C48-B48</f>
        <v>37.3159875104698</v>
      </c>
      <c r="E48" s="20" t="n">
        <f aca="false">C48*(1+level_3y_p10_core/100)</f>
        <v>66.456</v>
      </c>
      <c r="F48" s="20" t="n">
        <f aca="false">E48-B48</f>
        <v>31.7719875104698</v>
      </c>
      <c r="G48" s="20" t="n">
        <f aca="false">C48*(1+level_3y_worst/100)</f>
        <v>52.56</v>
      </c>
      <c r="H48" s="20" t="n">
        <f aca="false">G48-B48</f>
        <v>17.8759875104698</v>
      </c>
    </row>
    <row r="49" customFormat="false" ht="15" hidden="false" customHeight="false" outlineLevel="0" collapsed="false">
      <c r="A49" s="0" t="n">
        <v>31</v>
      </c>
      <c r="B49" s="20" t="n">
        <f aca="false">IF(A49&gt;=loan_term_months,0,(100-loan_deposit_pct)*((1+loan_apr/1200)^loan_term_months-(1+loan_apr/1200)^A49)/((1+loan_apr/1200)^loan_term_months-1))</f>
        <v>32.8509050994114</v>
      </c>
      <c r="C49" s="20" t="n">
        <f aca="false">INDEX($B$7:$G$7,MIN(4,INT(A49/12))+1)+(A49/12-MIN(4,INT(A49/12)))*(INDEX($B$7:$G$7,MIN(4,INT(A49/12))+2)-INDEX($B$7:$G$7,MIN(4,INT(A49/12))+1))</f>
        <v>71</v>
      </c>
      <c r="D49" s="20" t="n">
        <f aca="false">C49-B49</f>
        <v>38.1490949005886</v>
      </c>
      <c r="E49" s="20" t="n">
        <f aca="false">C49*(1+level_3y_p10_core/100)</f>
        <v>65.533</v>
      </c>
      <c r="F49" s="20" t="n">
        <f aca="false">E49-B49</f>
        <v>32.6820949005886</v>
      </c>
      <c r="G49" s="20" t="n">
        <f aca="false">C49*(1+level_3y_worst/100)</f>
        <v>51.83</v>
      </c>
      <c r="H49" s="20" t="n">
        <f aca="false">G49-B49</f>
        <v>18.9790949005886</v>
      </c>
    </row>
    <row r="50" customFormat="false" ht="15" hidden="false" customHeight="false" outlineLevel="0" collapsed="false">
      <c r="A50" s="0" t="n">
        <v>32</v>
      </c>
      <c r="B50" s="20" t="n">
        <f aca="false">IF(A50&gt;=loan_term_months,0,(100-loan_deposit_pct)*((1+loan_apr/1200)^loan_term_months-(1+loan_apr/1200)^A50)/((1+loan_apr/1200)^loan_term_months-1))</f>
        <v>31.0071045828503</v>
      </c>
      <c r="C50" s="20" t="n">
        <f aca="false">INDEX($B$7:$G$7,MIN(4,INT(A50/12))+1)+(A50/12-MIN(4,INT(A50/12)))*(INDEX($B$7:$G$7,MIN(4,INT(A50/12))+2)-INDEX($B$7:$G$7,MIN(4,INT(A50/12))+1))</f>
        <v>70</v>
      </c>
      <c r="D50" s="20" t="n">
        <f aca="false">C50-B50</f>
        <v>38.9928954171497</v>
      </c>
      <c r="E50" s="20" t="n">
        <f aca="false">C50*(1+level_3y_p10_core/100)</f>
        <v>64.61</v>
      </c>
      <c r="F50" s="20" t="n">
        <f aca="false">E50-B50</f>
        <v>33.6028954171497</v>
      </c>
      <c r="G50" s="20" t="n">
        <f aca="false">C50*(1+level_3y_worst/100)</f>
        <v>51.1</v>
      </c>
      <c r="H50" s="20" t="n">
        <f aca="false">G50-B50</f>
        <v>20.0928954171497</v>
      </c>
    </row>
    <row r="51" customFormat="false" ht="15" hidden="false" customHeight="false" outlineLevel="0" collapsed="false">
      <c r="A51" s="0" t="n">
        <v>33</v>
      </c>
      <c r="B51" s="20" t="n">
        <f aca="false">IF(A51&gt;=loan_term_months,0,(100-loan_deposit_pct)*((1+loan_apr/1200)^loan_term_months-(1+loan_apr/1200)^A51)/((1+loan_apr/1200)^loan_term_months-1))</f>
        <v>29.152548563276</v>
      </c>
      <c r="C51" s="20" t="n">
        <f aca="false">INDEX($B$7:$G$7,MIN(4,INT(A51/12))+1)+(A51/12-MIN(4,INT(A51/12)))*(INDEX($B$7:$G$7,MIN(4,INT(A51/12))+2)-INDEX($B$7:$G$7,MIN(4,INT(A51/12))+1))</f>
        <v>69</v>
      </c>
      <c r="D51" s="20" t="n">
        <f aca="false">C51-B51</f>
        <v>39.847451436724</v>
      </c>
      <c r="E51" s="20" t="n">
        <f aca="false">C51*(1+level_3y_p10_core/100)</f>
        <v>63.687</v>
      </c>
      <c r="F51" s="20" t="n">
        <f aca="false">E51-B51</f>
        <v>34.534451436724</v>
      </c>
      <c r="G51" s="20" t="n">
        <f aca="false">C51*(1+level_3y_worst/100)</f>
        <v>50.37</v>
      </c>
      <c r="H51" s="20" t="n">
        <f aca="false">G51-B51</f>
        <v>21.217451436724</v>
      </c>
    </row>
    <row r="52" customFormat="false" ht="15" hidden="false" customHeight="false" outlineLevel="0" collapsed="false">
      <c r="A52" s="0" t="n">
        <v>34</v>
      </c>
      <c r="B52" s="20" t="n">
        <f aca="false">IF(A52&gt;=loan_term_months,0,(100-loan_deposit_pct)*((1+loan_apr/1200)^loan_term_months-(1+loan_apr/1200)^A52)/((1+loan_apr/1200)^loan_term_months-1))</f>
        <v>27.2871743002541</v>
      </c>
      <c r="C52" s="20" t="n">
        <f aca="false">INDEX($B$7:$G$7,MIN(4,INT(A52/12))+1)+(A52/12-MIN(4,INT(A52/12)))*(INDEX($B$7:$G$7,MIN(4,INT(A52/12))+2)-INDEX($B$7:$G$7,MIN(4,INT(A52/12))+1))</f>
        <v>68</v>
      </c>
      <c r="D52" s="20" t="n">
        <f aca="false">C52-B52</f>
        <v>40.7128256997459</v>
      </c>
      <c r="E52" s="20" t="n">
        <f aca="false">C52*(1+level_3y_p10_core/100)</f>
        <v>62.764</v>
      </c>
      <c r="F52" s="20" t="n">
        <f aca="false">E52-B52</f>
        <v>35.4768256997459</v>
      </c>
      <c r="G52" s="20" t="n">
        <f aca="false">C52*(1+level_3y_worst/100)</f>
        <v>49.64</v>
      </c>
      <c r="H52" s="20" t="n">
        <f aca="false">G52-B52</f>
        <v>22.3528256997459</v>
      </c>
    </row>
    <row r="53" customFormat="false" ht="15" hidden="false" customHeight="false" outlineLevel="0" collapsed="false">
      <c r="A53" s="0" t="n">
        <v>35</v>
      </c>
      <c r="B53" s="20" t="n">
        <f aca="false">IF(A53&gt;=loan_term_months,0,(100-loan_deposit_pct)*((1+loan_apr/1200)^loan_term_months-(1+loan_apr/1200)^A53)/((1+loan_apr/1200)^loan_term_months-1))</f>
        <v>25.4109186873646</v>
      </c>
      <c r="C53" s="20" t="n">
        <f aca="false">INDEX($B$7:$G$7,MIN(4,INT(A53/12))+1)+(A53/12-MIN(4,INT(A53/12)))*(INDEX($B$7:$G$7,MIN(4,INT(A53/12))+2)-INDEX($B$7:$G$7,MIN(4,INT(A53/12))+1))</f>
        <v>67</v>
      </c>
      <c r="D53" s="20" t="n">
        <f aca="false">C53-B53</f>
        <v>41.5890813126354</v>
      </c>
      <c r="E53" s="20" t="n">
        <f aca="false">C53*(1+level_3y_p10_core/100)</f>
        <v>61.841</v>
      </c>
      <c r="F53" s="20" t="n">
        <f aca="false">E53-B53</f>
        <v>36.4300813126354</v>
      </c>
      <c r="G53" s="20" t="n">
        <f aca="false">C53*(1+level_3y_worst/100)</f>
        <v>48.91</v>
      </c>
      <c r="H53" s="20" t="n">
        <f aca="false">G53-B53</f>
        <v>23.4990813126354</v>
      </c>
    </row>
    <row r="54" customFormat="false" ht="15" hidden="false" customHeight="false" outlineLevel="0" collapsed="false">
      <c r="A54" s="0" t="n">
        <v>36</v>
      </c>
      <c r="B54" s="20" t="n">
        <f aca="false">IF(A54&gt;=loan_term_months,0,(100-loan_deposit_pct)*((1+loan_apr/1200)^loan_term_months-(1+loan_apr/1200)^A54)/((1+loan_apr/1200)^loan_term_months-1))</f>
        <v>23.5237182500666</v>
      </c>
      <c r="C54" s="20" t="n">
        <f aca="false">INDEX($B$7:$G$7,MIN(4,INT(A54/12))+1)+(A54/12-MIN(4,INT(A54/12)))*(INDEX($B$7:$G$7,MIN(4,INT(A54/12))+2)-INDEX($B$7:$G$7,MIN(4,INT(A54/12))+1))</f>
        <v>66</v>
      </c>
      <c r="D54" s="20" t="n">
        <f aca="false">C54-B54</f>
        <v>42.4762817499334</v>
      </c>
      <c r="E54" s="20" t="n">
        <f aca="false">C54*(1+level_3y_p10_core/100)</f>
        <v>60.918</v>
      </c>
      <c r="F54" s="20" t="n">
        <f aca="false">E54-B54</f>
        <v>37.3942817499334</v>
      </c>
      <c r="G54" s="20" t="n">
        <f aca="false">C54*(1+level_3y_worst/100)</f>
        <v>48.18</v>
      </c>
      <c r="H54" s="20" t="n">
        <f aca="false">G54-B54</f>
        <v>24.6562817499334</v>
      </c>
    </row>
    <row r="55" customFormat="false" ht="15" hidden="false" customHeight="false" outlineLevel="0" collapsed="false">
      <c r="A55" s="0" t="n">
        <v>37</v>
      </c>
      <c r="B55" s="20" t="n">
        <f aca="false">IF(A55&gt;=loan_term_months,0,(100-loan_deposit_pct)*((1+loan_apr/1200)^loan_term_months-(1+loan_apr/1200)^A55)/((1+loan_apr/1200)^loan_term_months-1))</f>
        <v>21.625509143551</v>
      </c>
      <c r="C55" s="20" t="n">
        <f aca="false">INDEX($B$7:$G$7,MIN(4,INT(A55/12))+1)+(A55/12-MIN(4,INT(A55/12)))*(INDEX($B$7:$G$7,MIN(4,INT(A55/12))+2)-INDEX($B$7:$G$7,MIN(4,INT(A55/12))+1))</f>
        <v>65.4166666666667</v>
      </c>
      <c r="D55" s="20" t="n">
        <f aca="false">C55-B55</f>
        <v>43.7911575231156</v>
      </c>
      <c r="E55" s="20" t="n">
        <f aca="false">C55*(1+level_3y_p10_core/100)</f>
        <v>60.3795833333333</v>
      </c>
      <c r="F55" s="20" t="n">
        <f aca="false">E55-B55</f>
        <v>38.7540741897823</v>
      </c>
      <c r="G55" s="20" t="n">
        <f aca="false">C55*(1+level_3y_worst/100)</f>
        <v>47.7541666666667</v>
      </c>
      <c r="H55" s="20" t="n">
        <f aca="false">G55-B55</f>
        <v>26.1286575231156</v>
      </c>
    </row>
    <row r="56" customFormat="false" ht="15" hidden="false" customHeight="false" outlineLevel="0" collapsed="false">
      <c r="A56" s="0" t="n">
        <v>38</v>
      </c>
      <c r="B56" s="20" t="n">
        <f aca="false">IF(A56&gt;=loan_term_months,0,(100-loan_deposit_pct)*((1+loan_apr/1200)^loan_term_months-(1+loan_apr/1200)^A56)/((1+loan_apr/1200)^loan_term_months-1))</f>
        <v>19.7162271505808</v>
      </c>
      <c r="C56" s="20" t="n">
        <f aca="false">INDEX($B$7:$G$7,MIN(4,INT(A56/12))+1)+(A56/12-MIN(4,INT(A56/12)))*(INDEX($B$7:$G$7,MIN(4,INT(A56/12))+2)-INDEX($B$7:$G$7,MIN(4,INT(A56/12))+1))</f>
        <v>64.8333333333333</v>
      </c>
      <c r="D56" s="20" t="n">
        <f aca="false">C56-B56</f>
        <v>45.1171061827526</v>
      </c>
      <c r="E56" s="20" t="n">
        <f aca="false">C56*(1+level_3y_p10_core/100)</f>
        <v>59.8411666666667</v>
      </c>
      <c r="F56" s="20" t="n">
        <f aca="false">E56-B56</f>
        <v>40.1249395160859</v>
      </c>
      <c r="G56" s="20" t="n">
        <f aca="false">C56*(1+level_3y_worst/100)</f>
        <v>47.3283333333333</v>
      </c>
      <c r="H56" s="20" t="n">
        <f aca="false">G56-B56</f>
        <v>27.6121061827526</v>
      </c>
    </row>
    <row r="57" customFormat="false" ht="15" hidden="false" customHeight="false" outlineLevel="0" collapsed="false">
      <c r="A57" s="0" t="n">
        <v>39</v>
      </c>
      <c r="B57" s="20" t="n">
        <f aca="false">IF(A57&gt;=loan_term_months,0,(100-loan_deposit_pct)*((1+loan_apr/1200)^loan_term_months-(1+loan_apr/1200)^A57)/((1+loan_apr/1200)^loan_term_months-1))</f>
        <v>17.7958076793182</v>
      </c>
      <c r="C57" s="20" t="n">
        <f aca="false">INDEX($B$7:$G$7,MIN(4,INT(A57/12))+1)+(A57/12-MIN(4,INT(A57/12)))*(INDEX($B$7:$G$7,MIN(4,INT(A57/12))+2)-INDEX($B$7:$G$7,MIN(4,INT(A57/12))+1))</f>
        <v>64.25</v>
      </c>
      <c r="D57" s="20" t="n">
        <f aca="false">C57-B57</f>
        <v>46.4541923206818</v>
      </c>
      <c r="E57" s="20" t="n">
        <f aca="false">C57*(1+level_3y_p10_core/100)</f>
        <v>59.30275</v>
      </c>
      <c r="F57" s="20" t="n">
        <f aca="false">E57-B57</f>
        <v>41.5069423206818</v>
      </c>
      <c r="G57" s="20" t="n">
        <f aca="false">C57*(1+level_3y_worst/100)</f>
        <v>46.9025</v>
      </c>
      <c r="H57" s="20" t="n">
        <f aca="false">G57-B57</f>
        <v>29.1066923206818</v>
      </c>
    </row>
    <row r="58" customFormat="false" ht="15" hidden="false" customHeight="false" outlineLevel="0" collapsed="false">
      <c r="A58" s="0" t="n">
        <v>40</v>
      </c>
      <c r="B58" s="20" t="n">
        <f aca="false">IF(A58&gt;=loan_term_months,0,(100-loan_deposit_pct)*((1+loan_apr/1200)^loan_term_months-(1+loan_apr/1200)^A58)/((1+loan_apr/1200)^loan_term_months-1))</f>
        <v>15.8641857611398</v>
      </c>
      <c r="C58" s="20" t="n">
        <f aca="false">INDEX($B$7:$G$7,MIN(4,INT(A58/12))+1)+(A58/12-MIN(4,INT(A58/12)))*(INDEX($B$7:$G$7,MIN(4,INT(A58/12))+2)-INDEX($B$7:$G$7,MIN(4,INT(A58/12))+1))</f>
        <v>63.6666666666667</v>
      </c>
      <c r="D58" s="20" t="n">
        <f aca="false">C58-B58</f>
        <v>47.8024809055268</v>
      </c>
      <c r="E58" s="20" t="n">
        <f aca="false">C58*(1+level_3y_p10_core/100)</f>
        <v>58.7643333333333</v>
      </c>
      <c r="F58" s="20" t="n">
        <f aca="false">E58-B58</f>
        <v>42.9001475721935</v>
      </c>
      <c r="G58" s="20" t="n">
        <f aca="false">C58*(1+level_3y_worst/100)</f>
        <v>46.4766666666667</v>
      </c>
      <c r="H58" s="20" t="n">
        <f aca="false">G58-B58</f>
        <v>30.6124809055268</v>
      </c>
    </row>
    <row r="59" customFormat="false" ht="15" hidden="false" customHeight="false" outlineLevel="0" collapsed="false">
      <c r="A59" s="0" t="n">
        <v>41</v>
      </c>
      <c r="B59" s="20" t="n">
        <f aca="false">IF(A59&gt;=loan_term_months,0,(100-loan_deposit_pct)*((1+loan_apr/1200)^loan_term_months-(1+loan_apr/1200)^A59)/((1+loan_apr/1200)^loan_term_months-1))</f>
        <v>13.9212960484389</v>
      </c>
      <c r="C59" s="20" t="n">
        <f aca="false">INDEX($B$7:$G$7,MIN(4,INT(A59/12))+1)+(A59/12-MIN(4,INT(A59/12)))*(INDEX($B$7:$G$7,MIN(4,INT(A59/12))+2)-INDEX($B$7:$G$7,MIN(4,INT(A59/12))+1))</f>
        <v>63.0833333333333</v>
      </c>
      <c r="D59" s="20" t="n">
        <f aca="false">C59-B59</f>
        <v>49.1620372848945</v>
      </c>
      <c r="E59" s="20" t="n">
        <f aca="false">C59*(1+level_3y_p10_core/100)</f>
        <v>58.2259166666667</v>
      </c>
      <c r="F59" s="20" t="n">
        <f aca="false">E59-B59</f>
        <v>44.3046206182278</v>
      </c>
      <c r="G59" s="20" t="n">
        <f aca="false">C59*(1+level_3y_worst/100)</f>
        <v>46.0508333333333</v>
      </c>
      <c r="H59" s="20" t="n">
        <f aca="false">G59-B59</f>
        <v>32.1295372848945</v>
      </c>
    </row>
    <row r="60" customFormat="false" ht="15" hidden="false" customHeight="false" outlineLevel="0" collapsed="false">
      <c r="A60" s="0" t="n">
        <v>42</v>
      </c>
      <c r="B60" s="20" t="n">
        <f aca="false">IF(A60&gt;=loan_term_months,0,(100-loan_deposit_pct)*((1+loan_apr/1200)^loan_term_months-(1+loan_apr/1200)^A60)/((1+loan_apr/1200)^loan_term_months-1))</f>
        <v>11.9670728124138</v>
      </c>
      <c r="C60" s="20" t="n">
        <f aca="false">INDEX($B$7:$G$7,MIN(4,INT(A60/12))+1)+(A60/12-MIN(4,INT(A60/12)))*(INDEX($B$7:$G$7,MIN(4,INT(A60/12))+2)-INDEX($B$7:$G$7,MIN(4,INT(A60/12))+1))</f>
        <v>62.5</v>
      </c>
      <c r="D60" s="20" t="n">
        <f aca="false">C60-B60</f>
        <v>50.5329271875862</v>
      </c>
      <c r="E60" s="20" t="n">
        <f aca="false">C60*(1+level_3y_p10_core/100)</f>
        <v>57.6875</v>
      </c>
      <c r="F60" s="20" t="n">
        <f aca="false">E60-B60</f>
        <v>45.7204271875862</v>
      </c>
      <c r="G60" s="20" t="n">
        <f aca="false">C60*(1+level_3y_worst/100)</f>
        <v>45.625</v>
      </c>
      <c r="H60" s="20" t="n">
        <f aca="false">G60-B60</f>
        <v>33.6579271875862</v>
      </c>
    </row>
    <row r="61" customFormat="false" ht="15" hidden="false" customHeight="false" outlineLevel="0" collapsed="false">
      <c r="A61" s="0" t="n">
        <v>43</v>
      </c>
      <c r="B61" s="20" t="n">
        <f aca="false">IF(A61&gt;=loan_term_months,0,(100-loan_deposit_pct)*((1+loan_apr/1200)^loan_term_months-(1+loan_apr/1200)^A61)/((1+loan_apr/1200)^loan_term_months-1))</f>
        <v>10.0014499408452</v>
      </c>
      <c r="C61" s="20" t="n">
        <f aca="false">INDEX($B$7:$G$7,MIN(4,INT(A61/12))+1)+(A61/12-MIN(4,INT(A61/12)))*(INDEX($B$7:$G$7,MIN(4,INT(A61/12))+2)-INDEX($B$7:$G$7,MIN(4,INT(A61/12))+1))</f>
        <v>61.9166666666667</v>
      </c>
      <c r="D61" s="20" t="n">
        <f aca="false">C61-B61</f>
        <v>51.9152167258215</v>
      </c>
      <c r="E61" s="20" t="n">
        <f aca="false">C61*(1+level_3y_p10_core/100)</f>
        <v>57.1490833333333</v>
      </c>
      <c r="F61" s="20" t="n">
        <f aca="false">E61-B61</f>
        <v>47.1476333924881</v>
      </c>
      <c r="G61" s="20" t="n">
        <f aca="false">C61*(1+level_3y_worst/100)</f>
        <v>45.1991666666667</v>
      </c>
      <c r="H61" s="20" t="n">
        <f aca="false">G61-B61</f>
        <v>35.1977167258215</v>
      </c>
    </row>
    <row r="62" customFormat="false" ht="15" hidden="false" customHeight="false" outlineLevel="0" collapsed="false">
      <c r="A62" s="0" t="n">
        <v>44</v>
      </c>
      <c r="B62" s="20" t="n">
        <f aca="false">IF(A62&gt;=loan_term_months,0,(100-loan_deposit_pct)*((1+loan_apr/1200)^loan_term_months-(1+loan_apr/1200)^A62)/((1+loan_apr/1200)^loan_term_months-1))</f>
        <v>8.02436093585918</v>
      </c>
      <c r="C62" s="20" t="n">
        <f aca="false">INDEX($B$7:$G$7,MIN(4,INT(A62/12))+1)+(A62/12-MIN(4,INT(A62/12)))*(INDEX($B$7:$G$7,MIN(4,INT(A62/12))+2)-INDEX($B$7:$G$7,MIN(4,INT(A62/12))+1))</f>
        <v>61.3333333333333</v>
      </c>
      <c r="D62" s="20" t="n">
        <f aca="false">C62-B62</f>
        <v>53.3089723974742</v>
      </c>
      <c r="E62" s="20" t="n">
        <f aca="false">C62*(1+level_3y_p10_core/100)</f>
        <v>56.6106666666667</v>
      </c>
      <c r="F62" s="20" t="n">
        <f aca="false">E62-B62</f>
        <v>48.5863057308075</v>
      </c>
      <c r="G62" s="20" t="n">
        <f aca="false">C62*(1+level_3y_worst/100)</f>
        <v>44.7733333333333</v>
      </c>
      <c r="H62" s="20" t="n">
        <f aca="false">G62-B62</f>
        <v>36.7489723974742</v>
      </c>
    </row>
    <row r="63" customFormat="false" ht="15" hidden="false" customHeight="false" outlineLevel="0" collapsed="false">
      <c r="A63" s="0" t="n">
        <v>45</v>
      </c>
      <c r="B63" s="20" t="n">
        <f aca="false">IF(A63&gt;=loan_term_months,0,(100-loan_deposit_pct)*((1+loan_apr/1200)^loan_term_months-(1+loan_apr/1200)^A63)/((1+loan_apr/1200)^loan_term_months-1))</f>
        <v>6.03573891167736</v>
      </c>
      <c r="C63" s="20" t="n">
        <f aca="false">INDEX($B$7:$G$7,MIN(4,INT(A63/12))+1)+(A63/12-MIN(4,INT(A63/12)))*(INDEX($B$7:$G$7,MIN(4,INT(A63/12))+2)-INDEX($B$7:$G$7,MIN(4,INT(A63/12))+1))</f>
        <v>60.75</v>
      </c>
      <c r="D63" s="20" t="n">
        <f aca="false">C63-B63</f>
        <v>54.7142610883226</v>
      </c>
      <c r="E63" s="20" t="n">
        <f aca="false">C63*(1+level_3y_p10_core/100)</f>
        <v>56.07225</v>
      </c>
      <c r="F63" s="20" t="n">
        <f aca="false">E63-B63</f>
        <v>50.0365110883227</v>
      </c>
      <c r="G63" s="20" t="n">
        <f aca="false">C63*(1+level_3y_worst/100)</f>
        <v>44.3475</v>
      </c>
      <c r="H63" s="20" t="n">
        <f aca="false">G63-B63</f>
        <v>38.3117610883226</v>
      </c>
    </row>
    <row r="64" customFormat="false" ht="15" hidden="false" customHeight="false" outlineLevel="0" collapsed="false">
      <c r="A64" s="0" t="n">
        <v>46</v>
      </c>
      <c r="B64" s="20" t="n">
        <f aca="false">IF(A64&gt;=loan_term_months,0,(100-loan_deposit_pct)*((1+loan_apr/1200)^loan_term_months-(1+loan_apr/1200)^A64)/((1+loan_apr/1200)^loan_term_months-1))</f>
        <v>4.03551659235451</v>
      </c>
      <c r="C64" s="20" t="n">
        <f aca="false">INDEX($B$7:$G$7,MIN(4,INT(A64/12))+1)+(A64/12-MIN(4,INT(A64/12)))*(INDEX($B$7:$G$7,MIN(4,INT(A64/12))+2)-INDEX($B$7:$G$7,MIN(4,INT(A64/12))+1))</f>
        <v>60.1666666666667</v>
      </c>
      <c r="D64" s="20" t="n">
        <f aca="false">C64-B64</f>
        <v>56.1311500743122</v>
      </c>
      <c r="E64" s="20" t="n">
        <f aca="false">C64*(1+level_3y_p10_core/100)</f>
        <v>55.5338333333333</v>
      </c>
      <c r="F64" s="20" t="n">
        <f aca="false">E64-B64</f>
        <v>51.4983167409788</v>
      </c>
      <c r="G64" s="20" t="n">
        <f aca="false">C64*(1+level_3y_worst/100)</f>
        <v>43.9216666666667</v>
      </c>
      <c r="H64" s="20" t="n">
        <f aca="false">G64-B64</f>
        <v>39.8861500743122</v>
      </c>
    </row>
    <row r="65" customFormat="false" ht="15" hidden="false" customHeight="false" outlineLevel="0" collapsed="false">
      <c r="A65" s="0" t="n">
        <v>47</v>
      </c>
      <c r="B65" s="20" t="n">
        <f aca="false">IF(A65&gt;=loan_term_months,0,(100-loan_deposit_pct)*((1+loan_apr/1200)^loan_term_months-(1+loan_apr/1200)^A65)/((1+loan_apr/1200)^loan_term_months-1))</f>
        <v>2.02362630950222</v>
      </c>
      <c r="C65" s="20" t="n">
        <f aca="false">INDEX($B$7:$G$7,MIN(4,INT(A65/12))+1)+(A65/12-MIN(4,INT(A65/12)))*(INDEX($B$7:$G$7,MIN(4,INT(A65/12))+2)-INDEX($B$7:$G$7,MIN(4,INT(A65/12))+1))</f>
        <v>59.5833333333333</v>
      </c>
      <c r="D65" s="20" t="n">
        <f aca="false">C65-B65</f>
        <v>57.5597070238311</v>
      </c>
      <c r="E65" s="20" t="n">
        <f aca="false">C65*(1+level_3y_p10_core/100)</f>
        <v>54.9954166666667</v>
      </c>
      <c r="F65" s="20" t="n">
        <f aca="false">E65-B65</f>
        <v>52.9717903571645</v>
      </c>
      <c r="G65" s="20" t="n">
        <f aca="false">C65*(1+level_3y_worst/100)</f>
        <v>43.4958333333333</v>
      </c>
      <c r="H65" s="20" t="n">
        <f aca="false">G65-B65</f>
        <v>41.4722070238311</v>
      </c>
    </row>
    <row r="66" customFormat="false" ht="15" hidden="false" customHeight="false" outlineLevel="0" collapsed="false">
      <c r="A66" s="0" t="n">
        <v>48</v>
      </c>
      <c r="B66" s="20" t="n">
        <f aca="false">IF(A66&gt;=loan_term_months,0,(100-loan_deposit_pct)*((1+loan_apr/1200)^loan_term_months-(1+loan_apr/1200)^A66)/((1+loan_apr/1200)^loan_term_months-1))</f>
        <v>0</v>
      </c>
      <c r="C66" s="20" t="n">
        <f aca="false">INDEX($B$7:$G$7,MIN(4,INT(A66/12))+1)+(A66/12-MIN(4,INT(A66/12)))*(INDEX($B$7:$G$7,MIN(4,INT(A66/12))+2)-INDEX($B$7:$G$7,MIN(4,INT(A66/12))+1))</f>
        <v>59</v>
      </c>
      <c r="D66" s="20" t="n">
        <f aca="false">C66-B66</f>
        <v>59</v>
      </c>
      <c r="E66" s="20" t="n">
        <f aca="false">C66*(1+level_3y_p10_core/100)</f>
        <v>54.457</v>
      </c>
      <c r="F66" s="20" t="n">
        <f aca="false">E66-B66</f>
        <v>54.457</v>
      </c>
      <c r="G66" s="20" t="n">
        <f aca="false">C66*(1+level_3y_worst/100)</f>
        <v>43.07</v>
      </c>
      <c r="H66" s="20" t="n">
        <f aca="false">G66-B66</f>
        <v>43.07</v>
      </c>
    </row>
    <row r="67" customFormat="false" ht="15" hidden="false" customHeight="false" outlineLevel="0" collapsed="false">
      <c r="A67" s="0" t="n">
        <v>49</v>
      </c>
      <c r="B67" s="20" t="n">
        <f aca="false">IF(A67&gt;=loan_term_months,0,(100-loan_deposit_pct)*((1+loan_apr/1200)^loan_term_months-(1+loan_apr/1200)^A67)/((1+loan_apr/1200)^loan_term_months-1))</f>
        <v>0</v>
      </c>
      <c r="C67" s="20" t="n">
        <f aca="false">INDEX($B$7:$G$7,MIN(4,INT(A67/12))+1)+(A67/12-MIN(4,INT(A67/12)))*(INDEX($B$7:$G$7,MIN(4,INT(A67/12))+2)-INDEX($B$7:$G$7,MIN(4,INT(A67/12))+1))</f>
        <v>58.4166666666667</v>
      </c>
      <c r="D67" s="20" t="n">
        <f aca="false">C67-B67</f>
        <v>58.4166666666667</v>
      </c>
      <c r="E67" s="20" t="n">
        <f aca="false">C67*(1+level_3y_p10_core/100)</f>
        <v>53.9185833333333</v>
      </c>
      <c r="F67" s="20" t="n">
        <f aca="false">E67-B67</f>
        <v>53.9185833333333</v>
      </c>
      <c r="G67" s="20" t="n">
        <f aca="false">C67*(1+level_3y_worst/100)</f>
        <v>42.6441666666667</v>
      </c>
      <c r="H67" s="20" t="n">
        <f aca="false">G67-B67</f>
        <v>42.6441666666667</v>
      </c>
    </row>
    <row r="68" customFormat="false" ht="15" hidden="false" customHeight="false" outlineLevel="0" collapsed="false">
      <c r="A68" s="0" t="n">
        <v>50</v>
      </c>
      <c r="B68" s="20" t="n">
        <f aca="false">IF(A68&gt;=loan_term_months,0,(100-loan_deposit_pct)*((1+loan_apr/1200)^loan_term_months-(1+loan_apr/1200)^A68)/((1+loan_apr/1200)^loan_term_months-1))</f>
        <v>0</v>
      </c>
      <c r="C68" s="20" t="n">
        <f aca="false">INDEX($B$7:$G$7,MIN(4,INT(A68/12))+1)+(A68/12-MIN(4,INT(A68/12)))*(INDEX($B$7:$G$7,MIN(4,INT(A68/12))+2)-INDEX($B$7:$G$7,MIN(4,INT(A68/12))+1))</f>
        <v>57.8333333333333</v>
      </c>
      <c r="D68" s="20" t="n">
        <f aca="false">C68-B68</f>
        <v>57.8333333333333</v>
      </c>
      <c r="E68" s="20" t="n">
        <f aca="false">C68*(1+level_3y_p10_core/100)</f>
        <v>53.3801666666667</v>
      </c>
      <c r="F68" s="20" t="n">
        <f aca="false">E68-B68</f>
        <v>53.3801666666667</v>
      </c>
      <c r="G68" s="20" t="n">
        <f aca="false">C68*(1+level_3y_worst/100)</f>
        <v>42.2183333333333</v>
      </c>
      <c r="H68" s="20" t="n">
        <f aca="false">G68-B68</f>
        <v>42.2183333333333</v>
      </c>
    </row>
    <row r="69" customFormat="false" ht="15" hidden="false" customHeight="false" outlineLevel="0" collapsed="false">
      <c r="A69" s="0" t="n">
        <v>51</v>
      </c>
      <c r="B69" s="20" t="n">
        <f aca="false">IF(A69&gt;=loan_term_months,0,(100-loan_deposit_pct)*((1+loan_apr/1200)^loan_term_months-(1+loan_apr/1200)^A69)/((1+loan_apr/1200)^loan_term_months-1))</f>
        <v>0</v>
      </c>
      <c r="C69" s="20" t="n">
        <f aca="false">INDEX($B$7:$G$7,MIN(4,INT(A69/12))+1)+(A69/12-MIN(4,INT(A69/12)))*(INDEX($B$7:$G$7,MIN(4,INT(A69/12))+2)-INDEX($B$7:$G$7,MIN(4,INT(A69/12))+1))</f>
        <v>57.25</v>
      </c>
      <c r="D69" s="20" t="n">
        <f aca="false">C69-B69</f>
        <v>57.25</v>
      </c>
      <c r="E69" s="20" t="n">
        <f aca="false">C69*(1+level_3y_p10_core/100)</f>
        <v>52.84175</v>
      </c>
      <c r="F69" s="20" t="n">
        <f aca="false">E69-B69</f>
        <v>52.84175</v>
      </c>
      <c r="G69" s="20" t="n">
        <f aca="false">C69*(1+level_3y_worst/100)</f>
        <v>41.7925</v>
      </c>
      <c r="H69" s="20" t="n">
        <f aca="false">G69-B69</f>
        <v>41.7925</v>
      </c>
    </row>
    <row r="70" customFormat="false" ht="15" hidden="false" customHeight="false" outlineLevel="0" collapsed="false">
      <c r="A70" s="0" t="n">
        <v>52</v>
      </c>
      <c r="B70" s="20" t="n">
        <f aca="false">IF(A70&gt;=loan_term_months,0,(100-loan_deposit_pct)*((1+loan_apr/1200)^loan_term_months-(1+loan_apr/1200)^A70)/((1+loan_apr/1200)^loan_term_months-1))</f>
        <v>0</v>
      </c>
      <c r="C70" s="20" t="n">
        <f aca="false">INDEX($B$7:$G$7,MIN(4,INT(A70/12))+1)+(A70/12-MIN(4,INT(A70/12)))*(INDEX($B$7:$G$7,MIN(4,INT(A70/12))+2)-INDEX($B$7:$G$7,MIN(4,INT(A70/12))+1))</f>
        <v>56.6666666666667</v>
      </c>
      <c r="D70" s="20" t="n">
        <f aca="false">C70-B70</f>
        <v>56.6666666666667</v>
      </c>
      <c r="E70" s="20" t="n">
        <f aca="false">C70*(1+level_3y_p10_core/100)</f>
        <v>52.3033333333333</v>
      </c>
      <c r="F70" s="20" t="n">
        <f aca="false">E70-B70</f>
        <v>52.3033333333333</v>
      </c>
      <c r="G70" s="20" t="n">
        <f aca="false">C70*(1+level_3y_worst/100)</f>
        <v>41.3666666666667</v>
      </c>
      <c r="H70" s="20" t="n">
        <f aca="false">G70-B70</f>
        <v>41.3666666666667</v>
      </c>
    </row>
    <row r="71" customFormat="false" ht="15" hidden="false" customHeight="false" outlineLevel="0" collapsed="false">
      <c r="A71" s="0" t="n">
        <v>53</v>
      </c>
      <c r="B71" s="20" t="n">
        <f aca="false">IF(A71&gt;=loan_term_months,0,(100-loan_deposit_pct)*((1+loan_apr/1200)^loan_term_months-(1+loan_apr/1200)^A71)/((1+loan_apr/1200)^loan_term_months-1))</f>
        <v>0</v>
      </c>
      <c r="C71" s="20" t="n">
        <f aca="false">INDEX($B$7:$G$7,MIN(4,INT(A71/12))+1)+(A71/12-MIN(4,INT(A71/12)))*(INDEX($B$7:$G$7,MIN(4,INT(A71/12))+2)-INDEX($B$7:$G$7,MIN(4,INT(A71/12))+1))</f>
        <v>56.0833333333333</v>
      </c>
      <c r="D71" s="20" t="n">
        <f aca="false">C71-B71</f>
        <v>56.0833333333333</v>
      </c>
      <c r="E71" s="20" t="n">
        <f aca="false">C71*(1+level_3y_p10_core/100)</f>
        <v>51.7649166666667</v>
      </c>
      <c r="F71" s="20" t="n">
        <f aca="false">E71-B71</f>
        <v>51.7649166666667</v>
      </c>
      <c r="G71" s="20" t="n">
        <f aca="false">C71*(1+level_3y_worst/100)</f>
        <v>40.9408333333333</v>
      </c>
      <c r="H71" s="20" t="n">
        <f aca="false">G71-B71</f>
        <v>40.9408333333333</v>
      </c>
    </row>
    <row r="72" customFormat="false" ht="15" hidden="false" customHeight="false" outlineLevel="0" collapsed="false">
      <c r="A72" s="0" t="n">
        <v>54</v>
      </c>
      <c r="B72" s="20" t="n">
        <f aca="false">IF(A72&gt;=loan_term_months,0,(100-loan_deposit_pct)*((1+loan_apr/1200)^loan_term_months-(1+loan_apr/1200)^A72)/((1+loan_apr/1200)^loan_term_months-1))</f>
        <v>0</v>
      </c>
      <c r="C72" s="20" t="n">
        <f aca="false">INDEX($B$7:$G$7,MIN(4,INT(A72/12))+1)+(A72/12-MIN(4,INT(A72/12)))*(INDEX($B$7:$G$7,MIN(4,INT(A72/12))+2)-INDEX($B$7:$G$7,MIN(4,INT(A72/12))+1))</f>
        <v>55.5</v>
      </c>
      <c r="D72" s="20" t="n">
        <f aca="false">C72-B72</f>
        <v>55.5</v>
      </c>
      <c r="E72" s="20" t="n">
        <f aca="false">C72*(1+level_3y_p10_core/100)</f>
        <v>51.2265</v>
      </c>
      <c r="F72" s="20" t="n">
        <f aca="false">E72-B72</f>
        <v>51.2265</v>
      </c>
      <c r="G72" s="20" t="n">
        <f aca="false">C72*(1+level_3y_worst/100)</f>
        <v>40.515</v>
      </c>
      <c r="H72" s="20" t="n">
        <f aca="false">G72-B72</f>
        <v>40.515</v>
      </c>
    </row>
    <row r="73" customFormat="false" ht="15" hidden="false" customHeight="false" outlineLevel="0" collapsed="false">
      <c r="A73" s="0" t="n">
        <v>55</v>
      </c>
      <c r="B73" s="20" t="n">
        <f aca="false">IF(A73&gt;=loan_term_months,0,(100-loan_deposit_pct)*((1+loan_apr/1200)^loan_term_months-(1+loan_apr/1200)^A73)/((1+loan_apr/1200)^loan_term_months-1))</f>
        <v>0</v>
      </c>
      <c r="C73" s="20" t="n">
        <f aca="false">INDEX($B$7:$G$7,MIN(4,INT(A73/12))+1)+(A73/12-MIN(4,INT(A73/12)))*(INDEX($B$7:$G$7,MIN(4,INT(A73/12))+2)-INDEX($B$7:$G$7,MIN(4,INT(A73/12))+1))</f>
        <v>54.9166666666667</v>
      </c>
      <c r="D73" s="20" t="n">
        <f aca="false">C73-B73</f>
        <v>54.9166666666667</v>
      </c>
      <c r="E73" s="20" t="n">
        <f aca="false">C73*(1+level_3y_p10_core/100)</f>
        <v>50.6880833333333</v>
      </c>
      <c r="F73" s="20" t="n">
        <f aca="false">E73-B73</f>
        <v>50.6880833333333</v>
      </c>
      <c r="G73" s="20" t="n">
        <f aca="false">C73*(1+level_3y_worst/100)</f>
        <v>40.0891666666667</v>
      </c>
      <c r="H73" s="20" t="n">
        <f aca="false">G73-B73</f>
        <v>40.0891666666667</v>
      </c>
    </row>
    <row r="74" customFormat="false" ht="15" hidden="false" customHeight="false" outlineLevel="0" collapsed="false">
      <c r="A74" s="0" t="n">
        <v>56</v>
      </c>
      <c r="B74" s="20" t="n">
        <f aca="false">IF(A74&gt;=loan_term_months,0,(100-loan_deposit_pct)*((1+loan_apr/1200)^loan_term_months-(1+loan_apr/1200)^A74)/((1+loan_apr/1200)^loan_term_months-1))</f>
        <v>0</v>
      </c>
      <c r="C74" s="20" t="n">
        <f aca="false">INDEX($B$7:$G$7,MIN(4,INT(A74/12))+1)+(A74/12-MIN(4,INT(A74/12)))*(INDEX($B$7:$G$7,MIN(4,INT(A74/12))+2)-INDEX($B$7:$G$7,MIN(4,INT(A74/12))+1))</f>
        <v>54.3333333333333</v>
      </c>
      <c r="D74" s="20" t="n">
        <f aca="false">C74-B74</f>
        <v>54.3333333333333</v>
      </c>
      <c r="E74" s="20" t="n">
        <f aca="false">C74*(1+level_3y_p10_core/100)</f>
        <v>50.1496666666667</v>
      </c>
      <c r="F74" s="20" t="n">
        <f aca="false">E74-B74</f>
        <v>50.1496666666667</v>
      </c>
      <c r="G74" s="20" t="n">
        <f aca="false">C74*(1+level_3y_worst/100)</f>
        <v>39.6633333333333</v>
      </c>
      <c r="H74" s="20" t="n">
        <f aca="false">G74-B74</f>
        <v>39.6633333333333</v>
      </c>
    </row>
    <row r="75" customFormat="false" ht="15" hidden="false" customHeight="false" outlineLevel="0" collapsed="false">
      <c r="A75" s="0" t="n">
        <v>57</v>
      </c>
      <c r="B75" s="20" t="n">
        <f aca="false">IF(A75&gt;=loan_term_months,0,(100-loan_deposit_pct)*((1+loan_apr/1200)^loan_term_months-(1+loan_apr/1200)^A75)/((1+loan_apr/1200)^loan_term_months-1))</f>
        <v>0</v>
      </c>
      <c r="C75" s="20" t="n">
        <f aca="false">INDEX($B$7:$G$7,MIN(4,INT(A75/12))+1)+(A75/12-MIN(4,INT(A75/12)))*(INDEX($B$7:$G$7,MIN(4,INT(A75/12))+2)-INDEX($B$7:$G$7,MIN(4,INT(A75/12))+1))</f>
        <v>53.75</v>
      </c>
      <c r="D75" s="20" t="n">
        <f aca="false">C75-B75</f>
        <v>53.75</v>
      </c>
      <c r="E75" s="20" t="n">
        <f aca="false">C75*(1+level_3y_p10_core/100)</f>
        <v>49.61125</v>
      </c>
      <c r="F75" s="20" t="n">
        <f aca="false">E75-B75</f>
        <v>49.61125</v>
      </c>
      <c r="G75" s="20" t="n">
        <f aca="false">C75*(1+level_3y_worst/100)</f>
        <v>39.2375</v>
      </c>
      <c r="H75" s="20" t="n">
        <f aca="false">G75-B75</f>
        <v>39.2375</v>
      </c>
    </row>
    <row r="76" customFormat="false" ht="15" hidden="false" customHeight="false" outlineLevel="0" collapsed="false">
      <c r="A76" s="0" t="n">
        <v>58</v>
      </c>
      <c r="B76" s="20" t="n">
        <f aca="false">IF(A76&gt;=loan_term_months,0,(100-loan_deposit_pct)*((1+loan_apr/1200)^loan_term_months-(1+loan_apr/1200)^A76)/((1+loan_apr/1200)^loan_term_months-1))</f>
        <v>0</v>
      </c>
      <c r="C76" s="20" t="n">
        <f aca="false">INDEX($B$7:$G$7,MIN(4,INT(A76/12))+1)+(A76/12-MIN(4,INT(A76/12)))*(INDEX($B$7:$G$7,MIN(4,INT(A76/12))+2)-INDEX($B$7:$G$7,MIN(4,INT(A76/12))+1))</f>
        <v>53.1666666666667</v>
      </c>
      <c r="D76" s="20" t="n">
        <f aca="false">C76-B76</f>
        <v>53.1666666666667</v>
      </c>
      <c r="E76" s="20" t="n">
        <f aca="false">C76*(1+level_3y_p10_core/100)</f>
        <v>49.0728333333333</v>
      </c>
      <c r="F76" s="20" t="n">
        <f aca="false">E76-B76</f>
        <v>49.0728333333333</v>
      </c>
      <c r="G76" s="20" t="n">
        <f aca="false">C76*(1+level_3y_worst/100)</f>
        <v>38.8116666666667</v>
      </c>
      <c r="H76" s="20" t="n">
        <f aca="false">G76-B76</f>
        <v>38.8116666666667</v>
      </c>
    </row>
    <row r="77" customFormat="false" ht="15" hidden="false" customHeight="false" outlineLevel="0" collapsed="false">
      <c r="A77" s="0" t="n">
        <v>59</v>
      </c>
      <c r="B77" s="20" t="n">
        <f aca="false">IF(A77&gt;=loan_term_months,0,(100-loan_deposit_pct)*((1+loan_apr/1200)^loan_term_months-(1+loan_apr/1200)^A77)/((1+loan_apr/1200)^loan_term_months-1))</f>
        <v>0</v>
      </c>
      <c r="C77" s="20" t="n">
        <f aca="false">INDEX($B$7:$G$7,MIN(4,INT(A77/12))+1)+(A77/12-MIN(4,INT(A77/12)))*(INDEX($B$7:$G$7,MIN(4,INT(A77/12))+2)-INDEX($B$7:$G$7,MIN(4,INT(A77/12))+1))</f>
        <v>52.5833333333333</v>
      </c>
      <c r="D77" s="20" t="n">
        <f aca="false">C77-B77</f>
        <v>52.5833333333333</v>
      </c>
      <c r="E77" s="20" t="n">
        <f aca="false">C77*(1+level_3y_p10_core/100)</f>
        <v>48.5344166666667</v>
      </c>
      <c r="F77" s="20" t="n">
        <f aca="false">E77-B77</f>
        <v>48.5344166666667</v>
      </c>
      <c r="G77" s="20" t="n">
        <f aca="false">C77*(1+level_3y_worst/100)</f>
        <v>38.3858333333333</v>
      </c>
      <c r="H77" s="20" t="n">
        <f aca="false">G77-B77</f>
        <v>38.3858333333333</v>
      </c>
    </row>
    <row r="78" customFormat="false" ht="15" hidden="false" customHeight="false" outlineLevel="0" collapsed="false">
      <c r="A78" s="0" t="n">
        <v>60</v>
      </c>
      <c r="B78" s="20" t="n">
        <f aca="false">IF(A78&gt;=loan_term_months,0,(100-loan_deposit_pct)*((1+loan_apr/1200)^loan_term_months-(1+loan_apr/1200)^A78)/((1+loan_apr/1200)^loan_term_months-1))</f>
        <v>0</v>
      </c>
      <c r="C78" s="20" t="n">
        <f aca="false">INDEX($B$7:$G$7,MIN(4,INT(A78/12))+1)+(A78/12-MIN(4,INT(A78/12)))*(INDEX($B$7:$G$7,MIN(4,INT(A78/12))+2)-INDEX($B$7:$G$7,MIN(4,INT(A78/12))+1))</f>
        <v>52</v>
      </c>
      <c r="D78" s="20" t="n">
        <f aca="false">C78-B78</f>
        <v>52</v>
      </c>
      <c r="E78" s="20" t="n">
        <f aca="false">C78*(1+level_3y_p10_core/100)</f>
        <v>47.996</v>
      </c>
      <c r="F78" s="20" t="n">
        <f aca="false">E78-B78</f>
        <v>47.996</v>
      </c>
      <c r="G78" s="20" t="n">
        <f aca="false">C78*(1+level_3y_worst/100)</f>
        <v>37.96</v>
      </c>
      <c r="H78" s="20" t="n">
        <f aca="false">G78-B78</f>
        <v>37.96</v>
      </c>
    </row>
    <row r="80" customFormat="false" ht="15" hidden="false" customHeight="false" outlineLevel="0" collapsed="false">
      <c r="A80" s="3" t="s">
        <v>801</v>
      </c>
      <c r="B80" s="0" t="n">
        <f aca="false">IFERROR(MATCH(TRUE(),INDEX($D$30:$D$78&gt;=loan_deposit_pct,0),0)+11,"not within the term")</f>
        <v>12</v>
      </c>
      <c r="C80" s="0" t="n">
        <f aca="false">IFERROR(MATCH(TRUE(),INDEX($F$30:$F$78&gt;=loan_deposit_pct,0),0)+11,"not within the term")</f>
        <v>12</v>
      </c>
      <c r="D80" s="0" t="n">
        <f aca="false">IFERROR(MATCH(TRUE(),INDEX($H$30:$H$78&gt;=loan_deposit_pct,0),0)+11,"not within the term")</f>
        <v>28</v>
      </c>
    </row>
    <row r="81" customFormat="false" ht="15" hidden="false" customHeight="false" outlineLevel="0" collapsed="false">
      <c r="B81" s="11" t="s">
        <v>802</v>
      </c>
      <c r="C81" s="11" t="s">
        <v>803</v>
      </c>
      <c r="D81" s="11" t="s">
        <v>804</v>
      </c>
    </row>
    <row r="83" customFormat="false" ht="31.5" hidden="false" customHeight="true" outlineLevel="0" collapsed="false">
      <c r="A83" s="17" t="s">
        <v>805</v>
      </c>
    </row>
    <row r="85" customFormat="false" ht="15" hidden="false" customHeight="false" outlineLevel="0" collapsed="false">
      <c r="A85" s="3" t="s">
        <v>806</v>
      </c>
    </row>
    <row r="86" customFormat="false" ht="15" hidden="false" customHeight="false" outlineLevel="0" collapsed="false">
      <c r="A86" s="18" t="s">
        <v>807</v>
      </c>
      <c r="B86" s="21" t="n">
        <f aca="false">eu_shipments * finance_penetration/100</f>
        <v>996000</v>
      </c>
      <c r="C86" s="11" t="s">
        <v>808</v>
      </c>
    </row>
    <row r="87" customFormat="false" ht="15" hidden="false" customHeight="false" outlineLevel="0" collapsed="false">
      <c r="A87" s="18" t="s">
        <v>809</v>
      </c>
      <c r="B87" s="21" t="n">
        <f aca="false">eu_shipments * finance_penetration/100 * upgrade_capture_uplift/100</f>
        <v>29880</v>
      </c>
      <c r="C87" s="11" t="s">
        <v>324</v>
      </c>
    </row>
    <row r="88" customFormat="false" ht="15" hidden="false" customHeight="false" outlineLevel="0" collapsed="false">
      <c r="A88" s="3" t="s">
        <v>810</v>
      </c>
      <c r="B88" s="13" t="n">
        <f aca="false">eu_shipments * finance_penetration/100 * upgrade_capture_uplift/100 * margin_per_repeat_sale / 1000000</f>
        <v>59.76</v>
      </c>
      <c r="C88" s="11" t="s">
        <v>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62"/>
  </cols>
  <sheetData>
    <row r="1" customFormat="false" ht="17.35" hidden="false" customHeight="false" outlineLevel="0" collapsed="false">
      <c r="A1" s="1" t="s">
        <v>812</v>
      </c>
    </row>
    <row r="3" customFormat="false" ht="31.5" hidden="false" customHeight="true" outlineLevel="0" collapsed="false">
      <c r="A3" s="17" t="s">
        <v>813</v>
      </c>
    </row>
    <row r="5" customFormat="false" ht="15" hidden="false" customHeight="false" outlineLevel="0" collapsed="false">
      <c r="A5" s="18" t="s">
        <v>814</v>
      </c>
      <c r="B5" s="19" t="n">
        <f aca="false">buyback_payables_eur_m</f>
        <v>7889</v>
      </c>
      <c r="C5" s="11" t="s">
        <v>815</v>
      </c>
    </row>
    <row r="6" customFormat="false" ht="15" hidden="false" customHeight="false" outlineLevel="0" collapsed="false">
      <c r="A6" s="3" t="s">
        <v>816</v>
      </c>
      <c r="B6" s="13" t="n">
        <f aca="false">buyback_payables_current_eur_m</f>
        <v>5313</v>
      </c>
      <c r="C6" s="11" t="s">
        <v>817</v>
      </c>
    </row>
    <row r="8" customFormat="false" ht="15" hidden="false" customHeight="false" outlineLevel="0" collapsed="false">
      <c r="A8" s="3" t="s">
        <v>818</v>
      </c>
    </row>
    <row r="9" customFormat="false" ht="15" hidden="false" customHeight="false" outlineLevel="0" collapsed="false">
      <c r="A9" s="18" t="s">
        <v>819</v>
      </c>
      <c r="B9" s="19" t="n">
        <f aca="false">buyback_payables_current_eur_m * ABS(level_1y_p10_core)/100</f>
        <v>239.085</v>
      </c>
    </row>
    <row r="10" customFormat="false" ht="15" hidden="false" customHeight="false" outlineLevel="0" collapsed="false">
      <c r="A10" s="18" t="s">
        <v>820</v>
      </c>
      <c r="B10" s="19" t="n">
        <f aca="false">buyback_payables_current_eur_m * ABS(level_1y_p10)/100</f>
        <v>334.719</v>
      </c>
    </row>
    <row r="11" customFormat="false" ht="15" hidden="false" customHeight="false" outlineLevel="0" collapsed="false">
      <c r="A11" s="18" t="s">
        <v>821</v>
      </c>
      <c r="B11" s="19" t="n">
        <f aca="false">buyback_payables_current_eur_m * ABS(level_1y_worst)/100</f>
        <v>786.324</v>
      </c>
    </row>
    <row r="13" customFormat="false" ht="15" hidden="false" customHeight="false" outlineLevel="0" collapsed="false">
      <c r="A13" s="3" t="s">
        <v>822</v>
      </c>
    </row>
    <row r="14" customFormat="false" ht="15" hidden="false" customHeight="false" outlineLevel="0" collapsed="false">
      <c r="A14" s="18" t="s">
        <v>823</v>
      </c>
      <c r="B14" s="19" t="n">
        <f aca="false">buyback_payables_current_eur_m * curve_1y_p80_known/2/retained_1y_pooled * (1 - thin_share_of_book/100)</f>
        <v>21.9424559471366</v>
      </c>
      <c r="C14" s="11" t="s">
        <v>824</v>
      </c>
    </row>
    <row r="15" customFormat="false" ht="15" hidden="false" customHeight="false" outlineLevel="0" collapsed="false">
      <c r="A15" s="18" t="s">
        <v>825</v>
      </c>
      <c r="B15" s="19" t="n">
        <f aca="false">buyback_payables_current_eur_m * curve_1y_p80_unknown/2/retained_1y_pooled * thin_share_of_book/100</f>
        <v>37.3021751101322</v>
      </c>
      <c r="C15" s="11" t="s">
        <v>826</v>
      </c>
    </row>
    <row r="16" customFormat="false" ht="15" hidden="false" customHeight="false" outlineLevel="0" collapsed="false">
      <c r="A16" s="3" t="s">
        <v>827</v>
      </c>
      <c r="B16" s="13" t="n">
        <f aca="false">buyback_payables_current_eur_m * (ABS(level_1y_p10_core)/100 + (curve_1y_p80_known/2/retained_1y_pooled * (1 - thin_share_of_book/100) + curve_1y_p80_unknown/2/retained_1y_pooled * thin_share_of_book/100))</f>
        <v>298.329631057269</v>
      </c>
      <c r="C16" s="11" t="s">
        <v>828</v>
      </c>
    </row>
    <row r="17" customFormat="false" ht="15" hidden="false" customHeight="false" outlineLevel="0" collapsed="false">
      <c r="A17" s="18" t="s">
        <v>829</v>
      </c>
      <c r="B17" s="19" t="n">
        <f aca="false">buyback_payables_current_eur_m * (ABS(level_1y_worst)/100 + (curve_1y_p80_known/2/retained_1y_pooled * (1 - thin_share_of_book/100) + curve_1y_p80_unknown/2/retained_1y_pooled * thin_share_of_book/100))</f>
        <v>845.568631057269</v>
      </c>
    </row>
    <row r="19" customFormat="false" ht="15" hidden="false" customHeight="false" outlineLevel="0" collapsed="false">
      <c r="A19" s="3" t="s">
        <v>830</v>
      </c>
    </row>
    <row r="20" customFormat="false" ht="15" hidden="false" customHeight="false" outlineLevel="0" collapsed="false">
      <c r="A20" s="18" t="s">
        <v>831</v>
      </c>
      <c r="B20" s="19" t="n">
        <f aca="false">buyback_value_decrease_2023_eur_m</f>
        <v>82</v>
      </c>
    </row>
    <row r="21" customFormat="false" ht="15" hidden="false" customHeight="false" outlineLevel="0" collapsed="false">
      <c r="A21" s="18" t="s">
        <v>832</v>
      </c>
      <c r="B21" s="19" t="n">
        <f aca="false">buyback_value_decrease_2024_eur_m</f>
        <v>179</v>
      </c>
    </row>
    <row r="22" customFormat="false" ht="15" hidden="false" customHeight="false" outlineLevel="0" collapsed="false">
      <c r="A22" s="18" t="s">
        <v>833</v>
      </c>
      <c r="B22" s="19" t="n">
        <f aca="false">buyback_value_decrease_2025_eur_m</f>
        <v>358</v>
      </c>
      <c r="C22" s="11" t="s">
        <v>834</v>
      </c>
    </row>
    <row r="23" customFormat="false" ht="45.75" hidden="false" customHeight="true" outlineLevel="0" collapsed="false">
      <c r="A23" s="17" t="s">
        <v>835</v>
      </c>
    </row>
    <row r="25" customFormat="false" ht="15" hidden="false" customHeight="false" outlineLevel="0" collapsed="false">
      <c r="A25" s="3" t="s">
        <v>836</v>
      </c>
    </row>
    <row r="26" customFormat="false" ht="15" hidden="false" customHeight="false" outlineLevel="0" collapsed="false">
      <c r="A26" s="18" t="s">
        <v>837</v>
      </c>
      <c r="B26" s="19" t="n">
        <f aca="false">buyback_payables_eur_m * (ABS(level_3y_p10_core)/100 + (curve_p80_known/2/retained_3y_pooled * (1 - thin_share_of_book/100) + curve_p80_unknown/2/retained_3y_pooled * thin_share_of_book/100))</f>
        <v>867.79</v>
      </c>
      <c r="C26" s="11" t="s">
        <v>838</v>
      </c>
    </row>
    <row r="27" customFormat="false" ht="15" hidden="false" customHeight="false" outlineLevel="0" collapsed="false">
      <c r="A27" s="18" t="s">
        <v>839</v>
      </c>
      <c r="B27" s="19" t="n">
        <f aca="false">buyback_payables_eur_m * (ABS(level_3y_worst)/100 + (curve_p80_known/2/retained_3y_pooled * (1 - thin_share_of_book/100) + curve_p80_unknown/2/retained_3y_pooled * thin_share_of_book/100))</f>
        <v>2390.367</v>
      </c>
    </row>
    <row r="29" customFormat="false" ht="15" hidden="false" customHeight="false" outlineLevel="0" collapsed="false">
      <c r="A29" s="3" t="s">
        <v>840</v>
      </c>
    </row>
    <row r="30" customFormat="false" ht="15" hidden="false" customHeight="false" outlineLevel="0" collapsed="false">
      <c r="A30" s="18" t="s">
        <v>841</v>
      </c>
      <c r="B30" s="19" t="n">
        <f aca="false">buyback_payables_current_eur_m * curve_1y_p80_unknown/2/retained_1y_pooled * thin_share_of_book/100 * pooling_gain_100/100</f>
        <v>1.60399352973568</v>
      </c>
      <c r="C30" s="11" t="s">
        <v>842</v>
      </c>
    </row>
    <row r="31" customFormat="false" ht="15" hidden="false" customHeight="false" outlineLevel="0" collapsed="false">
      <c r="A31" s="18" t="s">
        <v>843</v>
      </c>
      <c r="B31" s="19" t="n">
        <f aca="false">buyback_payables_eur_m * (ABS(level_3m_p5)-ABS(level_1m_p5))/100</f>
        <v>134.113</v>
      </c>
      <c r="C31" s="11" t="s">
        <v>844</v>
      </c>
    </row>
    <row r="33" customFormat="false" ht="60" hidden="false" customHeight="true" outlineLevel="0" collapsed="false">
      <c r="A33" s="17" t="s">
        <v>845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846</v>
      </c>
    </row>
    <row r="3" customFormat="false" ht="15" hidden="false" customHeight="false" outlineLevel="0" collapsed="false">
      <c r="A3" s="3" t="s">
        <v>847</v>
      </c>
    </row>
    <row r="4" customFormat="false" ht="43.25" hidden="false" customHeight="false" outlineLevel="0" collapsed="false">
      <c r="A4" s="17" t="s">
        <v>848</v>
      </c>
    </row>
    <row r="6" customFormat="false" ht="15" hidden="false" customHeight="false" outlineLevel="0" collapsed="false">
      <c r="A6" s="18" t="s">
        <v>849</v>
      </c>
      <c r="B6" s="19" t="n">
        <f aca="false">new_car_price_eur</f>
        <v>11969</v>
      </c>
      <c r="C6" s="11" t="s">
        <v>850</v>
      </c>
    </row>
    <row r="7" customFormat="false" ht="15" hidden="false" customHeight="false" outlineLevel="0" collapsed="false">
      <c r="A7" s="18" t="s">
        <v>851</v>
      </c>
      <c r="B7" s="19" t="n">
        <f aca="false">new_car_price_eur * pl_sale_margin_pct_list/100</f>
        <v>1196.9</v>
      </c>
      <c r="C7" s="11" t="s">
        <v>852</v>
      </c>
    </row>
    <row r="8" customFormat="false" ht="15" hidden="false" customHeight="false" outlineLevel="0" collapsed="false">
      <c r="A8" s="18" t="s">
        <v>853</v>
      </c>
      <c r="B8" s="19" t="n">
        <f aca="false">-new_car_price_eur * pl_incentive_pct_list/100</f>
        <v>-957.52</v>
      </c>
      <c r="C8" s="11" t="s">
        <v>854</v>
      </c>
    </row>
    <row r="9" customFormat="false" ht="15" hidden="false" customHeight="false" outlineLevel="0" collapsed="false">
      <c r="A9" s="18" t="s">
        <v>855</v>
      </c>
      <c r="B9" s="19" t="n">
        <f aca="false">pl_finance_income_eur</f>
        <v>450</v>
      </c>
      <c r="C9" s="11" t="s">
        <v>856</v>
      </c>
    </row>
    <row r="10" customFormat="false" ht="15" hidden="false" customHeight="false" outlineLevel="0" collapsed="false">
      <c r="A10" s="18" t="s">
        <v>857</v>
      </c>
      <c r="B10" s="19" t="n">
        <f aca="false">pl_credit_loss_eur</f>
        <v>-66</v>
      </c>
      <c r="C10" s="11" t="s">
        <v>858</v>
      </c>
    </row>
    <row r="11" customFormat="false" ht="15" hidden="false" customHeight="false" outlineLevel="0" collapsed="false">
      <c r="A11" s="18" t="s">
        <v>859</v>
      </c>
      <c r="B11" s="19" t="n">
        <f aca="false">pl_service_parts_eur</f>
        <v>400</v>
      </c>
    </row>
    <row r="12" customFormat="false" ht="15" hidden="false" customHeight="false" outlineLevel="0" collapsed="false">
      <c r="A12" s="18" t="s">
        <v>860</v>
      </c>
      <c r="B12" s="19" t="n">
        <f aca="false">-new_car_price_eur * pl_warranty_pct_list/100</f>
        <v>-299.225</v>
      </c>
      <c r="C12" s="11" t="s">
        <v>861</v>
      </c>
    </row>
    <row r="13" customFormat="false" ht="15" hidden="false" customHeight="false" outlineLevel="0" collapsed="false">
      <c r="A13" s="18" t="s">
        <v>862</v>
      </c>
      <c r="C13" s="11" t="s">
        <v>863</v>
      </c>
    </row>
    <row r="14" customFormat="false" ht="15" hidden="false" customHeight="false" outlineLevel="0" collapsed="false">
      <c r="A14" s="18" t="s">
        <v>864</v>
      </c>
      <c r="B14" s="19" t="n">
        <f aca="false">pl_recon_logistics_eur</f>
        <v>-500</v>
      </c>
    </row>
    <row r="15" customFormat="false" ht="15" hidden="false" customHeight="false" outlineLevel="0" collapsed="false">
      <c r="A15" s="18" t="s">
        <v>865</v>
      </c>
      <c r="B15" s="19" t="n">
        <f aca="false">pl_remarketing_margin_eur</f>
        <v>300</v>
      </c>
    </row>
    <row r="16" customFormat="false" ht="15" hidden="false" customHeight="false" outlineLevel="0" collapsed="false">
      <c r="A16" s="3" t="s">
        <v>866</v>
      </c>
      <c r="B16" s="13" t="n">
        <f aca="false">SUM(B7:B15)</f>
        <v>524.155</v>
      </c>
    </row>
    <row r="18" customFormat="false" ht="15" hidden="false" customHeight="false" outlineLevel="0" collapsed="false">
      <c r="A18" s="18" t="s">
        <v>867</v>
      </c>
      <c r="B18" s="19" t="n">
        <f aca="false">-new_car_price_eur * retained_4y_uk/100 * ABS(level_3y_p10_core)/100</f>
        <v>-543.75167</v>
      </c>
      <c r="C18" s="11" t="s">
        <v>868</v>
      </c>
    </row>
    <row r="19" customFormat="false" ht="15" hidden="false" customHeight="false" outlineLevel="0" collapsed="false">
      <c r="A19" s="18" t="s">
        <v>869</v>
      </c>
      <c r="B19" s="19" t="n">
        <f aca="false">-new_car_price_eur * curve_p80_known/100</f>
        <v>-287.256</v>
      </c>
      <c r="C19" s="11" t="s">
        <v>870</v>
      </c>
    </row>
    <row r="20" customFormat="false" ht="15" hidden="false" customHeight="false" outlineLevel="0" collapsed="false">
      <c r="A20" s="3" t="s">
        <v>871</v>
      </c>
      <c r="B20" s="13" t="n">
        <f aca="false">B16 + SUM(B18:B19)</f>
        <v>-306.85267</v>
      </c>
    </row>
    <row r="23" customFormat="false" ht="15" hidden="false" customHeight="false" outlineLevel="0" collapsed="false">
      <c r="A23" s="3" t="s">
        <v>872</v>
      </c>
    </row>
    <row r="25" customFormat="false" ht="15" hidden="false" customHeight="false" outlineLevel="0" collapsed="false">
      <c r="A25" s="18" t="s">
        <v>873</v>
      </c>
      <c r="B25" s="19" t="n">
        <f aca="false">eu_revenue_eur_m*1000000/eu_shipments</f>
        <v>23202.0080321285</v>
      </c>
    </row>
    <row r="26" customFormat="false" ht="15" hidden="false" customHeight="false" outlineLevel="0" collapsed="false">
      <c r="A26" s="18" t="s">
        <v>874</v>
      </c>
      <c r="B26" s="19" t="n">
        <f aca="false">eu_aoi_2024_eur_m*1000000/eu_shipments_2024</f>
        <v>939.052795031056</v>
      </c>
    </row>
    <row r="27" customFormat="false" ht="15" hidden="false" customHeight="false" outlineLevel="0" collapsed="false">
      <c r="A27" s="18" t="s">
        <v>875</v>
      </c>
      <c r="B27" s="19" t="n">
        <f aca="false">eu_aoi_eur_m*1000000/eu_shipments</f>
        <v>-261.44578313253</v>
      </c>
    </row>
    <row r="28" customFormat="false" ht="15" hidden="false" customHeight="false" outlineLevel="0" collapsed="false">
      <c r="A28" s="18" t="s">
        <v>876</v>
      </c>
      <c r="B28" s="19" t="n">
        <f aca="false">B26-B27</f>
        <v>1200.49857816359</v>
      </c>
      <c r="C28" s="11" t="s">
        <v>877</v>
      </c>
    </row>
    <row r="30" customFormat="false" ht="15" hidden="false" customHeight="false" outlineLevel="0" collapsed="false">
      <c r="A30" s="18" t="s">
        <v>878</v>
      </c>
      <c r="B30" s="19" t="n">
        <f aca="false">(eu_revenue_eur_m * incentive_pct_revenue/100 * (process_leak_pct/100 + targeting_leak_pct/100))*1000000/eu_shipments</f>
        <v>222.739277108434</v>
      </c>
    </row>
    <row r="31" customFormat="false" ht="15" hidden="false" customHeight="false" outlineLevel="0" collapsed="false">
      <c r="A31" s="18" t="s">
        <v>879</v>
      </c>
      <c r="B31" s="19" t="n">
        <f aca="false">(eu_shipments * finance_penetration/100 * upgrade_capture_uplift/100 * margin_per_repeat_sale / 1000000)*1000000/eu_shipments</f>
        <v>24</v>
      </c>
    </row>
    <row r="32" customFormat="false" ht="15" hidden="false" customHeight="false" outlineLevel="0" collapsed="false">
      <c r="A32" s="18" t="s">
        <v>880</v>
      </c>
      <c r="B32" s="19" t="n">
        <f aca="false">(buyback_payables_current_eur_m * (ABS(level_1y_p10_core)/100 + (curve_1y_p80_known/2/retained_1y_pooled * (1 - thin_share_of_book/100) + curve_1y_p80_unknown/2/retained_1y_pooled * thin_share_of_book/100)))*1000000/eu_shipments</f>
        <v>119.811096810148</v>
      </c>
    </row>
    <row r="33" customFormat="false" ht="15" hidden="false" customHeight="false" outlineLevel="0" collapsed="false">
      <c r="A33" s="3" t="s">
        <v>881</v>
      </c>
      <c r="B33"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thin_share_of_book/100)))*1000000/eu_shipments</f>
        <v>366.550373918582</v>
      </c>
    </row>
    <row r="34" customFormat="false" ht="15" hidden="false" customHeight="false" outlineLevel="0" collapsed="false">
      <c r="A34" s="18" t="s">
        <v>882</v>
      </c>
      <c r="B34" s="19"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thin_share_of_book/100)))*1000000/eu_shipments</f>
        <v>586.325072713763</v>
      </c>
    </row>
    <row r="35" customFormat="false" ht="15" hidden="false" customHeight="false" outlineLevel="0" collapsed="false">
      <c r="A35" s="18" t="s">
        <v>883</v>
      </c>
      <c r="B35" s="22" t="n">
        <f aca="false">-B33/B27</f>
        <v>1.40201295093282</v>
      </c>
      <c r="C35" s="11" t="s">
        <v>884</v>
      </c>
    </row>
    <row r="38" customFormat="false" ht="15" hidden="false" customHeight="false" outlineLevel="0" collapsed="false">
      <c r="A38" s="3" t="s">
        <v>885</v>
      </c>
    </row>
    <row r="40" customFormat="false" ht="15" hidden="false" customHeight="false" outlineLevel="0" collapsed="false">
      <c r="A40" s="18" t="s">
        <v>886</v>
      </c>
      <c r="B40" s="19" t="n">
        <f aca="false">inv_people_eur_m + inv_platform_eur_m + inv_change_eur_m</f>
        <v>20</v>
      </c>
      <c r="C40" s="11" t="s">
        <v>887</v>
      </c>
    </row>
    <row r="41" customFormat="false" ht="15" hidden="false" customHeight="false" outlineLevel="0" collapsed="false">
      <c r="A41" s="18" t="s">
        <v>888</v>
      </c>
      <c r="B41" s="19"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row>
    <row r="42" customFormat="false" ht="15" hidden="false" customHeight="false" outlineLevel="0" collapsed="false">
      <c r="A42" s="3" t="s">
        <v>889</v>
      </c>
      <c r="B42" s="23" t="n">
        <f aca="false">B40/B41</f>
        <v>0.0219127549323966</v>
      </c>
    </row>
    <row r="45" customFormat="false" ht="15" hidden="false" customHeight="false" outlineLevel="0" collapsed="false">
      <c r="A45" s="3" t="s">
        <v>890</v>
      </c>
    </row>
    <row r="46" customFormat="false" ht="32.8" hidden="false" customHeight="false" outlineLevel="0" collapsed="false">
      <c r="A46" s="17" t="s">
        <v>891</v>
      </c>
    </row>
    <row r="48" customFormat="false" ht="26.85" hidden="false" customHeight="false" outlineLevel="0" collapsed="false">
      <c r="A48" s="4" t="s">
        <v>892</v>
      </c>
      <c r="B48" s="4" t="s">
        <v>893</v>
      </c>
      <c r="C48" s="4" t="s">
        <v>894</v>
      </c>
    </row>
    <row r="49" customFormat="false" ht="15" hidden="false" customHeight="false" outlineLevel="0" collapsed="false">
      <c r="A49" s="0" t="n">
        <v>1</v>
      </c>
      <c r="B49" s="24" t="n">
        <f aca="false">engine_err_typical/SQRT(A49)</f>
        <v>10.5</v>
      </c>
      <c r="C49" s="20" t="n">
        <f aca="false">level_points</f>
        <v>26.5</v>
      </c>
    </row>
    <row r="50" customFormat="false" ht="15" hidden="false" customHeight="false" outlineLevel="0" collapsed="false">
      <c r="A50" s="0" t="n">
        <v>10</v>
      </c>
      <c r="B50" s="24" t="n">
        <f aca="false">engine_err_typical/SQRT(A50)</f>
        <v>3.3203915431768</v>
      </c>
      <c r="C50" s="20" t="n">
        <f aca="false">level_points</f>
        <v>26.5</v>
      </c>
    </row>
    <row r="51" customFormat="false" ht="15" hidden="false" customHeight="false" outlineLevel="0" collapsed="false">
      <c r="A51" s="0" t="n">
        <v>100</v>
      </c>
      <c r="B51" s="24" t="n">
        <f aca="false">engine_err_typical/SQRT(A51)</f>
        <v>1.05</v>
      </c>
      <c r="C51" s="20" t="n">
        <f aca="false">level_points</f>
        <v>26.5</v>
      </c>
    </row>
    <row r="52" customFormat="false" ht="15" hidden="false" customHeight="false" outlineLevel="0" collapsed="false">
      <c r="A52" s="0" t="n">
        <v>1000</v>
      </c>
      <c r="B52" s="24" t="n">
        <f aca="false">engine_err_typical/SQRT(A52)</f>
        <v>0.33203915431768</v>
      </c>
      <c r="C52" s="20" t="n">
        <f aca="false">level_points</f>
        <v>26.5</v>
      </c>
    </row>
    <row r="53" customFormat="false" ht="15" hidden="false" customHeight="false" outlineLevel="0" collapsed="false">
      <c r="A53" s="0" t="n">
        <v>10000</v>
      </c>
      <c r="B53" s="24" t="n">
        <f aca="false">engine_err_typical/SQRT(A53)</f>
        <v>0.105</v>
      </c>
      <c r="C53" s="20" t="n">
        <f aca="false">level_points</f>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72"/>
  </cols>
  <sheetData>
    <row r="1" customFormat="false" ht="17.35" hidden="false" customHeight="false" outlineLevel="0" collapsed="false">
      <c r="A1" s="1" t="s">
        <v>895</v>
      </c>
    </row>
    <row r="3" customFormat="false" ht="32.8" hidden="false" customHeight="false" outlineLevel="0" collapsed="false">
      <c r="A3" s="17" t="s">
        <v>896</v>
      </c>
    </row>
    <row r="5" customFormat="false" ht="15" hidden="false" customHeight="false" outlineLevel="0" collapsed="false">
      <c r="A5" s="3" t="s">
        <v>897</v>
      </c>
    </row>
    <row r="6" customFormat="false" ht="15" hidden="false" customHeight="false" outlineLevel="0" collapsed="false">
      <c r="A6" s="18" t="s">
        <v>898</v>
      </c>
      <c r="B6" s="25" t="n">
        <f aca="false">dpt_passthrough</f>
        <v>0.3</v>
      </c>
      <c r="C6" s="11" t="s">
        <v>899</v>
      </c>
    </row>
    <row r="7" customFormat="false" ht="15" hidden="false" customHeight="false" outlineLevel="0" collapsed="false">
      <c r="A7" s="18" t="s">
        <v>900</v>
      </c>
      <c r="B7" s="22" t="n">
        <f aca="false">hk_passthrough_36m</f>
        <v>6.5</v>
      </c>
      <c r="C7" s="11" t="s">
        <v>901</v>
      </c>
    </row>
    <row r="8" customFormat="false" ht="15" hidden="false" customHeight="false" outlineLevel="0" collapsed="false">
      <c r="A8" s="18" t="s">
        <v>902</v>
      </c>
      <c r="B8" s="22" t="n">
        <f aca="false">hk_passthrough_now</f>
        <v>1.5</v>
      </c>
      <c r="C8" s="11" t="s">
        <v>903</v>
      </c>
    </row>
    <row r="9" customFormat="false" ht="15" hidden="false" customHeight="false" outlineLevel="0" collapsed="false">
      <c r="A9" s="18" t="s">
        <v>904</v>
      </c>
      <c r="B9" s="22" t="n">
        <f aca="false">pl_incentive_pct_list</f>
        <v>8</v>
      </c>
      <c r="C9" s="11" t="s">
        <v>905</v>
      </c>
    </row>
    <row r="11" customFormat="false" ht="15" hidden="false" customHeight="false" outlineLevel="0" collapsed="false">
      <c r="A11" s="3" t="s">
        <v>906</v>
      </c>
    </row>
    <row r="12" customFormat="false" ht="15" hidden="false" customHeight="false" outlineLevel="0" collapsed="false">
      <c r="A12" s="18" t="s">
        <v>907</v>
      </c>
      <c r="B12" s="19" t="n">
        <f aca="false">new_car_price_eur</f>
        <v>11969</v>
      </c>
    </row>
    <row r="13" customFormat="false" ht="15" hidden="false" customHeight="false" outlineLevel="0" collapsed="false">
      <c r="A13" s="18" t="s">
        <v>908</v>
      </c>
      <c r="B13" s="19" t="n">
        <f aca="false">new_car_price_eur * pl_incentive_pct_list/100</f>
        <v>957.52</v>
      </c>
    </row>
    <row r="14" customFormat="false" ht="15" hidden="false" customHeight="false" outlineLevel="0" collapsed="false">
      <c r="A14" s="18" t="s">
        <v>909</v>
      </c>
      <c r="B14" s="19" t="n">
        <f aca="false">new_car_price_eur * retained_4y_uk/100</f>
        <v>7061.71</v>
      </c>
      <c r="C14" s="11" t="s">
        <v>910</v>
      </c>
    </row>
    <row r="15" customFormat="false" ht="15" hidden="false" customHeight="false" outlineLevel="0" collapsed="false">
      <c r="A15" s="18" t="s">
        <v>911</v>
      </c>
      <c r="B15" s="25" t="n">
        <f aca="false">1-(1-pl_incentive_pct_list/100)^dpt_passthrough</f>
        <v>0.0247042129724129</v>
      </c>
    </row>
    <row r="16" customFormat="false" ht="15" hidden="false" customHeight="false" outlineLevel="0" collapsed="false">
      <c r="A16" s="18" t="s">
        <v>912</v>
      </c>
      <c r="B16" s="25" t="n">
        <f aca="false">(hk_passthrough_36m + hk_passthrough_now)/100 * pl_incentive_pct_list/10</f>
        <v>0.064</v>
      </c>
    </row>
    <row r="17" customFormat="false" ht="15" hidden="false" customHeight="false" outlineLevel="0" collapsed="false">
      <c r="A17" s="18" t="s">
        <v>913</v>
      </c>
      <c r="B17" s="19" t="n">
        <f aca="false">B14 * B15</f>
        <v>174.453987789418</v>
      </c>
    </row>
    <row r="18" customFormat="false" ht="15" hidden="false" customHeight="false" outlineLevel="0" collapsed="false">
      <c r="A18" s="18" t="s">
        <v>914</v>
      </c>
      <c r="B18" s="19" t="n">
        <f aca="false">B14 * B16</f>
        <v>451.94944</v>
      </c>
    </row>
    <row r="20" customFormat="false" ht="15" hidden="false" customHeight="false" outlineLevel="0" collapsed="false">
      <c r="A20" s="3" t="s">
        <v>915</v>
      </c>
      <c r="B20" s="23" t="n">
        <f aca="false">B17 / B13</f>
        <v>0.182193570671545</v>
      </c>
      <c r="C20" s="11" t="s">
        <v>916</v>
      </c>
    </row>
    <row r="21" customFormat="false" ht="15" hidden="false" customHeight="false" outlineLevel="0" collapsed="false">
      <c r="A21" s="3" t="s">
        <v>917</v>
      </c>
      <c r="B21" s="23" t="n">
        <f aca="false">B18 / B13</f>
        <v>0.472</v>
      </c>
    </row>
    <row r="24" customFormat="false" ht="15" hidden="false" customHeight="false" outlineLevel="0" collapsed="false">
      <c r="A24" s="3" t="s">
        <v>918</v>
      </c>
    </row>
    <row r="25" customFormat="false" ht="15" hidden="false" customHeight="false" outlineLevel="0" collapsed="false">
      <c r="A25" s="18" t="s">
        <v>919</v>
      </c>
      <c r="B25" s="19" t="n">
        <f aca="false">buyback_payables_current_eur_m</f>
        <v>5313</v>
      </c>
      <c r="C25" s="11" t="s">
        <v>920</v>
      </c>
    </row>
    <row r="26" customFormat="false" ht="15" hidden="false" customHeight="false" outlineLevel="0" collapsed="false">
      <c r="A26" s="3" t="s">
        <v>921</v>
      </c>
      <c r="B26" s="13" t="n">
        <f aca="false">B25 * B15</f>
        <v>131.25348352243</v>
      </c>
    </row>
    <row r="27" customFormat="false" ht="15" hidden="false" customHeight="false" outlineLevel="0" collapsed="false">
      <c r="A27" s="3" t="s">
        <v>922</v>
      </c>
      <c r="B27" s="13" t="n">
        <f aca="false">B25 * B16</f>
        <v>340.032</v>
      </c>
    </row>
    <row r="30" customFormat="false" ht="15" hidden="false" customHeight="false" outlineLevel="0" collapsed="false">
      <c r="A30" s="26" t="s">
        <v>923</v>
      </c>
    </row>
    <row r="31" customFormat="false" ht="15" hidden="false" customHeight="false" outlineLevel="0" collapsed="false">
      <c r="A31" s="17" t="s">
        <v>924</v>
      </c>
    </row>
    <row r="32" customFormat="false" ht="43.25" hidden="false" customHeight="false" outlineLevel="0" collapsed="false">
      <c r="A32" s="17" t="s">
        <v>925</v>
      </c>
    </row>
    <row r="33" customFormat="false" ht="22.35" hidden="false" customHeight="false" outlineLevel="0" collapsed="false">
      <c r="A33" s="17" t="s">
        <v>926</v>
      </c>
    </row>
    <row r="34" customFormat="false" ht="32.8" hidden="false" customHeight="false" outlineLevel="0" collapsed="false">
      <c r="A34" s="17" t="s">
        <v>927</v>
      </c>
    </row>
    <row r="35" customFormat="false" ht="22.35" hidden="false" customHeight="false" outlineLevel="0" collapsed="false">
      <c r="A35" s="17" t="s">
        <v>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46"/>
    <col collapsed="false" customWidth="true" hidden="false" outlineLevel="0" max="3" min="3" style="0" width="12"/>
    <col collapsed="false" customWidth="true" hidden="false" outlineLevel="0" max="4" min="4" style="0" width="13"/>
    <col collapsed="false" customWidth="true" hidden="false" outlineLevel="0" max="6" min="5" style="0" width="62"/>
  </cols>
  <sheetData>
    <row r="1" customFormat="false" ht="17.35" hidden="false" customHeight="false" outlineLevel="0" collapsed="false">
      <c r="A1" s="1" t="s">
        <v>929</v>
      </c>
    </row>
    <row r="2" customFormat="false" ht="15" hidden="false" customHeight="false" outlineLevel="0" collapsed="false">
      <c r="A2" s="11" t="s">
        <v>930</v>
      </c>
    </row>
    <row r="4" customFormat="false" ht="15" hidden="false" customHeight="false" outlineLevel="0" collapsed="false">
      <c r="A4" s="4" t="s">
        <v>36</v>
      </c>
      <c r="B4" s="4" t="s">
        <v>764</v>
      </c>
      <c r="C4" s="4" t="s">
        <v>27</v>
      </c>
      <c r="D4" s="4" t="s">
        <v>31</v>
      </c>
      <c r="E4" s="4" t="s">
        <v>32</v>
      </c>
      <c r="F4" s="4" t="s">
        <v>35</v>
      </c>
    </row>
    <row r="5" customFormat="false" ht="35.05" hidden="false" customHeight="false" outlineLevel="0" collapsed="false">
      <c r="A5" s="5" t="s">
        <v>50</v>
      </c>
      <c r="B5" s="6" t="s">
        <v>116</v>
      </c>
      <c r="C5" s="5" t="n">
        <v>30</v>
      </c>
      <c r="D5" s="7" t="s">
        <v>40</v>
      </c>
      <c r="E5" s="6" t="s">
        <v>931</v>
      </c>
      <c r="F5" s="6" t="s">
        <v>120</v>
      </c>
    </row>
    <row r="6" customFormat="false" ht="35.05" hidden="false" customHeight="false" outlineLevel="0" collapsed="false">
      <c r="A6" s="5" t="s">
        <v>50</v>
      </c>
      <c r="B6" s="6" t="s">
        <v>47</v>
      </c>
      <c r="C6" s="5" t="n">
        <v>57773</v>
      </c>
      <c r="D6" s="7" t="s">
        <v>40</v>
      </c>
      <c r="E6" s="6" t="s">
        <v>932</v>
      </c>
      <c r="F6" s="6" t="s">
        <v>49</v>
      </c>
    </row>
    <row r="7" customFormat="false" ht="35.05" hidden="false" customHeight="false" outlineLevel="0" collapsed="false">
      <c r="A7" s="5" t="s">
        <v>45</v>
      </c>
      <c r="B7" s="6" t="s">
        <v>38</v>
      </c>
      <c r="C7" s="5" t="n">
        <v>2490000</v>
      </c>
      <c r="D7" s="7" t="s">
        <v>40</v>
      </c>
      <c r="E7" s="6" t="s">
        <v>932</v>
      </c>
      <c r="F7" s="6" t="s">
        <v>44</v>
      </c>
    </row>
    <row r="8" customFormat="false" ht="46.25" hidden="false" customHeight="false" outlineLevel="0" collapsed="false">
      <c r="A8" s="5" t="s">
        <v>50</v>
      </c>
      <c r="B8" s="6" t="s">
        <v>105</v>
      </c>
      <c r="C8" s="5"/>
      <c r="D8" s="7" t="s">
        <v>40</v>
      </c>
      <c r="E8" s="6" t="s">
        <v>933</v>
      </c>
      <c r="F8" s="6" t="s">
        <v>107</v>
      </c>
    </row>
    <row r="9" customFormat="false" ht="35.05" hidden="false" customHeight="false" outlineLevel="0" collapsed="false">
      <c r="A9" s="5" t="s">
        <v>50</v>
      </c>
      <c r="B9" s="6" t="s">
        <v>304</v>
      </c>
      <c r="C9" s="5" t="n">
        <v>8</v>
      </c>
      <c r="D9" s="9" t="s">
        <v>305</v>
      </c>
      <c r="E9" s="6" t="s">
        <v>306</v>
      </c>
      <c r="F9" s="6" t="s">
        <v>307</v>
      </c>
    </row>
    <row r="10" customFormat="false" ht="23.85" hidden="false" customHeight="false" outlineLevel="0" collapsed="false">
      <c r="A10" s="5" t="s">
        <v>50</v>
      </c>
      <c r="B10" s="6" t="s">
        <v>309</v>
      </c>
      <c r="C10" s="5" t="n">
        <v>2</v>
      </c>
      <c r="D10" s="9" t="s">
        <v>305</v>
      </c>
      <c r="E10" s="6" t="s">
        <v>310</v>
      </c>
      <c r="F10" s="6" t="s">
        <v>311</v>
      </c>
    </row>
    <row r="11" customFormat="false" ht="23.85" hidden="false" customHeight="false" outlineLevel="0" collapsed="false">
      <c r="A11" s="5" t="s">
        <v>50</v>
      </c>
      <c r="B11" s="6" t="s">
        <v>313</v>
      </c>
      <c r="C11" s="5" t="n">
        <v>30</v>
      </c>
      <c r="D11" s="9" t="s">
        <v>305</v>
      </c>
      <c r="E11" s="6" t="s">
        <v>310</v>
      </c>
      <c r="F11" s="6" t="s">
        <v>314</v>
      </c>
    </row>
    <row r="12" customFormat="false" ht="23.85" hidden="false" customHeight="false" outlineLevel="0" collapsed="false">
      <c r="A12" s="5" t="s">
        <v>50</v>
      </c>
      <c r="B12" s="6" t="s">
        <v>316</v>
      </c>
      <c r="C12" s="5" t="n">
        <v>10</v>
      </c>
      <c r="D12" s="9" t="s">
        <v>305</v>
      </c>
      <c r="E12" s="6" t="s">
        <v>310</v>
      </c>
      <c r="F12" s="6" t="s">
        <v>317</v>
      </c>
    </row>
    <row r="13" customFormat="false" ht="35.05" hidden="false" customHeight="false" outlineLevel="0" collapsed="false">
      <c r="A13" s="5" t="s">
        <v>127</v>
      </c>
      <c r="B13" s="6" t="s">
        <v>122</v>
      </c>
      <c r="C13" s="5" t="n">
        <v>-9.2</v>
      </c>
      <c r="D13" s="8" t="s">
        <v>123</v>
      </c>
      <c r="E13" s="6" t="s">
        <v>124</v>
      </c>
      <c r="F13" s="6" t="s">
        <v>126</v>
      </c>
    </row>
    <row r="14" customFormat="false" ht="15" hidden="false" customHeight="false" outlineLevel="0" collapsed="false">
      <c r="A14" s="5" t="s">
        <v>144</v>
      </c>
      <c r="B14" s="6" t="s">
        <v>141</v>
      </c>
      <c r="C14" s="5" t="n">
        <v>-10.4</v>
      </c>
      <c r="D14" s="8" t="s">
        <v>123</v>
      </c>
      <c r="E14" s="6" t="s">
        <v>142</v>
      </c>
      <c r="F14" s="6" t="s">
        <v>143</v>
      </c>
    </row>
    <row r="15" customFormat="false" ht="23.85" hidden="false" customHeight="false" outlineLevel="0" collapsed="false">
      <c r="A15" s="5" t="s">
        <v>144</v>
      </c>
      <c r="B15" s="6" t="s">
        <v>322</v>
      </c>
      <c r="C15" s="5" t="n">
        <v>40</v>
      </c>
      <c r="D15" s="9" t="s">
        <v>305</v>
      </c>
      <c r="E15" s="6" t="s">
        <v>310</v>
      </c>
      <c r="F15" s="6" t="s">
        <v>323</v>
      </c>
    </row>
    <row r="16" customFormat="false" ht="15" hidden="false" customHeight="false" outlineLevel="0" collapsed="false">
      <c r="A16" s="5" t="s">
        <v>144</v>
      </c>
      <c r="B16" s="6" t="s">
        <v>338</v>
      </c>
      <c r="C16" s="5" t="n">
        <v>7</v>
      </c>
      <c r="D16" s="9" t="s">
        <v>305</v>
      </c>
      <c r="E16" s="6" t="s">
        <v>310</v>
      </c>
      <c r="F16" s="6" t="s">
        <v>189</v>
      </c>
    </row>
    <row r="17" customFormat="false" ht="23.85" hidden="false" customHeight="false" outlineLevel="0" collapsed="false">
      <c r="A17" s="5" t="s">
        <v>144</v>
      </c>
      <c r="B17" s="6" t="s">
        <v>333</v>
      </c>
      <c r="C17" s="5" t="n">
        <v>15</v>
      </c>
      <c r="D17" s="9" t="s">
        <v>305</v>
      </c>
      <c r="E17" s="6" t="s">
        <v>310</v>
      </c>
      <c r="F17" s="6" t="s">
        <v>334</v>
      </c>
    </row>
    <row r="18" customFormat="false" ht="15" hidden="false" customHeight="false" outlineLevel="0" collapsed="false">
      <c r="A18" s="5" t="s">
        <v>144</v>
      </c>
      <c r="B18" s="6" t="s">
        <v>336</v>
      </c>
      <c r="C18" s="5" t="n">
        <v>48</v>
      </c>
      <c r="D18" s="9" t="s">
        <v>305</v>
      </c>
      <c r="E18" s="6" t="s">
        <v>310</v>
      </c>
      <c r="F18" s="6" t="s">
        <v>189</v>
      </c>
    </row>
    <row r="19" customFormat="false" ht="23.85" hidden="false" customHeight="false" outlineLevel="0" collapsed="false">
      <c r="A19" s="5" t="s">
        <v>144</v>
      </c>
      <c r="B19" s="6" t="s">
        <v>329</v>
      </c>
      <c r="C19" s="5" t="n">
        <v>2000</v>
      </c>
      <c r="D19" s="9" t="s">
        <v>305</v>
      </c>
      <c r="E19" s="6" t="s">
        <v>310</v>
      </c>
      <c r="F19" s="6" t="s">
        <v>331</v>
      </c>
    </row>
    <row r="20" customFormat="false" ht="23.85" hidden="false" customHeight="false" outlineLevel="0" collapsed="false">
      <c r="A20" s="5" t="s">
        <v>144</v>
      </c>
      <c r="B20" s="6" t="s">
        <v>340</v>
      </c>
      <c r="C20" s="5" t="n">
        <v>10420</v>
      </c>
      <c r="D20" s="8" t="s">
        <v>123</v>
      </c>
      <c r="E20" s="6" t="s">
        <v>342</v>
      </c>
      <c r="F20" s="6" t="s">
        <v>343</v>
      </c>
    </row>
    <row r="21" customFormat="false" ht="15" hidden="false" customHeight="false" outlineLevel="0" collapsed="false">
      <c r="A21" s="5" t="s">
        <v>144</v>
      </c>
      <c r="B21" s="6" t="s">
        <v>175</v>
      </c>
      <c r="C21" s="5" t="n">
        <v>91</v>
      </c>
      <c r="D21" s="8" t="s">
        <v>123</v>
      </c>
      <c r="E21" s="6" t="s">
        <v>163</v>
      </c>
      <c r="F21" s="6" t="s">
        <v>176</v>
      </c>
    </row>
    <row r="22" customFormat="false" ht="15" hidden="false" customHeight="false" outlineLevel="0" collapsed="false">
      <c r="A22" s="5" t="s">
        <v>144</v>
      </c>
      <c r="B22" s="6" t="s">
        <v>178</v>
      </c>
      <c r="C22" s="5" t="n">
        <v>78</v>
      </c>
      <c r="D22" s="8" t="s">
        <v>123</v>
      </c>
      <c r="E22" s="6" t="s">
        <v>163</v>
      </c>
      <c r="F22" s="6" t="s">
        <v>176</v>
      </c>
    </row>
    <row r="23" customFormat="false" ht="35.05" hidden="false" customHeight="false" outlineLevel="0" collapsed="false">
      <c r="A23" s="5" t="s">
        <v>144</v>
      </c>
      <c r="B23" s="6" t="s">
        <v>162</v>
      </c>
      <c r="C23" s="5" t="n">
        <v>66</v>
      </c>
      <c r="D23" s="8" t="s">
        <v>123</v>
      </c>
      <c r="E23" s="6" t="s">
        <v>163</v>
      </c>
      <c r="F23" s="6" t="s">
        <v>164</v>
      </c>
    </row>
    <row r="24" customFormat="false" ht="15" hidden="false" customHeight="false" outlineLevel="0" collapsed="false">
      <c r="A24" s="5" t="s">
        <v>144</v>
      </c>
      <c r="B24" s="6" t="s">
        <v>180</v>
      </c>
      <c r="C24" s="5" t="n">
        <v>59</v>
      </c>
      <c r="D24" s="8" t="s">
        <v>123</v>
      </c>
      <c r="E24" s="6" t="s">
        <v>163</v>
      </c>
      <c r="F24" s="6" t="s">
        <v>176</v>
      </c>
    </row>
    <row r="25" customFormat="false" ht="15" hidden="false" customHeight="false" outlineLevel="0" collapsed="false">
      <c r="A25" s="5" t="s">
        <v>144</v>
      </c>
      <c r="B25" s="6" t="s">
        <v>182</v>
      </c>
      <c r="C25" s="5" t="n">
        <v>52</v>
      </c>
      <c r="D25" s="8" t="s">
        <v>123</v>
      </c>
      <c r="E25" s="6" t="s">
        <v>163</v>
      </c>
      <c r="F25" s="6" t="s">
        <v>176</v>
      </c>
    </row>
    <row r="26" customFormat="false" ht="23.85" hidden="false" customHeight="false" outlineLevel="0" collapsed="false">
      <c r="A26" s="5" t="s">
        <v>144</v>
      </c>
      <c r="B26" s="6" t="s">
        <v>325</v>
      </c>
      <c r="C26" s="5" t="n">
        <v>3</v>
      </c>
      <c r="D26" s="9" t="s">
        <v>305</v>
      </c>
      <c r="E26" s="6" t="s">
        <v>310</v>
      </c>
      <c r="F26" s="6" t="s">
        <v>327</v>
      </c>
    </row>
    <row r="27" customFormat="false" ht="35.05" hidden="false" customHeight="false" outlineLevel="0" collapsed="false">
      <c r="A27" s="5" t="s">
        <v>65</v>
      </c>
      <c r="B27" s="6" t="s">
        <v>67</v>
      </c>
      <c r="C27" s="5" t="n">
        <v>5313</v>
      </c>
      <c r="D27" s="7" t="s">
        <v>40</v>
      </c>
      <c r="E27" s="6" t="s">
        <v>934</v>
      </c>
      <c r="F27" s="6" t="s">
        <v>69</v>
      </c>
    </row>
    <row r="28" customFormat="false" ht="35.05" hidden="false" customHeight="false" outlineLevel="0" collapsed="false">
      <c r="A28" s="5" t="s">
        <v>65</v>
      </c>
      <c r="B28" s="6" t="s">
        <v>60</v>
      </c>
      <c r="C28" s="5" t="n">
        <v>7889</v>
      </c>
      <c r="D28" s="7" t="s">
        <v>40</v>
      </c>
      <c r="E28" s="6" t="s">
        <v>935</v>
      </c>
      <c r="F28" s="6" t="s">
        <v>64</v>
      </c>
    </row>
    <row r="29" customFormat="false" ht="46.25" hidden="false" customHeight="false" outlineLevel="0" collapsed="false">
      <c r="A29" s="5" t="s">
        <v>65</v>
      </c>
      <c r="B29" s="6" t="s">
        <v>419</v>
      </c>
      <c r="C29" s="5" t="n">
        <v>2576</v>
      </c>
      <c r="D29" s="7" t="s">
        <v>40</v>
      </c>
      <c r="E29" s="6" t="s">
        <v>935</v>
      </c>
      <c r="F29" s="6" t="s">
        <v>420</v>
      </c>
    </row>
    <row r="30" customFormat="false" ht="23.85" hidden="false" customHeight="false" outlineLevel="0" collapsed="false">
      <c r="A30" s="5" t="s">
        <v>65</v>
      </c>
      <c r="B30" s="6" t="s">
        <v>271</v>
      </c>
      <c r="C30" s="5" t="n">
        <v>11.9</v>
      </c>
      <c r="D30" s="8" t="s">
        <v>123</v>
      </c>
      <c r="E30" s="6" t="s">
        <v>268</v>
      </c>
      <c r="F30" s="6" t="s">
        <v>272</v>
      </c>
    </row>
    <row r="31" customFormat="false" ht="23.85" hidden="false" customHeight="false" outlineLevel="0" collapsed="false">
      <c r="A31" s="5" t="s">
        <v>65</v>
      </c>
      <c r="B31" s="6" t="s">
        <v>267</v>
      </c>
      <c r="C31" s="5" t="n">
        <v>41.4</v>
      </c>
      <c r="D31" s="8" t="s">
        <v>123</v>
      </c>
      <c r="E31" s="6" t="s">
        <v>268</v>
      </c>
      <c r="F31" s="6" t="s">
        <v>269</v>
      </c>
    </row>
    <row r="32" customFormat="false" ht="23.85" hidden="false" customHeight="false" outlineLevel="0" collapsed="false">
      <c r="A32" s="5" t="s">
        <v>65</v>
      </c>
      <c r="B32" s="6" t="s">
        <v>274</v>
      </c>
      <c r="C32" s="5" t="n">
        <v>10.5</v>
      </c>
      <c r="D32" s="8" t="s">
        <v>123</v>
      </c>
      <c r="E32" s="6" t="s">
        <v>268</v>
      </c>
      <c r="F32" s="6" t="s">
        <v>275</v>
      </c>
    </row>
    <row r="33" customFormat="false" ht="35.05" hidden="false" customHeight="false" outlineLevel="0" collapsed="false">
      <c r="A33" s="5" t="s">
        <v>65</v>
      </c>
      <c r="B33" s="6" t="s">
        <v>277</v>
      </c>
      <c r="C33" s="5" t="n">
        <v>96</v>
      </c>
      <c r="D33" s="8" t="s">
        <v>123</v>
      </c>
      <c r="E33" s="6" t="s">
        <v>268</v>
      </c>
      <c r="F33" s="6" t="s">
        <v>278</v>
      </c>
    </row>
    <row r="34" customFormat="false" ht="23.85" hidden="false" customHeight="false" outlineLevel="0" collapsed="false">
      <c r="A34" s="5" t="s">
        <v>65</v>
      </c>
      <c r="B34" s="6" t="s">
        <v>280</v>
      </c>
      <c r="C34" s="5" t="n">
        <v>61</v>
      </c>
      <c r="D34" s="8" t="s">
        <v>123</v>
      </c>
      <c r="E34" s="6" t="s">
        <v>268</v>
      </c>
      <c r="F34" s="6" t="s">
        <v>281</v>
      </c>
    </row>
    <row r="35" customFormat="false" ht="23.85" hidden="false" customHeight="false" outlineLevel="0" collapsed="false">
      <c r="A35" s="5" t="s">
        <v>65</v>
      </c>
      <c r="B35" s="6" t="s">
        <v>283</v>
      </c>
      <c r="C35" s="5" t="n">
        <v>91</v>
      </c>
      <c r="D35" s="8" t="s">
        <v>123</v>
      </c>
      <c r="E35" s="6" t="s">
        <v>268</v>
      </c>
      <c r="F35" s="6" t="s">
        <v>284</v>
      </c>
    </row>
    <row r="36" customFormat="false" ht="23.85" hidden="false" customHeight="false" outlineLevel="0" collapsed="false">
      <c r="A36" s="5" t="s">
        <v>65</v>
      </c>
      <c r="B36" s="6" t="s">
        <v>236</v>
      </c>
      <c r="C36" s="5" t="n">
        <v>1</v>
      </c>
      <c r="D36" s="8" t="s">
        <v>123</v>
      </c>
      <c r="E36" s="6" t="s">
        <v>237</v>
      </c>
      <c r="F36" s="6" t="s">
        <v>238</v>
      </c>
    </row>
    <row r="37" customFormat="false" ht="23.85" hidden="false" customHeight="false" outlineLevel="0" collapsed="false">
      <c r="A37" s="5" t="s">
        <v>65</v>
      </c>
      <c r="B37" s="6" t="s">
        <v>240</v>
      </c>
      <c r="C37" s="5" t="n">
        <v>5.1</v>
      </c>
      <c r="D37" s="8" t="s">
        <v>123</v>
      </c>
      <c r="E37" s="6" t="s">
        <v>237</v>
      </c>
      <c r="F37" s="6" t="s">
        <v>241</v>
      </c>
    </row>
    <row r="38" customFormat="false" ht="35.05" hidden="false" customHeight="false" outlineLevel="0" collapsed="false">
      <c r="A38" s="5" t="s">
        <v>65</v>
      </c>
      <c r="B38" s="6" t="s">
        <v>226</v>
      </c>
      <c r="C38" s="5" t="n">
        <v>2.4</v>
      </c>
      <c r="D38" s="8" t="s">
        <v>123</v>
      </c>
      <c r="E38" s="6" t="s">
        <v>220</v>
      </c>
      <c r="F38" s="6" t="s">
        <v>227</v>
      </c>
    </row>
    <row r="39" customFormat="false" ht="35.05" hidden="false" customHeight="false" outlineLevel="0" collapsed="false">
      <c r="A39" s="5" t="s">
        <v>65</v>
      </c>
      <c r="B39" s="6" t="s">
        <v>229</v>
      </c>
      <c r="C39" s="5" t="n">
        <v>12.6</v>
      </c>
      <c r="D39" s="8" t="s">
        <v>123</v>
      </c>
      <c r="E39" s="6" t="s">
        <v>220</v>
      </c>
      <c r="F39" s="6" t="s">
        <v>230</v>
      </c>
    </row>
    <row r="40" customFormat="false" ht="15" hidden="false" customHeight="false" outlineLevel="0" collapsed="false">
      <c r="A40" s="5" t="s">
        <v>65</v>
      </c>
      <c r="B40" s="6" t="s">
        <v>137</v>
      </c>
      <c r="C40" s="5" t="n">
        <v>-4.9</v>
      </c>
      <c r="D40" s="8" t="s">
        <v>123</v>
      </c>
      <c r="E40" s="6" t="s">
        <v>138</v>
      </c>
      <c r="F40" s="6" t="s">
        <v>139</v>
      </c>
    </row>
    <row r="41" customFormat="false" ht="15" hidden="false" customHeight="false" outlineLevel="0" collapsed="false">
      <c r="A41" s="5" t="s">
        <v>65</v>
      </c>
      <c r="B41" s="6" t="s">
        <v>133</v>
      </c>
      <c r="C41" s="5" t="n">
        <v>-13.3</v>
      </c>
      <c r="D41" s="8" t="s">
        <v>123</v>
      </c>
      <c r="E41" s="6" t="s">
        <v>134</v>
      </c>
      <c r="F41" s="6" t="s">
        <v>135</v>
      </c>
    </row>
    <row r="42" customFormat="false" ht="23.85" hidden="false" customHeight="false" outlineLevel="0" collapsed="false">
      <c r="A42" s="5" t="s">
        <v>65</v>
      </c>
      <c r="B42" s="6" t="s">
        <v>348</v>
      </c>
      <c r="C42" s="5" t="n">
        <v>-5</v>
      </c>
      <c r="D42" s="8" t="s">
        <v>123</v>
      </c>
      <c r="E42" s="6" t="s">
        <v>124</v>
      </c>
      <c r="F42" s="6" t="s">
        <v>189</v>
      </c>
    </row>
    <row r="43" customFormat="false" ht="35.05" hidden="false" customHeight="false" outlineLevel="0" collapsed="false">
      <c r="A43" s="5" t="s">
        <v>65</v>
      </c>
      <c r="B43" s="6" t="s">
        <v>345</v>
      </c>
      <c r="C43" s="5" t="n">
        <v>-13.1</v>
      </c>
      <c r="D43" s="8" t="s">
        <v>123</v>
      </c>
      <c r="E43" s="6" t="s">
        <v>124</v>
      </c>
      <c r="F43" s="6" t="s">
        <v>346</v>
      </c>
    </row>
    <row r="44" customFormat="false" ht="15" hidden="false" customHeight="false" outlineLevel="0" collapsed="false">
      <c r="A44" s="5" t="s">
        <v>65</v>
      </c>
      <c r="B44" s="6" t="s">
        <v>150</v>
      </c>
      <c r="C44" s="5" t="n">
        <v>-11.7</v>
      </c>
      <c r="D44" s="8" t="s">
        <v>123</v>
      </c>
      <c r="E44" s="6" t="s">
        <v>147</v>
      </c>
      <c r="F44" s="6" t="s">
        <v>151</v>
      </c>
    </row>
    <row r="45" customFormat="false" ht="23.85" hidden="false" customHeight="false" outlineLevel="0" collapsed="false">
      <c r="A45" s="5" t="s">
        <v>65</v>
      </c>
      <c r="B45" s="6" t="s">
        <v>146</v>
      </c>
      <c r="C45" s="5" t="n">
        <v>-13.2</v>
      </c>
      <c r="D45" s="8" t="s">
        <v>123</v>
      </c>
      <c r="E45" s="6" t="s">
        <v>147</v>
      </c>
      <c r="F45" s="6" t="s">
        <v>148</v>
      </c>
    </row>
    <row r="46" customFormat="false" ht="46.25" hidden="false" customHeight="false" outlineLevel="0" collapsed="false">
      <c r="A46" s="5" t="s">
        <v>65</v>
      </c>
      <c r="B46" s="6" t="s">
        <v>544</v>
      </c>
      <c r="C46" s="5" t="n">
        <v>3.1</v>
      </c>
      <c r="D46" s="8" t="s">
        <v>123</v>
      </c>
      <c r="E46" s="6" t="s">
        <v>540</v>
      </c>
      <c r="F46" s="6" t="s">
        <v>546</v>
      </c>
    </row>
    <row r="47" customFormat="false" ht="68.65" hidden="false" customHeight="false" outlineLevel="0" collapsed="false">
      <c r="A47" s="5" t="s">
        <v>65</v>
      </c>
      <c r="B47" s="6" t="s">
        <v>538</v>
      </c>
      <c r="C47" s="5" t="n">
        <v>0.3</v>
      </c>
      <c r="D47" s="8" t="s">
        <v>123</v>
      </c>
      <c r="E47" s="6" t="s">
        <v>540</v>
      </c>
      <c r="F47" s="6" t="s">
        <v>542</v>
      </c>
    </row>
    <row r="48" customFormat="false" ht="91" hidden="false" customHeight="false" outlineLevel="0" collapsed="false">
      <c r="A48" s="5" t="s">
        <v>65</v>
      </c>
      <c r="B48" s="6" t="s">
        <v>563</v>
      </c>
      <c r="C48" s="5" t="n">
        <v>6.5</v>
      </c>
      <c r="D48" s="7" t="s">
        <v>40</v>
      </c>
      <c r="E48" s="6" t="s">
        <v>936</v>
      </c>
      <c r="F48" s="6" t="s">
        <v>568</v>
      </c>
    </row>
    <row r="49" customFormat="false" ht="102.2" hidden="false" customHeight="false" outlineLevel="0" collapsed="false">
      <c r="A49" s="5" t="s">
        <v>65</v>
      </c>
      <c r="B49" s="6" t="s">
        <v>570</v>
      </c>
      <c r="C49" s="5" t="n">
        <v>1.5</v>
      </c>
      <c r="D49" s="7" t="s">
        <v>40</v>
      </c>
      <c r="E49" s="6" t="s">
        <v>936</v>
      </c>
      <c r="F49" s="6" t="s">
        <v>571</v>
      </c>
    </row>
    <row r="50" customFormat="false" ht="57.45" hidden="false" customHeight="false" outlineLevel="0" collapsed="false">
      <c r="A50" s="5" t="s">
        <v>65</v>
      </c>
      <c r="B50" s="6" t="s">
        <v>101</v>
      </c>
      <c r="C50" s="5"/>
      <c r="D50" s="7" t="s">
        <v>40</v>
      </c>
      <c r="E50" s="6" t="s">
        <v>937</v>
      </c>
      <c r="F50" s="6" t="s">
        <v>103</v>
      </c>
    </row>
    <row r="51" customFormat="false" ht="15" hidden="false" customHeight="false" outlineLevel="0" collapsed="false">
      <c r="A51" s="5" t="s">
        <v>65</v>
      </c>
      <c r="B51" s="6" t="s">
        <v>211</v>
      </c>
      <c r="C51" s="5" t="n">
        <v>-1.3</v>
      </c>
      <c r="D51" s="8" t="s">
        <v>123</v>
      </c>
      <c r="E51" s="6" t="s">
        <v>212</v>
      </c>
      <c r="F51" s="6" t="s">
        <v>213</v>
      </c>
    </row>
    <row r="52" customFormat="false" ht="23.85" hidden="false" customHeight="false" outlineLevel="0" collapsed="false">
      <c r="A52" s="5" t="s">
        <v>65</v>
      </c>
      <c r="B52" s="6" t="s">
        <v>205</v>
      </c>
      <c r="C52" s="5" t="n">
        <v>-6.3</v>
      </c>
      <c r="D52" s="8" t="s">
        <v>123</v>
      </c>
      <c r="E52" s="6" t="s">
        <v>185</v>
      </c>
      <c r="F52" s="6" t="s">
        <v>206</v>
      </c>
    </row>
    <row r="53" customFormat="false" ht="23.85" hidden="false" customHeight="false" outlineLevel="0" collapsed="false">
      <c r="A53" s="5" t="s">
        <v>65</v>
      </c>
      <c r="B53" s="6" t="s">
        <v>202</v>
      </c>
      <c r="C53" s="5" t="n">
        <v>-4.5</v>
      </c>
      <c r="D53" s="8" t="s">
        <v>123</v>
      </c>
      <c r="E53" s="6" t="s">
        <v>185</v>
      </c>
      <c r="F53" s="6" t="s">
        <v>203</v>
      </c>
    </row>
    <row r="54" customFormat="false" ht="15" hidden="false" customHeight="false" outlineLevel="0" collapsed="false">
      <c r="A54" s="5" t="s">
        <v>65</v>
      </c>
      <c r="B54" s="6" t="s">
        <v>208</v>
      </c>
      <c r="C54" s="5" t="n">
        <v>-14.8</v>
      </c>
      <c r="D54" s="8" t="s">
        <v>123</v>
      </c>
      <c r="E54" s="6" t="s">
        <v>185</v>
      </c>
      <c r="F54" s="6" t="s">
        <v>209</v>
      </c>
    </row>
    <row r="55" customFormat="false" ht="15" hidden="false" customHeight="false" outlineLevel="0" collapsed="false">
      <c r="A55" s="5" t="s">
        <v>65</v>
      </c>
      <c r="B55" s="6" t="s">
        <v>215</v>
      </c>
      <c r="C55" s="5" t="n">
        <v>-3</v>
      </c>
      <c r="D55" s="8" t="s">
        <v>123</v>
      </c>
      <c r="E55" s="6" t="s">
        <v>212</v>
      </c>
      <c r="F55" s="6" t="s">
        <v>216</v>
      </c>
    </row>
    <row r="56" customFormat="false" ht="23.85" hidden="false" customHeight="false" outlineLevel="0" collapsed="false">
      <c r="A56" s="5" t="s">
        <v>65</v>
      </c>
      <c r="B56" s="6" t="s">
        <v>184</v>
      </c>
      <c r="C56" s="5" t="n">
        <v>-10</v>
      </c>
      <c r="D56" s="8" t="s">
        <v>123</v>
      </c>
      <c r="E56" s="6" t="s">
        <v>185</v>
      </c>
      <c r="F56" s="6" t="s">
        <v>186</v>
      </c>
    </row>
    <row r="57" customFormat="false" ht="23.85" hidden="false" customHeight="false" outlineLevel="0" collapsed="false">
      <c r="A57" s="5" t="s">
        <v>65</v>
      </c>
      <c r="B57" s="6" t="s">
        <v>196</v>
      </c>
      <c r="C57" s="5" t="n">
        <v>-7.7</v>
      </c>
      <c r="D57" s="8" t="s">
        <v>123</v>
      </c>
      <c r="E57" s="6" t="s">
        <v>185</v>
      </c>
      <c r="F57" s="6" t="s">
        <v>197</v>
      </c>
    </row>
    <row r="58" customFormat="false" ht="15" hidden="false" customHeight="false" outlineLevel="0" collapsed="false">
      <c r="A58" s="5" t="s">
        <v>65</v>
      </c>
      <c r="B58" s="6" t="s">
        <v>188</v>
      </c>
      <c r="C58" s="5" t="n">
        <v>4.2</v>
      </c>
      <c r="D58" s="8" t="s">
        <v>123</v>
      </c>
      <c r="E58" s="6" t="s">
        <v>185</v>
      </c>
      <c r="F58" s="6" t="s">
        <v>189</v>
      </c>
    </row>
    <row r="59" customFormat="false" ht="15" hidden="false" customHeight="false" outlineLevel="0" collapsed="false">
      <c r="A59" s="5" t="s">
        <v>65</v>
      </c>
      <c r="B59" s="6" t="s">
        <v>191</v>
      </c>
      <c r="C59" s="5" t="n">
        <v>25.3</v>
      </c>
      <c r="D59" s="8" t="s">
        <v>123</v>
      </c>
      <c r="E59" s="6" t="s">
        <v>185</v>
      </c>
      <c r="F59" s="6" t="s">
        <v>189</v>
      </c>
    </row>
    <row r="60" customFormat="false" ht="15" hidden="false" customHeight="false" outlineLevel="0" collapsed="false">
      <c r="A60" s="5" t="s">
        <v>65</v>
      </c>
      <c r="B60" s="6" t="s">
        <v>193</v>
      </c>
      <c r="C60" s="5" t="n">
        <v>-27</v>
      </c>
      <c r="D60" s="8" t="s">
        <v>123</v>
      </c>
      <c r="E60" s="6" t="s">
        <v>185</v>
      </c>
      <c r="F60" s="6" t="s">
        <v>194</v>
      </c>
    </row>
    <row r="61" customFormat="false" ht="23.85" hidden="false" customHeight="false" outlineLevel="0" collapsed="false">
      <c r="A61" s="5" t="s">
        <v>65</v>
      </c>
      <c r="B61" s="6" t="s">
        <v>199</v>
      </c>
      <c r="C61" s="5" t="n">
        <v>-19.2</v>
      </c>
      <c r="D61" s="8" t="s">
        <v>123</v>
      </c>
      <c r="E61" s="6" t="s">
        <v>185</v>
      </c>
      <c r="F61" s="6" t="s">
        <v>200</v>
      </c>
    </row>
    <row r="62" customFormat="false" ht="15" hidden="false" customHeight="false" outlineLevel="0" collapsed="false">
      <c r="A62" s="5" t="s">
        <v>65</v>
      </c>
      <c r="B62" s="6" t="s">
        <v>263</v>
      </c>
      <c r="C62" s="5" t="n">
        <v>11.4</v>
      </c>
      <c r="D62" s="8" t="s">
        <v>123</v>
      </c>
      <c r="E62" s="6" t="s">
        <v>264</v>
      </c>
      <c r="F62" s="6" t="s">
        <v>265</v>
      </c>
    </row>
    <row r="63" customFormat="false" ht="35.05" hidden="false" customHeight="false" outlineLevel="0" collapsed="false">
      <c r="A63" s="5" t="s">
        <v>65</v>
      </c>
      <c r="B63" s="6" t="s">
        <v>109</v>
      </c>
      <c r="C63" s="5" t="n">
        <v>26.6</v>
      </c>
      <c r="D63" s="7" t="s">
        <v>40</v>
      </c>
      <c r="E63" s="6" t="s">
        <v>938</v>
      </c>
      <c r="F63" s="6" t="s">
        <v>114</v>
      </c>
    </row>
    <row r="64" customFormat="false" ht="35.05" hidden="false" customHeight="false" outlineLevel="0" collapsed="false">
      <c r="A64" s="5" t="s">
        <v>65</v>
      </c>
      <c r="B64" s="6" t="s">
        <v>246</v>
      </c>
      <c r="C64" s="5" t="n">
        <v>4.3</v>
      </c>
      <c r="D64" s="8" t="s">
        <v>123</v>
      </c>
      <c r="E64" s="6" t="s">
        <v>247</v>
      </c>
      <c r="F64" s="6" t="s">
        <v>248</v>
      </c>
    </row>
    <row r="65" customFormat="false" ht="23.85" hidden="false" customHeight="false" outlineLevel="0" collapsed="false">
      <c r="A65" s="5" t="s">
        <v>65</v>
      </c>
      <c r="B65" s="6" t="s">
        <v>250</v>
      </c>
      <c r="C65" s="5" t="n">
        <v>0.2</v>
      </c>
      <c r="D65" s="8" t="s">
        <v>123</v>
      </c>
      <c r="E65" s="6" t="s">
        <v>247</v>
      </c>
      <c r="F65" s="6" t="s">
        <v>251</v>
      </c>
    </row>
    <row r="66" customFormat="false" ht="23.85" hidden="false" customHeight="false" outlineLevel="0" collapsed="false">
      <c r="A66" s="5" t="s">
        <v>65</v>
      </c>
      <c r="B66" s="6" t="s">
        <v>232</v>
      </c>
      <c r="C66" s="5" t="n">
        <v>90.8</v>
      </c>
      <c r="D66" s="8" t="s">
        <v>123</v>
      </c>
      <c r="E66" s="6" t="s">
        <v>233</v>
      </c>
      <c r="F66" s="6" t="s">
        <v>234</v>
      </c>
    </row>
    <row r="67" customFormat="false" ht="23.85" hidden="false" customHeight="false" outlineLevel="0" collapsed="false">
      <c r="A67" s="5" t="s">
        <v>65</v>
      </c>
      <c r="B67" s="6" t="s">
        <v>157</v>
      </c>
      <c r="C67" s="5" t="n">
        <v>75</v>
      </c>
      <c r="D67" s="8" t="s">
        <v>123</v>
      </c>
      <c r="E67" s="6" t="s">
        <v>159</v>
      </c>
      <c r="F67" s="6" t="s">
        <v>160</v>
      </c>
    </row>
    <row r="68" customFormat="false" ht="46.25" hidden="false" customHeight="false" outlineLevel="0" collapsed="false">
      <c r="A68" s="5" t="s">
        <v>65</v>
      </c>
      <c r="B68" s="6" t="s">
        <v>92</v>
      </c>
      <c r="C68" s="5" t="n">
        <v>3</v>
      </c>
      <c r="D68" s="7" t="s">
        <v>40</v>
      </c>
      <c r="E68" s="6" t="s">
        <v>939</v>
      </c>
      <c r="F68" s="6" t="s">
        <v>95</v>
      </c>
    </row>
    <row r="69" customFormat="false" ht="35.05" hidden="false" customHeight="false" outlineLevel="0" collapsed="false">
      <c r="A69" s="5" t="s">
        <v>65</v>
      </c>
      <c r="B69" s="6" t="s">
        <v>319</v>
      </c>
      <c r="C69" s="5" t="n">
        <v>25</v>
      </c>
      <c r="D69" s="9" t="s">
        <v>305</v>
      </c>
      <c r="E69" s="6" t="s">
        <v>310</v>
      </c>
      <c r="F69" s="6" t="s">
        <v>320</v>
      </c>
    </row>
    <row r="70" customFormat="false" ht="23.85" hidden="false" customHeight="false" outlineLevel="0" collapsed="false">
      <c r="A70" s="5" t="s">
        <v>54</v>
      </c>
      <c r="B70" s="6" t="s">
        <v>300</v>
      </c>
      <c r="C70" s="5" t="n">
        <v>7.3</v>
      </c>
      <c r="D70" s="8" t="s">
        <v>123</v>
      </c>
      <c r="E70" s="6" t="s">
        <v>301</v>
      </c>
      <c r="F70" s="6" t="s">
        <v>302</v>
      </c>
    </row>
    <row r="71" customFormat="false" ht="23.85" hidden="false" customHeight="false" outlineLevel="0" collapsed="false">
      <c r="A71" s="5" t="s">
        <v>54</v>
      </c>
      <c r="B71" s="6" t="s">
        <v>293</v>
      </c>
      <c r="C71" s="5" t="n">
        <v>55</v>
      </c>
      <c r="D71" s="8" t="s">
        <v>123</v>
      </c>
      <c r="E71" s="6" t="s">
        <v>290</v>
      </c>
      <c r="F71" s="6" t="s">
        <v>294</v>
      </c>
    </row>
    <row r="72" customFormat="false" ht="35.05" hidden="false" customHeight="false" outlineLevel="0" collapsed="false">
      <c r="A72" s="5" t="s">
        <v>54</v>
      </c>
      <c r="B72" s="6" t="s">
        <v>88</v>
      </c>
      <c r="C72" s="5" t="n">
        <v>3616</v>
      </c>
      <c r="D72" s="7" t="s">
        <v>40</v>
      </c>
      <c r="E72" s="6" t="s">
        <v>940</v>
      </c>
      <c r="F72" s="6" t="s">
        <v>90</v>
      </c>
    </row>
    <row r="73" customFormat="false" ht="68.65" hidden="false" customHeight="false" outlineLevel="0" collapsed="false">
      <c r="A73" s="5" t="s">
        <v>54</v>
      </c>
      <c r="B73" s="6" t="s">
        <v>71</v>
      </c>
      <c r="C73" s="5"/>
      <c r="D73" s="7" t="s">
        <v>40</v>
      </c>
      <c r="E73" s="6" t="s">
        <v>941</v>
      </c>
      <c r="F73" s="6" t="s">
        <v>74</v>
      </c>
    </row>
    <row r="74" customFormat="false" ht="35.05" hidden="false" customHeight="false" outlineLevel="0" collapsed="false">
      <c r="A74" s="5" t="s">
        <v>54</v>
      </c>
      <c r="B74" s="6" t="s">
        <v>85</v>
      </c>
      <c r="C74" s="5" t="n">
        <v>82</v>
      </c>
      <c r="D74" s="7" t="s">
        <v>40</v>
      </c>
      <c r="E74" s="6" t="s">
        <v>942</v>
      </c>
      <c r="F74" s="6" t="s">
        <v>83</v>
      </c>
    </row>
    <row r="75" customFormat="false" ht="35.05" hidden="false" customHeight="false" outlineLevel="0" collapsed="false">
      <c r="A75" s="5" t="s">
        <v>54</v>
      </c>
      <c r="B75" s="6" t="s">
        <v>80</v>
      </c>
      <c r="C75" s="5" t="n">
        <v>179</v>
      </c>
      <c r="D75" s="7" t="s">
        <v>40</v>
      </c>
      <c r="E75" s="6" t="s">
        <v>942</v>
      </c>
      <c r="F75" s="6" t="s">
        <v>83</v>
      </c>
    </row>
    <row r="76" customFormat="false" ht="57.45" hidden="false" customHeight="false" outlineLevel="0" collapsed="false">
      <c r="A76" s="5" t="s">
        <v>54</v>
      </c>
      <c r="B76" s="6" t="s">
        <v>76</v>
      </c>
      <c r="C76" s="5" t="n">
        <v>358</v>
      </c>
      <c r="D76" s="7" t="s">
        <v>40</v>
      </c>
      <c r="E76" s="6" t="s">
        <v>943</v>
      </c>
      <c r="F76" s="6" t="s">
        <v>78</v>
      </c>
    </row>
    <row r="77" customFormat="false" ht="23.85" hidden="false" customHeight="false" outlineLevel="0" collapsed="false">
      <c r="A77" s="5" t="s">
        <v>54</v>
      </c>
      <c r="B77" s="6" t="s">
        <v>286</v>
      </c>
      <c r="C77" s="5" t="n">
        <v>27.6</v>
      </c>
      <c r="D77" s="8" t="s">
        <v>123</v>
      </c>
      <c r="E77" s="6" t="s">
        <v>268</v>
      </c>
      <c r="F77" s="6" t="s">
        <v>287</v>
      </c>
    </row>
    <row r="78" customFormat="false" ht="46.25" hidden="false" customHeight="false" outlineLevel="0" collapsed="false">
      <c r="A78" s="5" t="s">
        <v>54</v>
      </c>
      <c r="B78" s="6" t="s">
        <v>218</v>
      </c>
      <c r="C78" s="5" t="n">
        <v>3.5</v>
      </c>
      <c r="D78" s="8" t="s">
        <v>123</v>
      </c>
      <c r="E78" s="6" t="s">
        <v>220</v>
      </c>
      <c r="F78" s="6" t="s">
        <v>221</v>
      </c>
    </row>
    <row r="79" customFormat="false" ht="46.25" hidden="false" customHeight="false" outlineLevel="0" collapsed="false">
      <c r="A79" s="5" t="s">
        <v>54</v>
      </c>
      <c r="B79" s="6" t="s">
        <v>223</v>
      </c>
      <c r="C79" s="5" t="n">
        <v>20.1</v>
      </c>
      <c r="D79" s="8" t="s">
        <v>123</v>
      </c>
      <c r="E79" s="6" t="s">
        <v>220</v>
      </c>
      <c r="F79" s="6" t="s">
        <v>224</v>
      </c>
    </row>
    <row r="80" customFormat="false" ht="23.85" hidden="false" customHeight="false" outlineLevel="0" collapsed="false">
      <c r="A80" s="5" t="s">
        <v>54</v>
      </c>
      <c r="B80" s="6" t="s">
        <v>129</v>
      </c>
      <c r="C80" s="5" t="n">
        <v>-12</v>
      </c>
      <c r="D80" s="8" t="s">
        <v>123</v>
      </c>
      <c r="E80" s="6" t="s">
        <v>130</v>
      </c>
      <c r="F80" s="6" t="s">
        <v>131</v>
      </c>
    </row>
    <row r="81" customFormat="false" ht="46.25" hidden="false" customHeight="false" outlineLevel="0" collapsed="false">
      <c r="A81" s="5" t="s">
        <v>54</v>
      </c>
      <c r="B81" s="6" t="s">
        <v>557</v>
      </c>
      <c r="C81" s="5" t="n">
        <v>-0.013</v>
      </c>
      <c r="D81" s="8" t="s">
        <v>123</v>
      </c>
      <c r="E81" s="6" t="s">
        <v>540</v>
      </c>
      <c r="F81" s="6" t="s">
        <v>558</v>
      </c>
    </row>
    <row r="82" customFormat="false" ht="35.05" hidden="false" customHeight="false" outlineLevel="0" collapsed="false">
      <c r="A82" s="5" t="s">
        <v>54</v>
      </c>
      <c r="B82" s="6" t="s">
        <v>560</v>
      </c>
      <c r="C82" s="5" t="n">
        <v>0.056</v>
      </c>
      <c r="D82" s="8" t="s">
        <v>123</v>
      </c>
      <c r="E82" s="6" t="s">
        <v>540</v>
      </c>
      <c r="F82" s="6" t="s">
        <v>561</v>
      </c>
    </row>
    <row r="83" customFormat="false" ht="46.25" hidden="false" customHeight="false" outlineLevel="0" collapsed="false">
      <c r="A83" s="5" t="s">
        <v>54</v>
      </c>
      <c r="B83" s="6" t="s">
        <v>548</v>
      </c>
      <c r="C83" s="5" t="n">
        <v>0.033</v>
      </c>
      <c r="D83" s="8" t="s">
        <v>123</v>
      </c>
      <c r="E83" s="6" t="s">
        <v>540</v>
      </c>
      <c r="F83" s="6" t="s">
        <v>549</v>
      </c>
    </row>
    <row r="84" customFormat="false" ht="46.25" hidden="false" customHeight="false" outlineLevel="0" collapsed="false">
      <c r="A84" s="5" t="s">
        <v>54</v>
      </c>
      <c r="B84" s="6" t="s">
        <v>551</v>
      </c>
      <c r="C84" s="5" t="n">
        <v>-10.3</v>
      </c>
      <c r="D84" s="8" t="s">
        <v>123</v>
      </c>
      <c r="E84" s="6" t="s">
        <v>540</v>
      </c>
      <c r="F84" s="6" t="s">
        <v>552</v>
      </c>
    </row>
    <row r="85" customFormat="false" ht="57.45" hidden="false" customHeight="false" outlineLevel="0" collapsed="false">
      <c r="A85" s="5" t="s">
        <v>54</v>
      </c>
      <c r="B85" s="6" t="s">
        <v>554</v>
      </c>
      <c r="C85" s="5" t="n">
        <v>-1.1</v>
      </c>
      <c r="D85" s="8" t="s">
        <v>123</v>
      </c>
      <c r="E85" s="6" t="s">
        <v>540</v>
      </c>
      <c r="F85" s="6" t="s">
        <v>555</v>
      </c>
    </row>
    <row r="86" customFormat="false" ht="23.85" hidden="false" customHeight="false" outlineLevel="0" collapsed="false">
      <c r="A86" s="5" t="s">
        <v>54</v>
      </c>
      <c r="B86" s="6" t="s">
        <v>289</v>
      </c>
      <c r="C86" s="5" t="n">
        <v>80</v>
      </c>
      <c r="D86" s="8" t="s">
        <v>123</v>
      </c>
      <c r="E86" s="6" t="s">
        <v>290</v>
      </c>
      <c r="F86" s="6" t="s">
        <v>291</v>
      </c>
    </row>
    <row r="87" customFormat="false" ht="46.25" hidden="false" customHeight="false" outlineLevel="0" collapsed="false">
      <c r="A87" s="5" t="s">
        <v>54</v>
      </c>
      <c r="B87" s="6" t="s">
        <v>409</v>
      </c>
      <c r="C87" s="5" t="n">
        <v>10.5</v>
      </c>
      <c r="D87" s="8" t="s">
        <v>123</v>
      </c>
      <c r="E87" s="6" t="s">
        <v>290</v>
      </c>
      <c r="F87" s="6" t="s">
        <v>410</v>
      </c>
    </row>
    <row r="88" customFormat="false" ht="46.25" hidden="false" customHeight="false" outlineLevel="0" collapsed="false">
      <c r="A88" s="5" t="s">
        <v>54</v>
      </c>
      <c r="B88" s="6" t="s">
        <v>382</v>
      </c>
      <c r="C88" s="5" t="n">
        <v>80.3</v>
      </c>
      <c r="D88" s="8" t="s">
        <v>123</v>
      </c>
      <c r="E88" s="6" t="s">
        <v>383</v>
      </c>
      <c r="F88" s="6" t="s">
        <v>384</v>
      </c>
    </row>
    <row r="89" customFormat="false" ht="68.65" hidden="false" customHeight="false" outlineLevel="0" collapsed="false">
      <c r="A89" s="5" t="s">
        <v>54</v>
      </c>
      <c r="B89" s="6" t="s">
        <v>364</v>
      </c>
      <c r="C89" s="5" t="n">
        <v>21.9</v>
      </c>
      <c r="D89" s="8" t="s">
        <v>123</v>
      </c>
      <c r="E89" s="6" t="s">
        <v>365</v>
      </c>
      <c r="F89" s="6" t="s">
        <v>366</v>
      </c>
    </row>
    <row r="90" customFormat="false" ht="68.65" hidden="false" customHeight="false" outlineLevel="0" collapsed="false">
      <c r="A90" s="5" t="s">
        <v>54</v>
      </c>
      <c r="B90" s="6" t="s">
        <v>368</v>
      </c>
      <c r="C90" s="5" t="n">
        <v>98.7</v>
      </c>
      <c r="D90" s="8" t="s">
        <v>123</v>
      </c>
      <c r="E90" s="6" t="s">
        <v>369</v>
      </c>
      <c r="F90" s="6" t="s">
        <v>370</v>
      </c>
    </row>
    <row r="91" customFormat="false" ht="35.05" hidden="false" customHeight="false" outlineLevel="0" collapsed="false">
      <c r="A91" s="5" t="s">
        <v>54</v>
      </c>
      <c r="B91" s="6" t="s">
        <v>355</v>
      </c>
      <c r="C91" s="5" t="n">
        <v>276902</v>
      </c>
      <c r="D91" s="8" t="s">
        <v>123</v>
      </c>
      <c r="E91" s="6" t="s">
        <v>357</v>
      </c>
      <c r="F91" s="6" t="s">
        <v>358</v>
      </c>
    </row>
    <row r="92" customFormat="false" ht="57.45" hidden="false" customHeight="false" outlineLevel="0" collapsed="false">
      <c r="A92" s="5" t="s">
        <v>54</v>
      </c>
      <c r="B92" s="6" t="s">
        <v>360</v>
      </c>
      <c r="C92" s="5" t="n">
        <v>17.4</v>
      </c>
      <c r="D92" s="8" t="s">
        <v>123</v>
      </c>
      <c r="E92" s="6" t="s">
        <v>361</v>
      </c>
      <c r="F92" s="6" t="s">
        <v>362</v>
      </c>
    </row>
    <row r="93" customFormat="false" ht="46.25" hidden="false" customHeight="false" outlineLevel="0" collapsed="false">
      <c r="A93" s="5" t="s">
        <v>54</v>
      </c>
      <c r="B93" s="6" t="s">
        <v>375</v>
      </c>
      <c r="C93" s="5" t="n">
        <v>20.7</v>
      </c>
      <c r="D93" s="8" t="s">
        <v>123</v>
      </c>
      <c r="E93" s="6" t="s">
        <v>369</v>
      </c>
      <c r="F93" s="6" t="s">
        <v>376</v>
      </c>
    </row>
    <row r="94" customFormat="false" ht="46.25" hidden="false" customHeight="false" outlineLevel="0" collapsed="false">
      <c r="A94" s="5" t="s">
        <v>54</v>
      </c>
      <c r="B94" s="6" t="s">
        <v>372</v>
      </c>
      <c r="C94" s="5" t="n">
        <v>96.7</v>
      </c>
      <c r="D94" s="8" t="s">
        <v>123</v>
      </c>
      <c r="E94" s="6" t="s">
        <v>369</v>
      </c>
      <c r="F94" s="6" t="s">
        <v>373</v>
      </c>
    </row>
    <row r="95" customFormat="false" ht="46.25" hidden="false" customHeight="false" outlineLevel="0" collapsed="false">
      <c r="A95" s="5" t="s">
        <v>54</v>
      </c>
      <c r="B95" s="6" t="s">
        <v>389</v>
      </c>
      <c r="C95" s="5" t="n">
        <v>8344</v>
      </c>
      <c r="D95" s="8" t="s">
        <v>123</v>
      </c>
      <c r="E95" s="6" t="s">
        <v>383</v>
      </c>
      <c r="F95" s="6" t="s">
        <v>390</v>
      </c>
    </row>
    <row r="96" customFormat="false" ht="46.25" hidden="false" customHeight="false" outlineLevel="0" collapsed="false">
      <c r="A96" s="5" t="s">
        <v>54</v>
      </c>
      <c r="B96" s="6" t="s">
        <v>386</v>
      </c>
      <c r="C96" s="5" t="n">
        <v>96</v>
      </c>
      <c r="D96" s="8" t="s">
        <v>123</v>
      </c>
      <c r="E96" s="6" t="s">
        <v>383</v>
      </c>
      <c r="F96" s="6" t="s">
        <v>387</v>
      </c>
    </row>
    <row r="97" customFormat="false" ht="79.85" hidden="false" customHeight="false" outlineLevel="0" collapsed="false">
      <c r="A97" s="5" t="s">
        <v>54</v>
      </c>
      <c r="B97" s="6" t="s">
        <v>378</v>
      </c>
      <c r="C97" s="5" t="n">
        <v>7.4</v>
      </c>
      <c r="D97" s="8" t="s">
        <v>123</v>
      </c>
      <c r="E97" s="6" t="s">
        <v>379</v>
      </c>
      <c r="F97" s="6" t="s">
        <v>380</v>
      </c>
    </row>
    <row r="98" customFormat="false" ht="35.05" hidden="false" customHeight="false" outlineLevel="0" collapsed="false">
      <c r="A98" s="5" t="s">
        <v>54</v>
      </c>
      <c r="B98" s="6" t="s">
        <v>412</v>
      </c>
      <c r="C98" s="5" t="n">
        <v>2419</v>
      </c>
      <c r="D98" s="7" t="s">
        <v>40</v>
      </c>
      <c r="E98" s="6" t="s">
        <v>944</v>
      </c>
      <c r="F98" s="6" t="s">
        <v>414</v>
      </c>
    </row>
    <row r="99" customFormat="false" ht="35.05" hidden="false" customHeight="false" outlineLevel="0" collapsed="false">
      <c r="A99" s="5" t="s">
        <v>54</v>
      </c>
      <c r="B99" s="6" t="s">
        <v>52</v>
      </c>
      <c r="C99" s="5" t="n">
        <v>-651</v>
      </c>
      <c r="D99" s="7" t="s">
        <v>40</v>
      </c>
      <c r="E99" s="6" t="s">
        <v>932</v>
      </c>
      <c r="F99" s="6" t="s">
        <v>53</v>
      </c>
    </row>
    <row r="100" customFormat="false" ht="35.05" hidden="false" customHeight="false" outlineLevel="0" collapsed="false">
      <c r="A100" s="5" t="s">
        <v>54</v>
      </c>
      <c r="B100" s="6" t="s">
        <v>416</v>
      </c>
      <c r="C100" s="5" t="n">
        <v>2576000</v>
      </c>
      <c r="D100" s="7" t="s">
        <v>40</v>
      </c>
      <c r="E100" s="6" t="s">
        <v>944</v>
      </c>
      <c r="F100" s="6" t="s">
        <v>417</v>
      </c>
    </row>
    <row r="101" customFormat="false" ht="23.85" hidden="false" customHeight="false" outlineLevel="0" collapsed="false">
      <c r="A101" s="5" t="s">
        <v>54</v>
      </c>
      <c r="B101" s="6" t="s">
        <v>353</v>
      </c>
      <c r="C101" s="5" t="n">
        <v>59.9</v>
      </c>
      <c r="D101" s="8" t="s">
        <v>123</v>
      </c>
      <c r="E101" s="6" t="s">
        <v>124</v>
      </c>
      <c r="F101" s="6" t="s">
        <v>189</v>
      </c>
    </row>
    <row r="102" customFormat="false" ht="35.05" hidden="false" customHeight="false" outlineLevel="0" collapsed="false">
      <c r="A102" s="5" t="s">
        <v>54</v>
      </c>
      <c r="B102" s="6" t="s">
        <v>350</v>
      </c>
      <c r="C102" s="5" t="n">
        <v>-38</v>
      </c>
      <c r="D102" s="8" t="s">
        <v>123</v>
      </c>
      <c r="E102" s="6" t="s">
        <v>124</v>
      </c>
      <c r="F102" s="6" t="s">
        <v>351</v>
      </c>
    </row>
    <row r="103" customFormat="false" ht="35.05" hidden="false" customHeight="false" outlineLevel="0" collapsed="false">
      <c r="A103" s="5" t="s">
        <v>54</v>
      </c>
      <c r="B103" s="6" t="s">
        <v>58</v>
      </c>
      <c r="C103" s="5" t="n">
        <v>153508</v>
      </c>
      <c r="D103" s="7" t="s">
        <v>40</v>
      </c>
      <c r="E103" s="6" t="s">
        <v>932</v>
      </c>
      <c r="F103" s="6"/>
    </row>
    <row r="104" customFormat="false" ht="35.05" hidden="false" customHeight="false" outlineLevel="0" collapsed="false">
      <c r="A104" s="5" t="s">
        <v>54</v>
      </c>
      <c r="B104" s="6" t="s">
        <v>56</v>
      </c>
      <c r="C104" s="5" t="n">
        <v>5484000</v>
      </c>
      <c r="D104" s="7" t="s">
        <v>40</v>
      </c>
      <c r="E104" s="6" t="s">
        <v>932</v>
      </c>
      <c r="F104" s="6"/>
    </row>
    <row r="105" customFormat="false" ht="35.05" hidden="false" customHeight="false" outlineLevel="0" collapsed="false">
      <c r="A105" s="5" t="s">
        <v>54</v>
      </c>
      <c r="B105" s="6" t="s">
        <v>153</v>
      </c>
      <c r="C105" s="5" t="n">
        <v>0.958</v>
      </c>
      <c r="D105" s="8" t="s">
        <v>123</v>
      </c>
      <c r="E105" s="6" t="s">
        <v>147</v>
      </c>
      <c r="F105" s="6" t="s">
        <v>155</v>
      </c>
    </row>
    <row r="106" customFormat="false" ht="23.85" hidden="false" customHeight="false" outlineLevel="0" collapsed="false">
      <c r="A106" s="5" t="s">
        <v>54</v>
      </c>
      <c r="B106" s="6" t="s">
        <v>243</v>
      </c>
      <c r="C106" s="5" t="n">
        <v>26.5</v>
      </c>
      <c r="D106" s="8" t="s">
        <v>123</v>
      </c>
      <c r="E106" s="6" t="s">
        <v>220</v>
      </c>
      <c r="F106" s="6" t="s">
        <v>244</v>
      </c>
    </row>
    <row r="107" customFormat="false" ht="35.05" hidden="false" customHeight="false" outlineLevel="0" collapsed="false">
      <c r="A107" s="5" t="s">
        <v>54</v>
      </c>
      <c r="B107" s="6" t="s">
        <v>392</v>
      </c>
      <c r="C107" s="5" t="n">
        <v>64.6</v>
      </c>
      <c r="D107" s="8" t="s">
        <v>123</v>
      </c>
      <c r="E107" s="6" t="s">
        <v>147</v>
      </c>
      <c r="F107" s="6" t="s">
        <v>395</v>
      </c>
    </row>
    <row r="108" customFormat="false" ht="46.25" hidden="false" customHeight="false" outlineLevel="0" collapsed="false">
      <c r="A108" s="5" t="s">
        <v>54</v>
      </c>
      <c r="B108" s="6" t="s">
        <v>401</v>
      </c>
      <c r="C108" s="5" t="n">
        <v>42.3</v>
      </c>
      <c r="D108" s="8" t="s">
        <v>123</v>
      </c>
      <c r="E108" s="6" t="s">
        <v>147</v>
      </c>
      <c r="F108" s="6" t="s">
        <v>403</v>
      </c>
    </row>
    <row r="109" customFormat="false" ht="35.05" hidden="false" customHeight="false" outlineLevel="0" collapsed="false">
      <c r="A109" s="5" t="s">
        <v>54</v>
      </c>
      <c r="B109" s="6" t="s">
        <v>397</v>
      </c>
      <c r="C109" s="5" t="n">
        <v>1.53</v>
      </c>
      <c r="D109" s="8" t="s">
        <v>123</v>
      </c>
      <c r="E109" s="6" t="s">
        <v>147</v>
      </c>
      <c r="F109" s="6" t="s">
        <v>399</v>
      </c>
    </row>
    <row r="110" customFormat="false" ht="46.25" hidden="false" customHeight="false" outlineLevel="0" collapsed="false">
      <c r="A110" s="5" t="s">
        <v>54</v>
      </c>
      <c r="B110" s="6" t="s">
        <v>257</v>
      </c>
      <c r="C110" s="5" t="n">
        <v>31.6</v>
      </c>
      <c r="D110" s="8" t="s">
        <v>123</v>
      </c>
      <c r="E110" s="6" t="s">
        <v>254</v>
      </c>
      <c r="F110" s="6" t="s">
        <v>258</v>
      </c>
    </row>
    <row r="111" customFormat="false" ht="35.05" hidden="false" customHeight="false" outlineLevel="0" collapsed="false">
      <c r="A111" s="5" t="s">
        <v>54</v>
      </c>
      <c r="B111" s="6" t="s">
        <v>260</v>
      </c>
      <c r="C111" s="5" t="n">
        <v>2</v>
      </c>
      <c r="D111" s="8" t="s">
        <v>123</v>
      </c>
      <c r="E111" s="6" t="s">
        <v>254</v>
      </c>
      <c r="F111" s="6" t="s">
        <v>261</v>
      </c>
    </row>
    <row r="112" customFormat="false" ht="68.65" hidden="false" customHeight="false" outlineLevel="0" collapsed="false">
      <c r="A112" s="5" t="s">
        <v>54</v>
      </c>
      <c r="B112" s="6" t="s">
        <v>707</v>
      </c>
      <c r="C112" s="5" t="n">
        <v>0.662</v>
      </c>
      <c r="D112" s="8" t="s">
        <v>123</v>
      </c>
      <c r="E112" s="6" t="s">
        <v>708</v>
      </c>
      <c r="F112" s="6" t="s">
        <v>709</v>
      </c>
    </row>
    <row r="113" customFormat="false" ht="124.6" hidden="false" customHeight="false" outlineLevel="0" collapsed="false">
      <c r="A113" s="5" t="s">
        <v>54</v>
      </c>
      <c r="B113" s="6" t="s">
        <v>714</v>
      </c>
      <c r="C113" s="5" t="n">
        <v>0.722</v>
      </c>
      <c r="D113" s="8" t="s">
        <v>123</v>
      </c>
      <c r="E113" s="6" t="s">
        <v>708</v>
      </c>
      <c r="F113" s="6" t="s">
        <v>715</v>
      </c>
    </row>
    <row r="114" customFormat="false" ht="102.2" hidden="false" customHeight="false" outlineLevel="0" collapsed="false">
      <c r="A114" s="5" t="s">
        <v>54</v>
      </c>
      <c r="B114" s="6" t="s">
        <v>711</v>
      </c>
      <c r="C114" s="5" t="n">
        <v>0.671</v>
      </c>
      <c r="D114" s="8" t="s">
        <v>123</v>
      </c>
      <c r="E114" s="6" t="s">
        <v>708</v>
      </c>
      <c r="F114" s="6" t="s">
        <v>712</v>
      </c>
    </row>
    <row r="115" customFormat="false" ht="91" hidden="false" customHeight="false" outlineLevel="0" collapsed="false">
      <c r="A115" s="5" t="s">
        <v>54</v>
      </c>
      <c r="B115" s="6" t="s">
        <v>698</v>
      </c>
      <c r="C115" s="5" t="n">
        <v>0.694</v>
      </c>
      <c r="D115" s="8" t="s">
        <v>123</v>
      </c>
      <c r="E115" s="6" t="s">
        <v>692</v>
      </c>
      <c r="F115" s="6" t="s">
        <v>699</v>
      </c>
    </row>
    <row r="116" customFormat="false" ht="68.65" hidden="false" customHeight="false" outlineLevel="0" collapsed="false">
      <c r="A116" s="5" t="s">
        <v>54</v>
      </c>
      <c r="B116" s="6" t="s">
        <v>620</v>
      </c>
      <c r="C116" s="5" t="n">
        <v>-9.1</v>
      </c>
      <c r="D116" s="8" t="s">
        <v>123</v>
      </c>
      <c r="E116" s="6" t="s">
        <v>617</v>
      </c>
      <c r="F116" s="6" t="s">
        <v>621</v>
      </c>
    </row>
    <row r="117" customFormat="false" ht="91" hidden="false" customHeight="false" outlineLevel="0" collapsed="false">
      <c r="A117" s="5" t="s">
        <v>54</v>
      </c>
      <c r="B117" s="6" t="s">
        <v>615</v>
      </c>
      <c r="C117" s="5" t="n">
        <v>-16.9</v>
      </c>
      <c r="D117" s="8" t="s">
        <v>123</v>
      </c>
      <c r="E117" s="6" t="s">
        <v>617</v>
      </c>
      <c r="F117" s="6" t="s">
        <v>618</v>
      </c>
    </row>
    <row r="118" customFormat="false" ht="113.4" hidden="false" customHeight="false" outlineLevel="0" collapsed="false">
      <c r="A118" s="5" t="s">
        <v>54</v>
      </c>
      <c r="B118" s="6" t="s">
        <v>623</v>
      </c>
      <c r="C118" s="5" t="n">
        <v>20</v>
      </c>
      <c r="D118" s="8" t="s">
        <v>123</v>
      </c>
      <c r="E118" s="6" t="s">
        <v>617</v>
      </c>
      <c r="F118" s="6" t="s">
        <v>624</v>
      </c>
    </row>
    <row r="119" customFormat="false" ht="46.25" hidden="false" customHeight="false" outlineLevel="0" collapsed="false">
      <c r="A119" s="5" t="s">
        <v>54</v>
      </c>
      <c r="B119" s="6" t="s">
        <v>626</v>
      </c>
      <c r="C119" s="5" t="n">
        <v>716</v>
      </c>
      <c r="D119" s="8" t="s">
        <v>123</v>
      </c>
      <c r="E119" s="6" t="s">
        <v>617</v>
      </c>
      <c r="F119" s="6" t="s">
        <v>627</v>
      </c>
    </row>
    <row r="120" customFormat="false" ht="91" hidden="false" customHeight="false" outlineLevel="0" collapsed="false">
      <c r="A120" s="5" t="s">
        <v>54</v>
      </c>
      <c r="B120" s="6" t="s">
        <v>638</v>
      </c>
      <c r="C120" s="5" t="n">
        <v>0.449</v>
      </c>
      <c r="D120" s="8" t="s">
        <v>123</v>
      </c>
      <c r="E120" s="6" t="s">
        <v>631</v>
      </c>
      <c r="F120" s="6" t="s">
        <v>640</v>
      </c>
    </row>
    <row r="121" customFormat="false" ht="79.85" hidden="false" customHeight="false" outlineLevel="0" collapsed="false">
      <c r="A121" s="5" t="s">
        <v>54</v>
      </c>
      <c r="B121" s="6" t="s">
        <v>634</v>
      </c>
      <c r="C121" s="5" t="n">
        <v>5686</v>
      </c>
      <c r="D121" s="8" t="s">
        <v>123</v>
      </c>
      <c r="E121" s="6" t="s">
        <v>631</v>
      </c>
      <c r="F121" s="6" t="s">
        <v>636</v>
      </c>
    </row>
    <row r="122" customFormat="false" ht="91" hidden="false" customHeight="false" outlineLevel="0" collapsed="false">
      <c r="A122" s="5" t="s">
        <v>54</v>
      </c>
      <c r="B122" s="6" t="s">
        <v>629</v>
      </c>
      <c r="C122" s="5" t="n">
        <v>0.039</v>
      </c>
      <c r="D122" s="8" t="s">
        <v>123</v>
      </c>
      <c r="E122" s="6" t="s">
        <v>631</v>
      </c>
      <c r="F122" s="6" t="s">
        <v>632</v>
      </c>
    </row>
    <row r="123" customFormat="false" ht="79.85" hidden="false" customHeight="false" outlineLevel="0" collapsed="false">
      <c r="A123" s="5" t="s">
        <v>54</v>
      </c>
      <c r="B123" s="6" t="s">
        <v>666</v>
      </c>
      <c r="C123" s="5" t="n">
        <v>1.54</v>
      </c>
      <c r="D123" s="8" t="s">
        <v>123</v>
      </c>
      <c r="E123" s="6" t="s">
        <v>668</v>
      </c>
      <c r="F123" s="6" t="s">
        <v>669</v>
      </c>
    </row>
    <row r="124" customFormat="false" ht="124.6" hidden="false" customHeight="false" outlineLevel="0" collapsed="false">
      <c r="A124" s="5" t="s">
        <v>54</v>
      </c>
      <c r="B124" s="6" t="s">
        <v>671</v>
      </c>
      <c r="C124" s="5" t="n">
        <v>1.03</v>
      </c>
      <c r="D124" s="8" t="s">
        <v>123</v>
      </c>
      <c r="E124" s="6" t="s">
        <v>668</v>
      </c>
      <c r="F124" s="6" t="s">
        <v>672</v>
      </c>
    </row>
    <row r="125" customFormat="false" ht="102.2" hidden="false" customHeight="false" outlineLevel="0" collapsed="false">
      <c r="A125" s="5" t="s">
        <v>54</v>
      </c>
      <c r="B125" s="6" t="s">
        <v>690</v>
      </c>
      <c r="C125" s="5" t="n">
        <v>0.723</v>
      </c>
      <c r="D125" s="8" t="s">
        <v>123</v>
      </c>
      <c r="E125" s="6" t="s">
        <v>692</v>
      </c>
      <c r="F125" s="6" t="s">
        <v>693</v>
      </c>
    </row>
    <row r="126" customFormat="false" ht="113.4" hidden="false" customHeight="false" outlineLevel="0" collapsed="false">
      <c r="A126" s="5" t="s">
        <v>54</v>
      </c>
      <c r="B126" s="6" t="s">
        <v>704</v>
      </c>
      <c r="C126" s="5" t="n">
        <v>0.615</v>
      </c>
      <c r="D126" s="8" t="s">
        <v>123</v>
      </c>
      <c r="E126" s="6" t="s">
        <v>692</v>
      </c>
      <c r="F126" s="6" t="s">
        <v>705</v>
      </c>
    </row>
    <row r="127" customFormat="false" ht="79.85" hidden="false" customHeight="false" outlineLevel="0" collapsed="false">
      <c r="A127" s="5" t="s">
        <v>54</v>
      </c>
      <c r="B127" s="6" t="s">
        <v>695</v>
      </c>
      <c r="C127" s="5" t="n">
        <v>3.34</v>
      </c>
      <c r="D127" s="8" t="s">
        <v>123</v>
      </c>
      <c r="E127" s="6" t="s">
        <v>692</v>
      </c>
      <c r="F127" s="6" t="s">
        <v>696</v>
      </c>
    </row>
    <row r="128" customFormat="false" ht="91" hidden="false" customHeight="false" outlineLevel="0" collapsed="false">
      <c r="A128" s="5" t="s">
        <v>54</v>
      </c>
      <c r="B128" s="6" t="s">
        <v>701</v>
      </c>
      <c r="C128" s="5" t="n">
        <v>0.703</v>
      </c>
      <c r="D128" s="8" t="s">
        <v>123</v>
      </c>
      <c r="E128" s="6" t="s">
        <v>692</v>
      </c>
      <c r="F128" s="6" t="s">
        <v>702</v>
      </c>
    </row>
    <row r="129" customFormat="false" ht="57.45" hidden="false" customHeight="false" outlineLevel="0" collapsed="false">
      <c r="A129" s="5" t="s">
        <v>54</v>
      </c>
      <c r="B129" s="6" t="s">
        <v>720</v>
      </c>
      <c r="C129" s="5" t="n">
        <v>0.667</v>
      </c>
      <c r="D129" s="8" t="s">
        <v>123</v>
      </c>
      <c r="E129" s="6" t="s">
        <v>692</v>
      </c>
      <c r="F129" s="6" t="s">
        <v>721</v>
      </c>
    </row>
    <row r="130" customFormat="false" ht="35.05" hidden="false" customHeight="false" outlineLevel="0" collapsed="false">
      <c r="A130" s="5" t="s">
        <v>54</v>
      </c>
      <c r="B130" s="6" t="s">
        <v>723</v>
      </c>
      <c r="C130" s="5" t="n">
        <v>0.618</v>
      </c>
      <c r="D130" s="8" t="s">
        <v>123</v>
      </c>
      <c r="E130" s="6" t="s">
        <v>692</v>
      </c>
      <c r="F130" s="6" t="s">
        <v>724</v>
      </c>
    </row>
    <row r="131" customFormat="false" ht="46.25" hidden="false" customHeight="false" outlineLevel="0" collapsed="false">
      <c r="A131" s="5" t="s">
        <v>54</v>
      </c>
      <c r="B131" s="6" t="s">
        <v>683</v>
      </c>
      <c r="C131" s="5" t="n">
        <v>0.0088</v>
      </c>
      <c r="D131" s="8" t="s">
        <v>123</v>
      </c>
      <c r="E131" s="6" t="s">
        <v>676</v>
      </c>
      <c r="F131" s="6" t="s">
        <v>685</v>
      </c>
    </row>
    <row r="132" customFormat="false" ht="68.65" hidden="false" customHeight="false" outlineLevel="0" collapsed="false">
      <c r="A132" s="5" t="s">
        <v>54</v>
      </c>
      <c r="B132" s="6" t="s">
        <v>674</v>
      </c>
      <c r="C132" s="5" t="n">
        <v>0.9999</v>
      </c>
      <c r="D132" s="8" t="s">
        <v>123</v>
      </c>
      <c r="E132" s="6" t="s">
        <v>676</v>
      </c>
      <c r="F132" s="6" t="s">
        <v>677</v>
      </c>
    </row>
    <row r="133" customFormat="false" ht="57.45" hidden="false" customHeight="false" outlineLevel="0" collapsed="false">
      <c r="A133" s="5" t="s">
        <v>54</v>
      </c>
      <c r="B133" s="6" t="s">
        <v>679</v>
      </c>
      <c r="C133" s="5" t="n">
        <v>1</v>
      </c>
      <c r="D133" s="8" t="s">
        <v>123</v>
      </c>
      <c r="E133" s="6" t="s">
        <v>676</v>
      </c>
      <c r="F133" s="6" t="s">
        <v>681</v>
      </c>
    </row>
    <row r="134" customFormat="false" ht="68.65" hidden="false" customHeight="false" outlineLevel="0" collapsed="false">
      <c r="A134" s="5" t="s">
        <v>54</v>
      </c>
      <c r="B134" s="6" t="s">
        <v>687</v>
      </c>
      <c r="C134" s="5" t="n">
        <v>0.9929</v>
      </c>
      <c r="D134" s="8" t="s">
        <v>123</v>
      </c>
      <c r="E134" s="6" t="s">
        <v>676</v>
      </c>
      <c r="F134" s="6" t="s">
        <v>688</v>
      </c>
    </row>
    <row r="135" customFormat="false" ht="46.25" hidden="false" customHeight="false" outlineLevel="0" collapsed="false">
      <c r="A135" s="5" t="s">
        <v>54</v>
      </c>
      <c r="B135" s="6" t="s">
        <v>606</v>
      </c>
      <c r="C135" s="5" t="n">
        <v>-9.1</v>
      </c>
      <c r="D135" s="8" t="s">
        <v>123</v>
      </c>
      <c r="E135" s="6" t="s">
        <v>575</v>
      </c>
      <c r="F135" s="6" t="s">
        <v>607</v>
      </c>
    </row>
    <row r="136" customFormat="false" ht="46.25" hidden="false" customHeight="false" outlineLevel="0" collapsed="false">
      <c r="A136" s="5" t="s">
        <v>54</v>
      </c>
      <c r="B136" s="6" t="s">
        <v>737</v>
      </c>
      <c r="C136" s="5" t="n">
        <v>32.7</v>
      </c>
      <c r="D136" s="8" t="s">
        <v>123</v>
      </c>
      <c r="E136" s="6" t="s">
        <v>575</v>
      </c>
      <c r="F136" s="6" t="s">
        <v>730</v>
      </c>
    </row>
    <row r="137" customFormat="false" ht="57.45" hidden="false" customHeight="false" outlineLevel="0" collapsed="false">
      <c r="A137" s="5" t="s">
        <v>54</v>
      </c>
      <c r="B137" s="6" t="s">
        <v>734</v>
      </c>
      <c r="C137" s="5" t="n">
        <v>22.8</v>
      </c>
      <c r="D137" s="8" t="s">
        <v>123</v>
      </c>
      <c r="E137" s="6" t="s">
        <v>575</v>
      </c>
      <c r="F137" s="6" t="s">
        <v>735</v>
      </c>
    </row>
    <row r="138" customFormat="false" ht="35.05" hidden="false" customHeight="false" outlineLevel="0" collapsed="false">
      <c r="A138" s="5" t="s">
        <v>54</v>
      </c>
      <c r="B138" s="6" t="s">
        <v>602</v>
      </c>
      <c r="C138" s="5" t="n">
        <v>1931085</v>
      </c>
      <c r="D138" s="8" t="s">
        <v>123</v>
      </c>
      <c r="E138" s="6" t="s">
        <v>575</v>
      </c>
      <c r="F138" s="6" t="s">
        <v>604</v>
      </c>
    </row>
    <row r="139" customFormat="false" ht="46.25" hidden="false" customHeight="false" outlineLevel="0" collapsed="false">
      <c r="A139" s="5" t="s">
        <v>54</v>
      </c>
      <c r="B139" s="6" t="s">
        <v>739</v>
      </c>
      <c r="C139" s="5" t="n">
        <v>1.6</v>
      </c>
      <c r="D139" s="8" t="s">
        <v>123</v>
      </c>
      <c r="E139" s="6" t="s">
        <v>575</v>
      </c>
      <c r="F139" s="6" t="s">
        <v>740</v>
      </c>
    </row>
    <row r="140" customFormat="false" ht="46.25" hidden="false" customHeight="false" outlineLevel="0" collapsed="false">
      <c r="A140" s="5" t="s">
        <v>54</v>
      </c>
      <c r="B140" s="6" t="s">
        <v>732</v>
      </c>
      <c r="C140" s="5" t="n">
        <v>34.8</v>
      </c>
      <c r="D140" s="8" t="s">
        <v>123</v>
      </c>
      <c r="E140" s="6" t="s">
        <v>575</v>
      </c>
      <c r="F140" s="6" t="s">
        <v>730</v>
      </c>
    </row>
    <row r="141" customFormat="false" ht="46.25" hidden="false" customHeight="false" outlineLevel="0" collapsed="false">
      <c r="A141" s="5" t="s">
        <v>54</v>
      </c>
      <c r="B141" s="6" t="s">
        <v>729</v>
      </c>
      <c r="C141" s="5" t="n">
        <v>19.8</v>
      </c>
      <c r="D141" s="8" t="s">
        <v>123</v>
      </c>
      <c r="E141" s="6" t="s">
        <v>575</v>
      </c>
      <c r="F141" s="6" t="s">
        <v>730</v>
      </c>
    </row>
    <row r="142" customFormat="false" ht="91" hidden="false" customHeight="false" outlineLevel="0" collapsed="false">
      <c r="A142" s="5" t="s">
        <v>54</v>
      </c>
      <c r="B142" s="6" t="s">
        <v>726</v>
      </c>
      <c r="C142" s="5" t="n">
        <v>1.75</v>
      </c>
      <c r="D142" s="8" t="s">
        <v>123</v>
      </c>
      <c r="E142" s="6" t="s">
        <v>575</v>
      </c>
      <c r="F142" s="6" t="s">
        <v>727</v>
      </c>
    </row>
    <row r="143" customFormat="false" ht="91" hidden="false" customHeight="false" outlineLevel="0" collapsed="false">
      <c r="A143" s="5" t="s">
        <v>54</v>
      </c>
      <c r="B143" s="6" t="s">
        <v>652</v>
      </c>
      <c r="C143" s="5" t="n">
        <v>13</v>
      </c>
      <c r="D143" s="8" t="s">
        <v>123</v>
      </c>
      <c r="E143" s="6" t="s">
        <v>654</v>
      </c>
      <c r="F143" s="6" t="s">
        <v>655</v>
      </c>
    </row>
    <row r="144" customFormat="false" ht="102.2" hidden="false" customHeight="false" outlineLevel="0" collapsed="false">
      <c r="A144" s="5" t="s">
        <v>54</v>
      </c>
      <c r="B144" s="6" t="s">
        <v>657</v>
      </c>
      <c r="C144" s="5" t="n">
        <v>2.4</v>
      </c>
      <c r="D144" s="8" t="s">
        <v>123</v>
      </c>
      <c r="E144" s="6" t="s">
        <v>654</v>
      </c>
      <c r="F144" s="6" t="s">
        <v>658</v>
      </c>
    </row>
    <row r="145" customFormat="false" ht="79.85" hidden="false" customHeight="false" outlineLevel="0" collapsed="false">
      <c r="A145" s="5" t="s">
        <v>54</v>
      </c>
      <c r="B145" s="6" t="s">
        <v>594</v>
      </c>
      <c r="C145" s="5" t="n">
        <v>6759930</v>
      </c>
      <c r="D145" s="8" t="s">
        <v>123</v>
      </c>
      <c r="E145" s="6" t="s">
        <v>575</v>
      </c>
      <c r="F145" s="6" t="s">
        <v>596</v>
      </c>
    </row>
    <row r="146" customFormat="false" ht="79.85" hidden="false" customHeight="false" outlineLevel="0" collapsed="false">
      <c r="A146" s="5" t="s">
        <v>54</v>
      </c>
      <c r="B146" s="6" t="s">
        <v>583</v>
      </c>
      <c r="C146" s="5" t="n">
        <v>5</v>
      </c>
      <c r="D146" s="8" t="s">
        <v>123</v>
      </c>
      <c r="E146" s="6" t="s">
        <v>575</v>
      </c>
      <c r="F146" s="6" t="s">
        <v>585</v>
      </c>
    </row>
    <row r="147" customFormat="false" ht="91" hidden="false" customHeight="false" outlineLevel="0" collapsed="false">
      <c r="A147" s="5" t="s">
        <v>54</v>
      </c>
      <c r="B147" s="6" t="s">
        <v>579</v>
      </c>
      <c r="C147" s="5" t="n">
        <v>27.8</v>
      </c>
      <c r="D147" s="8" t="s">
        <v>123</v>
      </c>
      <c r="E147" s="6" t="s">
        <v>575</v>
      </c>
      <c r="F147" s="6" t="s">
        <v>581</v>
      </c>
    </row>
    <row r="148" customFormat="false" ht="91" hidden="false" customHeight="false" outlineLevel="0" collapsed="false">
      <c r="A148" s="5" t="s">
        <v>54</v>
      </c>
      <c r="B148" s="6" t="s">
        <v>590</v>
      </c>
      <c r="C148" s="5" t="n">
        <v>1.84</v>
      </c>
      <c r="D148" s="8" t="s">
        <v>123</v>
      </c>
      <c r="E148" s="6" t="s">
        <v>575</v>
      </c>
      <c r="F148" s="6" t="s">
        <v>592</v>
      </c>
    </row>
    <row r="149" customFormat="false" ht="102.2" hidden="false" customHeight="false" outlineLevel="0" collapsed="false">
      <c r="A149" s="5" t="s">
        <v>54</v>
      </c>
      <c r="B149" s="6" t="s">
        <v>598</v>
      </c>
      <c r="C149" s="5" t="n">
        <v>21.5</v>
      </c>
      <c r="D149" s="8" t="s">
        <v>123</v>
      </c>
      <c r="E149" s="6" t="s">
        <v>575</v>
      </c>
      <c r="F149" s="6" t="s">
        <v>600</v>
      </c>
    </row>
    <row r="150" customFormat="false" ht="79.85" hidden="false" customHeight="false" outlineLevel="0" collapsed="false">
      <c r="A150" s="5" t="s">
        <v>54</v>
      </c>
      <c r="B150" s="6" t="s">
        <v>573</v>
      </c>
      <c r="C150" s="5" t="n">
        <v>18.2</v>
      </c>
      <c r="D150" s="8" t="s">
        <v>123</v>
      </c>
      <c r="E150" s="6" t="s">
        <v>575</v>
      </c>
      <c r="F150" s="6" t="s">
        <v>577</v>
      </c>
    </row>
    <row r="151" customFormat="false" ht="79.85" hidden="false" customHeight="false" outlineLevel="0" collapsed="false">
      <c r="A151" s="5" t="s">
        <v>54</v>
      </c>
      <c r="B151" s="6" t="s">
        <v>587</v>
      </c>
      <c r="C151" s="5" t="n">
        <v>15.1</v>
      </c>
      <c r="D151" s="8" t="s">
        <v>123</v>
      </c>
      <c r="E151" s="6" t="s">
        <v>575</v>
      </c>
      <c r="F151" s="6" t="s">
        <v>588</v>
      </c>
    </row>
    <row r="152" customFormat="false" ht="46.25" hidden="false" customHeight="false" outlineLevel="0" collapsed="false">
      <c r="A152" s="5" t="s">
        <v>54</v>
      </c>
      <c r="B152" s="6" t="s">
        <v>609</v>
      </c>
      <c r="C152" s="5" t="n">
        <v>2124429</v>
      </c>
      <c r="D152" s="7" t="s">
        <v>40</v>
      </c>
      <c r="E152" s="6" t="s">
        <v>945</v>
      </c>
      <c r="F152" s="6" t="s">
        <v>613</v>
      </c>
    </row>
    <row r="153" customFormat="false" ht="57.45" hidden="false" customHeight="false" outlineLevel="0" collapsed="false">
      <c r="A153" s="5" t="s">
        <v>54</v>
      </c>
      <c r="B153" s="6" t="s">
        <v>663</v>
      </c>
      <c r="C153" s="5" t="n">
        <v>30.9</v>
      </c>
      <c r="D153" s="8" t="s">
        <v>123</v>
      </c>
      <c r="E153" s="6" t="s">
        <v>654</v>
      </c>
      <c r="F153" s="6" t="s">
        <v>664</v>
      </c>
    </row>
    <row r="154" customFormat="false" ht="102.2" hidden="false" customHeight="false" outlineLevel="0" collapsed="false">
      <c r="A154" s="5" t="s">
        <v>54</v>
      </c>
      <c r="B154" s="6" t="s">
        <v>660</v>
      </c>
      <c r="C154" s="5" t="n">
        <v>3.85</v>
      </c>
      <c r="D154" s="8" t="s">
        <v>123</v>
      </c>
      <c r="E154" s="6" t="s">
        <v>654</v>
      </c>
      <c r="F154" s="6" t="s">
        <v>661</v>
      </c>
    </row>
    <row r="155" customFormat="false" ht="23.85" hidden="false" customHeight="false" outlineLevel="0" collapsed="false">
      <c r="A155" s="5" t="s">
        <v>54</v>
      </c>
      <c r="B155" s="6" t="s">
        <v>169</v>
      </c>
      <c r="C155" s="5" t="n">
        <v>62</v>
      </c>
      <c r="D155" s="8" t="s">
        <v>123</v>
      </c>
      <c r="E155" s="6" t="s">
        <v>163</v>
      </c>
      <c r="F155" s="6" t="s">
        <v>170</v>
      </c>
    </row>
    <row r="156" customFormat="false" ht="23.85" hidden="false" customHeight="false" outlineLevel="0" collapsed="false">
      <c r="A156" s="5" t="s">
        <v>54</v>
      </c>
      <c r="B156" s="6" t="s">
        <v>166</v>
      </c>
      <c r="C156" s="5" t="n">
        <v>90</v>
      </c>
      <c r="D156" s="8" t="s">
        <v>123</v>
      </c>
      <c r="E156" s="6" t="s">
        <v>163</v>
      </c>
      <c r="F156" s="6" t="s">
        <v>167</v>
      </c>
    </row>
    <row r="157" customFormat="false" ht="15" hidden="false" customHeight="false" outlineLevel="0" collapsed="false">
      <c r="A157" s="5" t="s">
        <v>54</v>
      </c>
      <c r="B157" s="6" t="s">
        <v>172</v>
      </c>
      <c r="C157" s="5" t="n">
        <v>68</v>
      </c>
      <c r="D157" s="8" t="s">
        <v>123</v>
      </c>
      <c r="E157" s="6" t="s">
        <v>163</v>
      </c>
      <c r="F157" s="6" t="s">
        <v>173</v>
      </c>
    </row>
    <row r="158" customFormat="false" ht="46.25" hidden="false" customHeight="false" outlineLevel="0" collapsed="false">
      <c r="A158" s="5" t="s">
        <v>54</v>
      </c>
      <c r="B158" s="6" t="s">
        <v>97</v>
      </c>
      <c r="C158" s="5"/>
      <c r="D158" s="7" t="s">
        <v>40</v>
      </c>
      <c r="E158" s="6" t="s">
        <v>946</v>
      </c>
      <c r="F158" s="6" t="s">
        <v>99</v>
      </c>
    </row>
    <row r="159" customFormat="false" ht="23.85" hidden="false" customHeight="false" outlineLevel="0" collapsed="false">
      <c r="A159" s="5" t="s">
        <v>54</v>
      </c>
      <c r="B159" s="6" t="s">
        <v>253</v>
      </c>
      <c r="C159" s="5" t="n">
        <v>2.7</v>
      </c>
      <c r="D159" s="8" t="s">
        <v>123</v>
      </c>
      <c r="E159" s="6" t="s">
        <v>254</v>
      </c>
      <c r="F159" s="6" t="s">
        <v>255</v>
      </c>
    </row>
    <row r="160" customFormat="false" ht="46.25" hidden="false" customHeight="false" outlineLevel="0" collapsed="false">
      <c r="A160" s="5" t="s">
        <v>54</v>
      </c>
      <c r="B160" s="6" t="s">
        <v>296</v>
      </c>
      <c r="C160" s="5" t="n">
        <v>68</v>
      </c>
      <c r="D160" s="8" t="s">
        <v>123</v>
      </c>
      <c r="E160" s="6" t="s">
        <v>297</v>
      </c>
      <c r="F160" s="6" t="s">
        <v>298</v>
      </c>
    </row>
    <row r="161" customFormat="false" ht="68.65" hidden="false" customHeight="false" outlineLevel="0" collapsed="false">
      <c r="A161" s="5" t="s">
        <v>54</v>
      </c>
      <c r="B161" s="6" t="s">
        <v>642</v>
      </c>
      <c r="C161" s="5" t="n">
        <v>8.64</v>
      </c>
      <c r="D161" s="8" t="s">
        <v>123</v>
      </c>
      <c r="E161" s="6" t="s">
        <v>643</v>
      </c>
      <c r="F161" s="6" t="s">
        <v>644</v>
      </c>
    </row>
    <row r="162" customFormat="false" ht="68.65" hidden="false" customHeight="false" outlineLevel="0" collapsed="false">
      <c r="A162" s="5" t="s">
        <v>54</v>
      </c>
      <c r="B162" s="6" t="s">
        <v>717</v>
      </c>
      <c r="C162" s="5" t="n">
        <v>-0.14</v>
      </c>
      <c r="D162" s="8" t="s">
        <v>123</v>
      </c>
      <c r="E162" s="6" t="s">
        <v>643</v>
      </c>
      <c r="F162" s="6" t="s">
        <v>718</v>
      </c>
    </row>
    <row r="163" customFormat="false" ht="68.65" hidden="false" customHeight="false" outlineLevel="0" collapsed="false">
      <c r="A163" s="5" t="s">
        <v>54</v>
      </c>
      <c r="B163" s="6" t="s">
        <v>649</v>
      </c>
      <c r="C163" s="5" t="n">
        <v>6.83</v>
      </c>
      <c r="D163" s="8" t="s">
        <v>123</v>
      </c>
      <c r="E163" s="6" t="s">
        <v>643</v>
      </c>
      <c r="F163" s="6" t="s">
        <v>650</v>
      </c>
    </row>
    <row r="164" customFormat="false" ht="79.85" hidden="false" customHeight="false" outlineLevel="0" collapsed="false">
      <c r="A164" s="5" t="s">
        <v>54</v>
      </c>
      <c r="B164" s="6" t="s">
        <v>646</v>
      </c>
      <c r="C164" s="5" t="n">
        <v>8.85</v>
      </c>
      <c r="D164" s="8" t="s">
        <v>123</v>
      </c>
      <c r="E164" s="6" t="s">
        <v>643</v>
      </c>
      <c r="F164" s="6" t="s">
        <v>647</v>
      </c>
    </row>
    <row r="165" customFormat="false" ht="46.25" hidden="false" customHeight="false" outlineLevel="0" collapsed="false">
      <c r="A165" s="5" t="s">
        <v>475</v>
      </c>
      <c r="B165" s="6" t="s">
        <v>499</v>
      </c>
      <c r="C165" s="5" t="n">
        <v>70</v>
      </c>
      <c r="D165" s="10" t="s">
        <v>472</v>
      </c>
      <c r="E165" s="6" t="s">
        <v>473</v>
      </c>
      <c r="F165" s="6" t="s">
        <v>500</v>
      </c>
    </row>
    <row r="166" customFormat="false" ht="35.05" hidden="false" customHeight="false" outlineLevel="0" collapsed="false">
      <c r="A166" s="5" t="s">
        <v>475</v>
      </c>
      <c r="B166" s="6" t="s">
        <v>502</v>
      </c>
      <c r="C166" s="5" t="n">
        <v>80</v>
      </c>
      <c r="D166" s="10" t="s">
        <v>472</v>
      </c>
      <c r="E166" s="6" t="s">
        <v>473</v>
      </c>
      <c r="F166" s="6" t="s">
        <v>504</v>
      </c>
    </row>
    <row r="167" customFormat="false" ht="35.05" hidden="false" customHeight="false" outlineLevel="0" collapsed="false">
      <c r="A167" s="5" t="s">
        <v>475</v>
      </c>
      <c r="B167" s="6" t="s">
        <v>477</v>
      </c>
      <c r="C167" s="5" t="n">
        <v>95</v>
      </c>
      <c r="D167" s="10" t="s">
        <v>472</v>
      </c>
      <c r="E167" s="6" t="s">
        <v>473</v>
      </c>
      <c r="F167" s="6" t="s">
        <v>478</v>
      </c>
    </row>
    <row r="168" customFormat="false" ht="68.65" hidden="false" customHeight="false" outlineLevel="0" collapsed="false">
      <c r="A168" s="5" t="s">
        <v>475</v>
      </c>
      <c r="B168" s="6" t="s">
        <v>480</v>
      </c>
      <c r="C168" s="5" t="n">
        <v>90</v>
      </c>
      <c r="D168" s="10" t="s">
        <v>472</v>
      </c>
      <c r="E168" s="6" t="s">
        <v>473</v>
      </c>
      <c r="F168" s="6" t="s">
        <v>481</v>
      </c>
    </row>
    <row r="169" customFormat="false" ht="68.65" hidden="false" customHeight="false" outlineLevel="0" collapsed="false">
      <c r="A169" s="5" t="s">
        <v>475</v>
      </c>
      <c r="B169" s="6" t="s">
        <v>483</v>
      </c>
      <c r="C169" s="5" t="n">
        <v>70</v>
      </c>
      <c r="D169" s="10" t="s">
        <v>472</v>
      </c>
      <c r="E169" s="6" t="s">
        <v>473</v>
      </c>
      <c r="F169" s="6" t="s">
        <v>484</v>
      </c>
    </row>
    <row r="170" customFormat="false" ht="35.05" hidden="false" customHeight="false" outlineLevel="0" collapsed="false">
      <c r="A170" s="5" t="s">
        <v>475</v>
      </c>
      <c r="B170" s="6" t="s">
        <v>486</v>
      </c>
      <c r="C170" s="5" t="n">
        <v>0.5</v>
      </c>
      <c r="D170" s="10" t="s">
        <v>472</v>
      </c>
      <c r="E170" s="6" t="s">
        <v>473</v>
      </c>
      <c r="F170" s="6" t="s">
        <v>488</v>
      </c>
    </row>
    <row r="171" customFormat="false" ht="46.25" hidden="false" customHeight="false" outlineLevel="0" collapsed="false">
      <c r="A171" s="5" t="s">
        <v>475</v>
      </c>
      <c r="B171" s="6" t="s">
        <v>496</v>
      </c>
      <c r="C171" s="5" t="n">
        <v>15</v>
      </c>
      <c r="D171" s="10" t="s">
        <v>472</v>
      </c>
      <c r="E171" s="6" t="s">
        <v>473</v>
      </c>
      <c r="F171" s="6" t="s">
        <v>497</v>
      </c>
    </row>
    <row r="172" customFormat="false" ht="46.25" hidden="false" customHeight="false" outlineLevel="0" collapsed="false">
      <c r="A172" s="5" t="s">
        <v>475</v>
      </c>
      <c r="B172" s="6" t="s">
        <v>490</v>
      </c>
      <c r="C172" s="5" t="n">
        <v>2</v>
      </c>
      <c r="D172" s="10" t="s">
        <v>472</v>
      </c>
      <c r="E172" s="6" t="s">
        <v>473</v>
      </c>
      <c r="F172" s="6" t="s">
        <v>491</v>
      </c>
    </row>
    <row r="173" customFormat="false" ht="35.05" hidden="false" customHeight="false" outlineLevel="0" collapsed="false">
      <c r="A173" s="5" t="s">
        <v>475</v>
      </c>
      <c r="B173" s="6" t="s">
        <v>493</v>
      </c>
      <c r="C173" s="5" t="n">
        <v>95</v>
      </c>
      <c r="D173" s="10" t="s">
        <v>472</v>
      </c>
      <c r="E173" s="6" t="s">
        <v>473</v>
      </c>
      <c r="F173" s="6" t="s">
        <v>494</v>
      </c>
    </row>
    <row r="174" customFormat="false" ht="46.25" hidden="false" customHeight="false" outlineLevel="0" collapsed="false">
      <c r="A174" s="5" t="s">
        <v>475</v>
      </c>
      <c r="B174" s="6" t="s">
        <v>470</v>
      </c>
      <c r="C174" s="5" t="n">
        <v>95</v>
      </c>
      <c r="D174" s="10" t="s">
        <v>472</v>
      </c>
      <c r="E174" s="6" t="s">
        <v>473</v>
      </c>
      <c r="F174" s="6" t="s">
        <v>474</v>
      </c>
    </row>
    <row r="175" customFormat="false" ht="23.85" hidden="false" customHeight="false" outlineLevel="0" collapsed="false">
      <c r="A175" s="5" t="s">
        <v>462</v>
      </c>
      <c r="B175" s="6" t="s">
        <v>467</v>
      </c>
      <c r="C175" s="5" t="n">
        <v>3</v>
      </c>
      <c r="D175" s="9" t="s">
        <v>305</v>
      </c>
      <c r="E175" s="6" t="s">
        <v>460</v>
      </c>
      <c r="F175" s="6" t="s">
        <v>468</v>
      </c>
    </row>
    <row r="176" customFormat="false" ht="35.05" hidden="false" customHeight="false" outlineLevel="0" collapsed="false">
      <c r="A176" s="5" t="s">
        <v>462</v>
      </c>
      <c r="B176" s="6" t="s">
        <v>459</v>
      </c>
      <c r="C176" s="5" t="n">
        <v>13</v>
      </c>
      <c r="D176" s="9" t="s">
        <v>305</v>
      </c>
      <c r="E176" s="6" t="s">
        <v>460</v>
      </c>
      <c r="F176" s="6" t="s">
        <v>461</v>
      </c>
    </row>
    <row r="177" customFormat="false" ht="23.85" hidden="false" customHeight="false" outlineLevel="0" collapsed="false">
      <c r="A177" s="5" t="s">
        <v>462</v>
      </c>
      <c r="B177" s="6" t="s">
        <v>464</v>
      </c>
      <c r="C177" s="5" t="n">
        <v>4</v>
      </c>
      <c r="D177" s="9" t="s">
        <v>305</v>
      </c>
      <c r="E177" s="6" t="s">
        <v>460</v>
      </c>
      <c r="F177" s="6" t="s">
        <v>465</v>
      </c>
    </row>
    <row r="178" customFormat="false" ht="35.05" hidden="false" customHeight="false" outlineLevel="0" collapsed="false">
      <c r="A178" s="5" t="s">
        <v>462</v>
      </c>
      <c r="B178" s="6" t="s">
        <v>526</v>
      </c>
      <c r="C178" s="5" t="n">
        <v>5</v>
      </c>
      <c r="D178" s="10" t="s">
        <v>472</v>
      </c>
      <c r="E178" s="6" t="s">
        <v>473</v>
      </c>
      <c r="F178" s="6" t="s">
        <v>527</v>
      </c>
    </row>
    <row r="179" customFormat="false" ht="23.85" hidden="false" customHeight="false" outlineLevel="0" collapsed="false">
      <c r="A179" s="5" t="s">
        <v>462</v>
      </c>
      <c r="B179" s="6" t="s">
        <v>529</v>
      </c>
      <c r="C179" s="5" t="n">
        <v>6</v>
      </c>
      <c r="D179" s="10" t="s">
        <v>472</v>
      </c>
      <c r="E179" s="6" t="s">
        <v>473</v>
      </c>
      <c r="F179" s="6" t="s">
        <v>530</v>
      </c>
    </row>
    <row r="180" customFormat="false" ht="23.85" hidden="false" customHeight="false" outlineLevel="0" collapsed="false">
      <c r="A180" s="5" t="s">
        <v>462</v>
      </c>
      <c r="B180" s="6" t="s">
        <v>532</v>
      </c>
      <c r="C180" s="5" t="n">
        <v>5</v>
      </c>
      <c r="D180" s="10" t="s">
        <v>472</v>
      </c>
      <c r="E180" s="6" t="s">
        <v>473</v>
      </c>
      <c r="F180" s="6" t="s">
        <v>533</v>
      </c>
    </row>
    <row r="181" customFormat="false" ht="23.85" hidden="false" customHeight="false" outlineLevel="0" collapsed="false">
      <c r="A181" s="5" t="s">
        <v>462</v>
      </c>
      <c r="B181" s="6" t="s">
        <v>535</v>
      </c>
      <c r="C181" s="5" t="n">
        <v>4</v>
      </c>
      <c r="D181" s="10" t="s">
        <v>472</v>
      </c>
      <c r="E181" s="6" t="s">
        <v>473</v>
      </c>
      <c r="F181" s="6" t="s">
        <v>536</v>
      </c>
    </row>
    <row r="182" customFormat="false" ht="35.05" hidden="false" customHeight="false" outlineLevel="0" collapsed="false">
      <c r="A182" s="5" t="s">
        <v>509</v>
      </c>
      <c r="B182" s="6" t="s">
        <v>506</v>
      </c>
      <c r="C182" s="5" t="n">
        <v>10</v>
      </c>
      <c r="D182" s="10" t="s">
        <v>472</v>
      </c>
      <c r="E182" s="6" t="s">
        <v>473</v>
      </c>
      <c r="F182" s="6" t="s">
        <v>508</v>
      </c>
    </row>
    <row r="183" customFormat="false" ht="46.25" hidden="false" customHeight="false" outlineLevel="0" collapsed="false">
      <c r="A183" s="5" t="s">
        <v>509</v>
      </c>
      <c r="B183" s="6" t="s">
        <v>511</v>
      </c>
      <c r="C183" s="5" t="n">
        <v>5</v>
      </c>
      <c r="D183" s="10" t="s">
        <v>472</v>
      </c>
      <c r="E183" s="6" t="s">
        <v>473</v>
      </c>
      <c r="F183" s="6" t="s">
        <v>513</v>
      </c>
    </row>
    <row r="184" customFormat="false" ht="46.25" hidden="false" customHeight="false" outlineLevel="0" collapsed="false">
      <c r="A184" s="5" t="s">
        <v>509</v>
      </c>
      <c r="B184" s="6" t="s">
        <v>518</v>
      </c>
      <c r="C184" s="5" t="n">
        <v>3</v>
      </c>
      <c r="D184" s="10" t="s">
        <v>472</v>
      </c>
      <c r="E184" s="6" t="s">
        <v>473</v>
      </c>
      <c r="F184" s="6" t="s">
        <v>519</v>
      </c>
    </row>
    <row r="185" customFormat="false" ht="46.25" hidden="false" customHeight="false" outlineLevel="0" collapsed="false">
      <c r="A185" s="5" t="s">
        <v>509</v>
      </c>
      <c r="B185" s="6" t="s">
        <v>515</v>
      </c>
      <c r="C185" s="5" t="n">
        <v>1.5</v>
      </c>
      <c r="D185" s="10" t="s">
        <v>472</v>
      </c>
      <c r="E185" s="6" t="s">
        <v>473</v>
      </c>
      <c r="F185" s="6" t="s">
        <v>516</v>
      </c>
    </row>
    <row r="186" customFormat="false" ht="46.25" hidden="false" customHeight="false" outlineLevel="0" collapsed="false">
      <c r="A186" s="5" t="s">
        <v>407</v>
      </c>
      <c r="B186" s="6" t="s">
        <v>405</v>
      </c>
      <c r="C186" s="5" t="n">
        <v>11969</v>
      </c>
      <c r="D186" s="8" t="s">
        <v>123</v>
      </c>
      <c r="E186" s="6" t="s">
        <v>268</v>
      </c>
      <c r="F186" s="6" t="s">
        <v>406</v>
      </c>
    </row>
    <row r="187" customFormat="false" ht="68.65" hidden="false" customHeight="false" outlineLevel="0" collapsed="false">
      <c r="A187" s="5" t="s">
        <v>407</v>
      </c>
      <c r="B187" s="6" t="s">
        <v>441</v>
      </c>
      <c r="C187" s="5" t="n">
        <v>-66</v>
      </c>
      <c r="D187" s="9" t="s">
        <v>305</v>
      </c>
      <c r="E187" s="6" t="s">
        <v>947</v>
      </c>
      <c r="F187" s="6" t="s">
        <v>443</v>
      </c>
    </row>
    <row r="188" customFormat="false" ht="79.85" hidden="false" customHeight="false" outlineLevel="0" collapsed="false">
      <c r="A188" s="5" t="s">
        <v>407</v>
      </c>
      <c r="B188" s="6" t="s">
        <v>436</v>
      </c>
      <c r="C188" s="5" t="n">
        <v>450</v>
      </c>
      <c r="D188" s="9" t="s">
        <v>305</v>
      </c>
      <c r="E188" s="6" t="s">
        <v>948</v>
      </c>
      <c r="F188" s="6" t="s">
        <v>439</v>
      </c>
    </row>
    <row r="189" customFormat="false" ht="57.45" hidden="false" customHeight="false" outlineLevel="0" collapsed="false">
      <c r="A189" s="5" t="s">
        <v>407</v>
      </c>
      <c r="B189" s="6" t="s">
        <v>427</v>
      </c>
      <c r="C189" s="5" t="n">
        <v>8</v>
      </c>
      <c r="D189" s="9" t="s">
        <v>305</v>
      </c>
      <c r="E189" s="6" t="s">
        <v>428</v>
      </c>
      <c r="F189" s="6" t="s">
        <v>429</v>
      </c>
    </row>
    <row r="190" customFormat="false" ht="79.85" hidden="false" customHeight="false" outlineLevel="0" collapsed="false">
      <c r="A190" s="5" t="s">
        <v>407</v>
      </c>
      <c r="B190" s="6" t="s">
        <v>450</v>
      </c>
      <c r="C190" s="5" t="n">
        <v>-500</v>
      </c>
      <c r="D190" s="9" t="s">
        <v>305</v>
      </c>
      <c r="E190" s="6" t="s">
        <v>949</v>
      </c>
      <c r="F190" s="6" t="s">
        <v>453</v>
      </c>
    </row>
    <row r="191" customFormat="false" ht="79.85" hidden="false" customHeight="false" outlineLevel="0" collapsed="false">
      <c r="A191" s="5" t="s">
        <v>407</v>
      </c>
      <c r="B191" s="6" t="s">
        <v>455</v>
      </c>
      <c r="C191" s="5" t="n">
        <v>300</v>
      </c>
      <c r="D191" s="9" t="s">
        <v>305</v>
      </c>
      <c r="E191" s="6" t="s">
        <v>950</v>
      </c>
      <c r="F191" s="6" t="s">
        <v>457</v>
      </c>
    </row>
    <row r="192" customFormat="false" ht="79.85" hidden="false" customHeight="false" outlineLevel="0" collapsed="false">
      <c r="A192" s="5" t="s">
        <v>407</v>
      </c>
      <c r="B192" s="6" t="s">
        <v>422</v>
      </c>
      <c r="C192" s="5" t="n">
        <v>10</v>
      </c>
      <c r="D192" s="9" t="s">
        <v>305</v>
      </c>
      <c r="E192" s="6" t="s">
        <v>951</v>
      </c>
      <c r="F192" s="6" t="s">
        <v>425</v>
      </c>
    </row>
    <row r="193" customFormat="false" ht="79.85" hidden="false" customHeight="false" outlineLevel="0" collapsed="false">
      <c r="A193" s="5" t="s">
        <v>407</v>
      </c>
      <c r="B193" s="6" t="s">
        <v>445</v>
      </c>
      <c r="C193" s="5" t="n">
        <v>400</v>
      </c>
      <c r="D193" s="9" t="s">
        <v>305</v>
      </c>
      <c r="E193" s="6" t="s">
        <v>952</v>
      </c>
      <c r="F193" s="6" t="s">
        <v>448</v>
      </c>
    </row>
    <row r="194" customFormat="false" ht="91" hidden="false" customHeight="false" outlineLevel="0" collapsed="false">
      <c r="A194" s="5" t="s">
        <v>407</v>
      </c>
      <c r="B194" s="6" t="s">
        <v>431</v>
      </c>
      <c r="C194" s="5" t="n">
        <v>2.5</v>
      </c>
      <c r="D194" s="9" t="s">
        <v>305</v>
      </c>
      <c r="E194" s="6" t="s">
        <v>953</v>
      </c>
      <c r="F194" s="6" t="s">
        <v>434</v>
      </c>
    </row>
    <row r="195" customFormat="false" ht="46.25" hidden="false" customHeight="false" outlineLevel="0" collapsed="false">
      <c r="A195" s="5" t="s">
        <v>524</v>
      </c>
      <c r="B195" s="6" t="s">
        <v>521</v>
      </c>
      <c r="C195" s="5" t="n">
        <v>5</v>
      </c>
      <c r="D195" s="10" t="s">
        <v>472</v>
      </c>
      <c r="E195" s="6" t="s">
        <v>522</v>
      </c>
      <c r="F195" s="6" t="s">
        <v>523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2026-09-20T22:18:30Z</dcterms:created>
  <dc:creator>openpyxl</dc:creator>
  <dc:description/>
  <dc:language>en-IN</dc:language>
  <cp:lastModifiedBy/>
  <dcterms:modified xsi:type="dcterms:W3CDTF">2026-09-20T22:18:30Z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