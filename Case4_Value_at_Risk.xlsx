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Assumptions" sheetId="2" state="visible" r:id="rId4"/>
    <sheet name="Summary" sheetId="3" state="visible" r:id="rId5"/>
    <sheet name="Leak 1 - Incentives" sheetId="4" state="visible" r:id="rId6"/>
    <sheet name="Leak 2 - Upgrade timing" sheetId="5" state="visible" r:id="rId7"/>
    <sheet name="Leak 3 - Residual value" sheetId="6" state="visible" r:id="rId8"/>
    <sheet name="Per car" sheetId="7" state="visible" r:id="rId9"/>
    <sheet name="Internal prices" sheetId="8" state="visible" r:id="rId10"/>
    <sheet name="Data reach" sheetId="9" state="visible" r:id="rId11"/>
    <sheet name="Benefits" sheetId="10" state="visible" r:id="rId12"/>
    <sheet name="Prior discounting" sheetId="11" state="visible" r:id="rId13"/>
    <sheet name="Programme cost" sheetId="12" state="visible" r:id="rId14"/>
    <sheet name="Work list" sheetId="13" state="visible" r:id="rId15"/>
    <sheet name="Provenance" sheetId="14" state="visible" r:id="rId16"/>
  </sheets>
  <definedNames>
    <definedName function="false" hidden="false" name="afca_peugeot_fine_eur_m" vbProcedure="false">Assumptions!$C$90</definedName>
    <definedName function="false" hidden="false" name="agpi_change_2022" vbProcedure="false">Assumptions!$C$590</definedName>
    <definedName function="false" hidden="false" name="agpi_change_2023" vbProcedure="false">Assumptions!$C$592</definedName>
    <definedName function="false" hidden="false" name="agpi_change_2024" vbProcedure="false">Assumptions!$C$595</definedName>
    <definedName function="false" hidden="false" name="agpi_mean_2023" vbProcedure="false">Assumptions!$C$591</definedName>
    <definedName function="false" hidden="false" name="agpi_mean_2024" vbProcedure="false">Assumptions!$C$594</definedName>
    <definedName function="false" hidden="false" name="agpi_nov_2024" vbProcedure="false">Assumptions!$C$596</definedName>
    <definedName function="false" hidden="false" name="agpi_nov_2025" vbProcedure="false">Assumptions!$C$597</definedName>
    <definedName function="false" hidden="false" name="agpi_peak_2023_03" vbProcedure="false">Assumptions!$C$593</definedName>
    <definedName function="false" hidden="false" name="ai_cui_tasks_pct" vbProcedure="false">Assumptions!$C$844</definedName>
    <definedName function="false" hidden="false" name="ai_cui_tasks_se_pct" vbProcedure="false">Assumptions!$C$845</definedName>
    <definedName function="false" hidden="false" name="ai_dora24_stability_pct" vbProcedure="false">Assumptions!$C$850</definedName>
    <definedName function="false" hidden="false" name="ai_dora24_throughput_pct" vbProcedure="false">Assumptions!$C$849</definedName>
    <definedName function="false" hidden="false" name="ai_metr25_time_pct" vbProcedure="false">Assumptions!$C$846</definedName>
    <definedName function="false" hidden="false" name="ai_metr26_new_pct" vbProcedure="false">Assumptions!$C$848</definedName>
    <definedName function="false" hidden="false" name="ai_metr26_returning_pct" vbProcedure="false">Assumptions!$C$847</definedName>
    <definedName function="false" hidden="false" name="ai_peng_faster_pct" vbProcedure="false">Assumptions!$C$843</definedName>
    <definedName function="false" hidden="false" name="ai_timewarp_coding_pct" vbProcedure="false">Assumptions!$C$851</definedName>
    <definedName function="false" hidden="false" name="ai_timewarp_debugging_pct" vbProcedure="false">Assumptions!$C$852</definedName>
    <definedName function="false" hidden="false" name="ai_timewarp_review_pct" vbProcedure="false">Assumptions!$C$853</definedName>
    <definedName function="false" hidden="false" name="ald_car_cost_2018" vbProcedure="false">Assumptions!$C$408</definedName>
    <definedName function="false" hidden="false" name="ald_car_cost_2019" vbProcedure="false">Assumptions!$C$412</definedName>
    <definedName function="false" hidden="false" name="ald_car_cost_2020" vbProcedure="false">Assumptions!$C$416</definedName>
    <definedName function="false" hidden="false" name="ald_car_cost_2021" vbProcedure="false">Assumptions!$C$419</definedName>
    <definedName function="false" hidden="false" name="ald_car_cost_2022" vbProcedure="false">Assumptions!$C$423</definedName>
    <definedName function="false" hidden="false" name="ald_car_proceeds_2018" vbProcedure="false">Assumptions!$C$407</definedName>
    <definedName function="false" hidden="false" name="ald_car_proceeds_2019" vbProcedure="false">Assumptions!$C$411</definedName>
    <definedName function="false" hidden="false" name="ald_car_proceeds_2020" vbProcedure="false">Assumptions!$C$415</definedName>
    <definedName function="false" hidden="false" name="ald_car_proceeds_2021" vbProcedure="false">Assumptions!$C$418</definedName>
    <definedName function="false" hidden="false" name="ald_car_proceeds_2022" vbProcedure="false">Assumptions!$C$422</definedName>
    <definedName function="false" hidden="false" name="ald_ucs_per_unit_2018" vbProcedure="false">Assumptions!$C$409</definedName>
    <definedName function="false" hidden="false" name="ald_ucs_per_unit_2019" vbProcedure="false">Assumptions!$C$413</definedName>
    <definedName function="false" hidden="false" name="ald_ucs_per_unit_2020" vbProcedure="false">Assumptions!$C$417</definedName>
    <definedName function="false" hidden="false" name="ald_ucs_per_unit_2021" vbProcedure="false">Assumptions!$C$420</definedName>
    <definedName function="false" hidden="false" name="ald_ucs_per_unit_2022" vbProcedure="false">Assumptions!$C$424</definedName>
    <definedName function="false" hidden="false" name="ald_ucs_per_unit_ex_depr_2022" vbProcedure="false">Assumptions!$C$438</definedName>
    <definedName function="false" hidden="false" name="ald_used_cars_sold_k_2018" vbProcedure="false">Assumptions!$C$410</definedName>
    <definedName function="false" hidden="false" name="ald_used_cars_sold_k_2019" vbProcedure="false">Assumptions!$C$414</definedName>
    <definedName function="false" hidden="false" name="ald_used_cars_sold_k_2021" vbProcedure="false">Assumptions!$C$421</definedName>
    <definedName function="false" hidden="false" name="ald_used_cars_sold_k_2022" vbProcedure="false">Assumptions!$C$425</definedName>
    <definedName function="false" hidden="false" name="aramis_fy25_adj_ebitda_eur_m" vbProcedure="false">Assumptions!$C$661</definedName>
    <definedName function="false" hidden="false" name="aramis_fy25_b2b_revenue_eur_m" vbProcedure="false">Assumptions!$C$814</definedName>
    <definedName function="false" hidden="false" name="aramis_fy25_b2c_revenue_eur_m" vbProcedure="false">Assumptions!$C$657</definedName>
    <definedName function="false" hidden="false" name="aramis_fy25_b2c_units" vbProcedure="false">Assumptions!$C$656</definedName>
    <definedName function="false" hidden="false" name="aramis_fy25_gpu_eur" vbProcedure="false">Assumptions!$C$660</definedName>
    <definedName function="false" hidden="false" name="aramis_fy25_gross_before_refurb_eur_m" vbProcedure="false">Assumptions!$C$658</definedName>
    <definedName function="false" hidden="false" name="aramis_fy25_revenue_eur_m" vbProcedure="false">Assumptions!$C$812</definedName>
    <definedName function="false" hidden="false" name="aramis_fy25_services_revenue_eur_m" vbProcedure="false">Assumptions!$C$813</definedName>
    <definedName function="false" hidden="false" name="aramis_fy25_transport_refurb_eur_m" vbProcedure="false">Assumptions!$C$659</definedName>
    <definedName function="false" hidden="false" name="aubry_ml_r2_pct" vbProcedure="false">Assumptions!$C$652</definedName>
    <definedName function="false" hidden="false" name="auction_vs_sale" vbProcedure="false">Assumptions!$C$83</definedName>
    <definedName function="false" hidden="false" name="auto1_merchant_gpu_q1_2026_eur" vbProcedure="false">Assumptions!$C$823</definedName>
    <definedName function="false" hidden="false" name="autoscout24_fr_avg_price_2021_pct" vbProcedure="false">Assumptions!$C$439</definedName>
    <definedName function="false" hidden="false" name="autotrader_days_to_sell_2025" vbProcedure="false">Assumptions!$C$681</definedName>
    <definedName function="false" hidden="false" name="ayvens_car_cost_2023" vbProcedure="false">Assumptions!$C$427</definedName>
    <definedName function="false" hidden="false" name="ayvens_car_cost_2024" vbProcedure="false">Assumptions!$C$431</definedName>
    <definedName function="false" hidden="false" name="ayvens_car_cost_2025" vbProcedure="false">Assumptions!$C$435</definedName>
    <definedName function="false" hidden="false" name="ayvens_car_proceeds_2023" vbProcedure="false">Assumptions!$C$426</definedName>
    <definedName function="false" hidden="false" name="ayvens_car_proceeds_2024" vbProcedure="false">Assumptions!$C$430</definedName>
    <definedName function="false" hidden="false" name="ayvens_car_proceeds_2025" vbProcedure="false">Assumptions!$C$434</definedName>
    <definedName function="false" hidden="false" name="ayvens_costs_to_achieve_eur_m" vbProcedure="false">Assumptions!$C$102</definedName>
    <definedName function="false" hidden="false" name="ayvens_remarketing_vehicles_k" vbProcedure="false">Assumptions!$C$105</definedName>
    <definedName function="false" hidden="false" name="ayvens_synergies_2024_eur_m" vbProcedure="false">Assumptions!$C$104</definedName>
    <definedName function="false" hidden="false" name="ayvens_synergies_runrate_eur_m" vbProcedure="false">Assumptions!$C$103</definedName>
    <definedName function="false" hidden="false" name="ayvens_ucs_per_unit_2023" vbProcedure="false">Assumptions!$C$428</definedName>
    <definedName function="false" hidden="false" name="ayvens_ucs_per_unit_2024" vbProcedure="false">Assumptions!$C$432</definedName>
    <definedName function="false" hidden="false" name="ayvens_ucs_per_unit_2025" vbProcedure="false">Assumptions!$C$436</definedName>
    <definedName function="false" hidden="false" name="ayvens_used_cars_sold_k_2023" vbProcedure="false">Assumptions!$C$429</definedName>
    <definedName function="false" hidden="false" name="ayvens_used_cars_sold_k_2024" vbProcedure="false">Assumptions!$C$433</definedName>
    <definedName function="false" hidden="false" name="ayvens_used_cars_sold_k_2025" vbProcedure="false">Assumptions!$C$437</definedName>
    <definedName function="false" hidden="false" name="backtest_gap_latvia" vbProcedure="false">Assumptions!$C$81</definedName>
    <definedName function="false" hidden="false" name="bailey_woa_pooled" vbProcedure="false">Assumptions!$C$645</definedName>
    <definedName function="false" hidden="false" name="battreg_passport_from" vbProcedure="false">Assumptions!$C$23</definedName>
    <definedName function="false" hidden="false" name="battreg_soh_access_from" vbProcedure="false">Assumptions!$C$22</definedName>
    <definedName function="false" hidden="false" name="bcbs_irb_confidence_pct" vbProcedure="false">Assumptions!$C$689</definedName>
    <definedName function="false" hidden="false" name="bft_naw_error_high" vbProcedure="false">Assumptions!$C$642</definedName>
    <definedName function="false" hidden="false" name="bft_naw_error_low" vbProcedure="false">Assumptions!$C$641</definedName>
    <definedName function="false" hidden="false" name="bft_private_only_error_cut" vbProcedure="false">Assumptions!$C$644</definedName>
    <definedName function="false" hidden="false" name="bft_transparency_error_cut" vbProcedure="false">Assumptions!$C$643</definedName>
    <definedName function="false" hidden="false" name="bf_public_datamgmt_outlier_pct" vbProcedure="false">Assumptions!$C$746</definedName>
    <definedName function="false" hidden="false" name="bf_public_it_outlier_pct" vbProcedure="false">Assumptions!$C$745</definedName>
    <definedName function="false" hidden="false" name="bpf_penetration_2021" vbProcedure="false">Assumptions!$C$120</definedName>
    <definedName function="false" hidden="false" name="buyback_assets_2024_eur_m" vbProcedure="false">Assumptions!$C$397</definedName>
    <definedName function="false" hidden="false" name="buyback_assets_eur_m" vbProcedure="false">Assumptions!$C$13</definedName>
    <definedName function="false" hidden="false" name="buyback_payables_current_eur_m" vbProcedure="false">Assumptions!$C$8</definedName>
    <definedName function="false" hidden="false" name="buyback_payables_eur_m" vbProcedure="false">Assumptions!$C$7</definedName>
    <definedName function="false" hidden="false" name="buyback_payables_noncurrent_eur_m" vbProcedure="false">Assumptions!$C$161</definedName>
    <definedName function="false" hidden="false" name="buyback_value_decrease_2023_eur_m" vbProcedure="false">Assumptions!$C$12</definedName>
    <definedName function="false" hidden="false" name="buyback_value_decrease_2024_eur_m" vbProcedure="false">Assumptions!$C$11</definedName>
    <definedName function="false" hidden="false" name="buyback_value_decrease_2025_eur_m" vbProcedure="false">Assumptions!$C$10</definedName>
    <definedName function="false" hidden="false" name="caphpi_accuracy_target_pct" vbProcedure="false">Assumptions!$C$467</definedName>
    <definedName function="false" hidden="false" name="ccd2_early_repayment_cap_last_year_pct" vbProcedure="false">Assumptions!$C$707</definedName>
    <definedName function="false" hidden="false" name="ccd2_early_repayment_cap_pct" vbProcedure="false">Assumptions!$C$706</definedName>
    <definedName function="false" hidden="false" name="claude_haiku45_in_usd_mtok" vbProcedure="false">Assumptions!$C$881</definedName>
    <definedName function="false" hidden="false" name="claude_haiku45_out_usd_mtok" vbProcedure="false">Assumptions!$C$882</definedName>
    <definedName function="false" hidden="false" name="claude_opus55_in_usd_mtok" vbProcedure="false">Assumptions!$C$879</definedName>
    <definedName function="false" hidden="false" name="claude_opus55_out_usd_mtok" vbProcedure="false">Assumptions!$C$880</definedName>
    <definedName function="false" hidden="false" name="claude_sonnet5_in_usd_mtok" vbProcedure="false">Assumptions!$C$877</definedName>
    <definedName function="false" hidden="false" name="claude_sonnet5_out_usd_mtok" vbProcedure="false">Assumptions!$C$878</definedName>
    <definedName function="false" hidden="false" name="claude_team_premium_usd_seat_month" vbProcedure="false">Assumptions!$C$875</definedName>
    <definedName function="false" hidden="false" name="claude_team_std_usd_seat_month" vbProcedure="false">Assumptions!$C$874</definedName>
    <definedName function="false" hidden="false" name="cnil_ubeeqo_fine_eur" vbProcedure="false">Assumptions!$C$732</definedName>
    <definedName function="false" hidden="false" name="cocomo_a" vbProcedure="false">Assumptions!$C$835</definedName>
    <definedName function="false" hidden="false" name="cocomo_b" vbProcedure="false">Assumptions!$C$836</definedName>
    <definedName function="false" hidden="false" name="cocomo_c" vbProcedure="false">Assumptions!$C$837</definedName>
    <definedName function="false" hidden="false" name="cocomo_d" vbProcedure="false">Assumptions!$C$838</definedName>
    <definedName function="false" hidden="false" name="cocomo_hours_per_pm" vbProcedure="false">Assumptions!$C$842</definedName>
    <definedName function="false" hidden="false" name="cocomo_sced_75_em" vbProcedure="false">Assumptions!$C$841</definedName>
    <definedName function="false" hidden="false" name="cocomo_sced_85_em" vbProcedure="false">Assumptions!$C$840</definedName>
    <definedName function="false" hidden="false" name="cocomo_sf_nominal_sum" vbProcedure="false">Assumptions!$C$839</definedName>
    <definedName function="false" hidden="false" name="consip_ga_eur_fte_month" vbProcedure="false">Assumptions!$C$871</definedName>
    <definedName function="false" hidden="false" name="consip_ss_eur_team_day" vbProcedure="false">Assumptions!$C$870</definedName>
    <definedName function="false" hidden="false" name="consip_svi_eur_team_day" vbProcedure="false">Assumptions!$C$869</definedName>
    <definedName function="false" hidden="false" name="consort_icc_often_below" vbProcedure="false">Assumptions!$C$543</definedName>
    <definedName function="false" hidden="false" name="corsa_err_anchor25" vbProcedure="false">Assumptions!$C$74</definedName>
    <definedName function="false" hidden="false" name="corsa_err_asis" vbProcedure="false">Assumptions!$C$73</definedName>
    <definedName function="false" hidden="false" name="corsa_err_refit" vbProcedure="false">Assumptions!$C$75</definedName>
    <definedName function="false" hidden="false" name="corsa_fixed_rule_err" vbProcedure="false">Assumptions!$C$79</definedName>
    <definedName function="false" hidden="false" name="corsa_level_share" vbProcedure="false">Assumptions!$C$76</definedName>
    <definedName function="false" hidden="false" name="corsa_retained_2018" vbProcedure="false">Assumptions!$C$77</definedName>
    <definedName function="false" hidden="false" name="corsa_retained_2022" vbProcedure="false">Assumptions!$C$78</definedName>
    <definedName function="false" hidden="false" name="crd_conservation_buffer" vbProcedure="false">Assumptions!$C$385</definedName>
    <definedName function="false" hidden="false" name="crr_total_capital_ratio" vbProcedure="false">Assumptions!$C$384</definedName>
    <definedName function="false" hidden="false" name="cursor_teams_usd_user_month" vbProcedure="false">Assumptions!$C$876</definedName>
    <definedName function="false" hidden="false" name="curve_1y_p80_known" vbProcedure="false">Assumptions!$C$64</definedName>
    <definedName function="false" hidden="false" name="curve_1y_p80_unknown" vbProcedure="false">Assumptions!$C$65</definedName>
    <definedName function="false" hidden="false" name="curve_p80_known" vbProcedure="false">Assumptions!$C$61</definedName>
    <definedName function="false" hidden="false" name="curve_p80_unknown" vbProcedure="false">Assumptions!$C$62</definedName>
    <definedName function="false" hidden="false" name="curve_points_known" vbProcedure="false">Assumptions!$C$59</definedName>
    <definedName function="false" hidden="false" name="curve_points_unknown" vbProcedure="false">Assumptions!$C$60</definedName>
    <definedName function="false" hidden="false" name="dat_gw_paid_2016" vbProcedure="false">Assumptions!$C$581</definedName>
    <definedName function="false" hidden="false" name="dat_gw_paid_2017" vbProcedure="false">Assumptions!$C$582</definedName>
    <definedName function="false" hidden="false" name="dat_gw_paid_2018" vbProcedure="false">Assumptions!$C$583</definedName>
    <definedName function="false" hidden="false" name="dat_gw_paid_2019" vbProcedure="false">Assumptions!$C$584</definedName>
    <definedName function="false" hidden="false" name="dat_gw_paid_2020" vbProcedure="false">Assumptions!$C$585</definedName>
    <definedName function="false" hidden="false" name="dat_gw_paid_2021" vbProcedure="false">Assumptions!$C$586</definedName>
    <definedName function="false" hidden="false" name="dat_gw_paid_2022" vbProcedure="false">Assumptions!$C$587</definedName>
    <definedName function="false" hidden="false" name="dat_gw_paid_2023" vbProcedure="false">Assumptions!$C$567</definedName>
    <definedName function="false" hidden="false" name="dat_gw_paid_2024" vbProcedure="false">Assumptions!$C$588</definedName>
    <definedName function="false" hidden="false" name="dat_gw_paid_2025" vbProcedure="false">Assumptions!$C$589</definedName>
    <definedName function="false" hidden="false" name="dat_gw_private_share_2023" vbProcedure="false">Assumptions!$C$568</definedName>
    <definedName function="false" hidden="false" name="dat_standing_days_diesel" vbProcedure="false">Assumptions!$C$655</definedName>
    <definedName function="false" hidden="false" name="dat_standing_days_petrol" vbProcedure="false">Assumptions!$C$654</definedName>
    <definedName function="false" hidden="false" name="dat_standing_day_cost_eur" vbProcedure="false">Assumptions!$C$653</definedName>
    <definedName function="false" hidden="false" name="dbrs_sfse_rv_loss_aa" vbProcedure="false">Assumptions!$C$392</definedName>
    <definedName function="false" hidden="false" name="dbrs_sfse_rv_loss_bbbh" vbProcedure="false">Assumptions!$C$393</definedName>
    <definedName function="false" hidden="false" name="dealer_passthrough_low" vbProcedure="false">Assumptions!$C$27</definedName>
    <definedName function="false" hidden="false" name="dep_market_max" vbProcedure="false">Assumptions!$C$31</definedName>
    <definedName function="false" hidden="false" name="dep_market_min" vbProcedure="false">Assumptions!$C$30</definedName>
    <definedName function="false" hidden="false" name="dep_pi_hi" vbProcedure="false">Assumptions!$C$141</definedName>
    <definedName function="false" hidden="false" name="dep_pi_lo" vbProcedure="false">Assumptions!$C$140</definedName>
    <definedName function="false" hidden="false" name="dep_pooled" vbProcedure="false">Assumptions!$C$28</definedName>
    <definedName function="false" hidden="false" name="dep_stability_hi" vbProcedure="false">Assumptions!$C$34</definedName>
    <definedName function="false" hidden="false" name="dep_stability_lo" vbProcedure="false">Assumptions!$C$33</definedName>
    <definedName function="false" hidden="false" name="dep_uk" vbProcedure="false">Assumptions!$C$32</definedName>
    <definedName function="false" hidden="false" name="dep_with_mileage_3y" vbProcedure="false">Assumptions!$C$29</definedName>
    <definedName function="false" hidden="false" name="dl_gc14_arch_l4_gbp_day" vbProcedure="false">Assumptions!$C$863</definedName>
    <definedName function="false" hidden="false" name="dl_gc14_arch_l5_gbp_day" vbProcedure="false">Assumptions!$C$864</definedName>
    <definedName function="false" hidden="false" name="dl_gc14_arch_l6_gbp_day" vbProcedure="false">Assumptions!$C$865</definedName>
    <definedName function="false" hidden="false" name="dl_gc14_dev_l3_gbp_day" vbProcedure="false">Assumptions!$C$860</definedName>
    <definedName function="false" hidden="false" name="dl_gc14_dev_l4_gbp_day" vbProcedure="false">Assumptions!$C$861</definedName>
    <definedName function="false" hidden="false" name="dl_gc14_dev_l5_gbp_day" vbProcedure="false">Assumptions!$C$862</definedName>
    <definedName function="false" hidden="false" name="dl_gc14_off_dev_l3_gbp_day" vbProcedure="false">Assumptions!$C$866</definedName>
    <definedName function="false" hidden="false" name="dl_gc14_off_dev_l4_gbp_day" vbProcedure="false">Assumptions!$C$867</definedName>
    <definedName function="false" hidden="false" name="dl_gc14_off_dev_l5_gbp_day" vbProcedure="false">Assumptions!$C$868</definedName>
    <definedName function="false" hidden="false" name="dpt_cost_10pct" vbProcedure="false">Assumptions!$C$186</definedName>
    <definedName function="false" hidden="false" name="dpt_market_lags" vbProcedure="false">Assumptions!$C$190</definedName>
    <definedName function="false" hidden="false" name="dpt_market_leads" vbProcedure="false">Assumptions!$C$191</definedName>
    <definedName function="false" hidden="false" name="dpt_passthrough" vbProcedure="false">Assumptions!$C$185</definedName>
    <definedName function="false" hidden="false" name="dpt_placebo" vbProcedure="false">Assumptions!$C$187</definedName>
    <definedName function="false" hidden="false" name="dpt_prereg_gap_model" vbProcedure="false">Assumptions!$C$188</definedName>
    <definedName function="false" hidden="false" name="dpt_prereg_gap_version" vbProcedure="false">Assumptions!$C$189</definedName>
    <definedName function="false" hidden="false" name="dress_asym_cost_cut_pct" vbProcedure="false">Assumptions!$C$760</definedName>
    <definedName function="false" hidden="false" name="dvl_academic_pp" vbProcedure="false">Assumptions!$C$767</definedName>
    <definedName function="false" hidden="false" name="dvl_nudge_unit_pp" vbProcedure="false">Assumptions!$C$768</definedName>
    <definedName function="false" hidden="false" name="dvl_publication_share_pct" vbProcedure="false">Assumptions!$C$769</definedName>
    <definedName function="false" hidden="false" name="eba_bank_coe" vbProcedure="false">Assumptions!$C$387</definedName>
    <definedName function="false" hidden="false" name="ec2014_used_imports_from_de_pct" vbProcedure="false">Assumptions!$C$684</definedName>
    <definedName function="false" hidden="false" name="eca_error_complex_rules_2024" vbProcedure="false">Assumptions!$C$112</definedName>
    <definedName function="false" hidden="false" name="eca_error_overall_2024" vbProcedure="false">Assumptions!$C$113</definedName>
    <definedName function="false" hidden="false" name="ecb_deposit_rate" vbProcedure="false">Assumptions!$C$375</definedName>
    <definedName function="false" hidden="false" name="ec_cohesion_future_corr_high_pct" vbProcedure="false">Assumptions!$C$759</definedName>
    <definedName function="false" hidden="false" name="ec_cohesion_future_corr_low_pct" vbProcedure="false">Assumptions!$C$758</definedName>
    <definedName function="false" hidden="false" name="ec_cohesion_risk_closure_2024_pct" vbProcedure="false">Assumptions!$C$757</definedName>
    <definedName function="false" hidden="false" name="ec_cohesion_risk_payment_2024_pct" vbProcedure="false">Assumptions!$C$756</definedName>
    <definedName function="false" hidden="false" name="engine_band_coverage" vbProcedure="false">Assumptions!$C$80</definedName>
    <definedName function="false" hidden="false" name="engine_err_typical" vbProcedure="false">Assumptions!$C$158</definedName>
    <definedName function="false" hidden="false" name="ep_clocking_cross_high_pct" vbProcedure="false">Assumptions!$C$801</definedName>
    <definedName function="false" hidden="false" name="ep_clocking_cross_low_pct" vbProcedure="false">Assumptions!$C$800</definedName>
    <definedName function="false" hidden="false" name="ep_clocking_domestic_high_pct" vbProcedure="false">Assumptions!$C$799</definedName>
    <definedName function="false" hidden="false" name="ep_clocking_domestic_low_pct" vbProcedure="false">Assumptions!$C$798</definedName>
    <definedName function="false" hidden="false" name="er_auto_link_recall" vbProcedure="false">Assumptions!$C$151</definedName>
    <definedName function="false" hidden="false" name="er_exact_miss" vbProcedure="false">Assumptions!$C$146</definedName>
    <definedName function="false" hidden="false" name="er_exact_precision" vbProcedure="false">Assumptions!$C$147</definedName>
    <definedName function="false" hidden="false" name="er_pairs_measured" vbProcedure="false">Assumptions!$C$144</definedName>
    <definedName function="false" hidden="false" name="er_price_drift" vbProcedure="false">Assumptions!$C$145</definedName>
    <definedName function="false" hidden="false" name="er_relax_precision" vbProcedure="false">Assumptions!$C$149</definedName>
    <definedName function="false" hidden="false" name="er_relax_recall" vbProcedure="false">Assumptions!$C$148</definedName>
    <definedName function="false" hidden="false" name="er_review_band_pairs" vbProcedure="false">Assumptions!$C$153</definedName>
    <definedName function="false" hidden="false" name="er_review_band_recall" vbProcedure="false">Assumptions!$C$152</definedName>
    <definedName function="false" hidden="false" name="er_uk_exact_recall" vbProcedure="false">Assumptions!$C$150</definedName>
    <definedName function="false" hidden="false" name="euro7_battery_mpr_m1_5y" vbProcedure="false">Assumptions!$C$20</definedName>
    <definedName function="false" hidden="false" name="euro7_battery_mpr_m1_8y" vbProcedure="false">Assumptions!$C$21</definedName>
    <definedName function="false" hidden="false" name="eu_aoi_2024_eur_m" vbProcedure="false">Assumptions!$C$159</definedName>
    <definedName function="false" hidden="false" name="eu_aoi_eur_m" vbProcedure="false">Assumptions!$C$4</definedName>
    <definedName function="false" hidden="false" name="eu_revenue_eur_m" vbProcedure="false">Assumptions!$C$3</definedName>
    <definedName function="false" hidden="false" name="eu_shipments" vbProcedure="false">Assumptions!$C$2</definedName>
    <definedName function="false" hidden="false" name="eu_shipments_2024" vbProcedure="false">Assumptions!$C$160</definedName>
    <definedName function="false" hidden="false" name="ev_pi_hi" vbProcedure="false">Assumptions!$C$143</definedName>
    <definedName function="false" hidden="false" name="ev_pi_lo" vbProcedure="false">Assumptions!$C$142</definedName>
    <definedName function="false" hidden="false" name="fb_stress_benefit_high_pct" vbProcedure="false">Assumptions!$C$744</definedName>
    <definedName function="false" hidden="false" name="fb_stress_benefit_low_pct" vbProcedure="false">Assumptions!$C$743</definedName>
    <definedName function="false" hidden="false" name="fb_stress_cost_overrun_pct" vbProcedure="false">Assumptions!$C$742</definedName>
    <definedName function="false" hidden="false" name="fca_redress_agreements_m" vbProcedure="false">Assumptions!$C$95</definedName>
    <definedName function="false" hidden="false" name="fca_redress_avg_gbp" vbProcedure="false">Assumptions!$C$96</definedName>
    <definedName function="false" hidden="false" name="fca_redress_cost_to_firms_gbp_bn" vbProcedure="false">Assumptions!$C$94</definedName>
    <definedName function="false" hidden="false" name="fca_redress_total_gbp_bn" vbProcedure="false">Assumptions!$C$93</definedName>
    <definedName function="false" hidden="false" name="finance_penetration" vbProcedure="false">Assumptions!$C$118</definedName>
    <definedName function="false" hidden="false" name="fitch_eu_abs_bev_share_q3_2024" vbProcedure="false">Assumptions!$C$19</definedName>
    <definedName function="false" hidden="false" name="fla_uk_private_new_pos_share" vbProcedure="false">Assumptions!$C$121</definedName>
    <definedName function="false" hidden="false" name="fliegel_rate_rise_high_pp" vbProcedure="false">Assumptions!$C$762</definedName>
    <definedName function="false" hidden="false" name="fliegel_rate_rise_low_pp" vbProcedure="false">Assumptions!$C$761</definedName>
    <definedName function="false" hidden="false" name="gate_benefits_eur_m" vbProcedure="false">Assumptions!$C$179</definedName>
    <definedName function="false" hidden="false" name="gate_claims_recovered_s1_eur_m" vbProcedure="false">Assumptions!$C$911</definedName>
    <definedName function="false" hidden="false" name="gate_claims_recovered_s2_eur_m" vbProcedure="false">Assumptions!$C$914</definedName>
    <definedName function="false" hidden="false" name="gate_claims_recovered_s3_eur_m" vbProcedure="false">Assumptions!$C$917</definedName>
    <definedName function="false" hidden="false" name="gate_claims_recovered_s4_eur_m" vbProcedure="false">Assumptions!$C$920</definedName>
    <definedName function="false" hidden="false" name="gate_days_cut_days" vbProcedure="false">Assumptions!$C$789</definedName>
    <definedName function="false" hidden="false" name="gate_dealer_xwalk_pct" vbProcedure="false">Assumptions!$C$173</definedName>
    <definedName function="false" hidden="false" name="gate_dup_precision_pct" vbProcedure="false">Assumptions!$C$174</definedName>
    <definedName function="false" hidden="false" name="gate_dup_recall_pct" vbProcedure="false">Assumptions!$C$175</definedName>
    <definedName function="false" hidden="false" name="gate_engine_coverage_tol_pts" vbProcedure="false">Assumptions!$C$776</definedName>
    <definedName function="false" hidden="false" name="gate_engine_margin_pts" vbProcedure="false">Assumptions!$C$777</definedName>
    <definedName function="false" hidden="false" name="gate_exit_floor_s1_eur_m" vbProcedure="false">Assumptions!$C$912</definedName>
    <definedName function="false" hidden="false" name="gate_exit_floor_s2_eur_m" vbProcedure="false">Assumptions!$C$915</definedName>
    <definedName function="false" hidden="false" name="gate_exit_floor_s3_eur_m" vbProcedure="false">Assumptions!$C$918</definedName>
    <definedName function="false" hidden="false" name="gate_exit_floor_s4_eur_m" vbProcedure="false">Assumptions!$C$921</definedName>
    <definedName function="false" hidden="false" name="gate_gl_reconcile_pct" vbProcedure="false">Assumptions!$C$176</definedName>
    <definedName function="false" hidden="false" name="gate_leak_switch_s1_pct" vbProcedure="false">Assumptions!$C$910</definedName>
    <definedName function="false" hidden="false" name="gate_leak_switch_s2_pct" vbProcedure="false">Assumptions!$C$913</definedName>
    <definedName function="false" hidden="false" name="gate_leak_switch_s3_pct" vbProcedure="false">Assumptions!$C$916</definedName>
    <definedName function="false" hidden="false" name="gate_leak_switch_s4_pct" vbProcedure="false">Assumptions!$C$919</definedName>
    <definedName function="false" hidden="false" name="gate_read_confidence_pct" vbProcedure="false">Assumptions!$C$774</definedName>
    <definedName function="false" hidden="false" name="gate_read_power_pct" vbProcedure="false">Assumptions!$C$775</definedName>
    <definedName function="false" hidden="false" name="gate_route_margin_pct" vbProcedure="false">Assumptions!$C$790</definedName>
    <definedName function="false" hidden="false" name="gate_uplift_pp" vbProcedure="false">Assumptions!$C$177</definedName>
    <definedName function="false" hidden="false" name="gate_uplift_significance_pct" vbProcedure="false">Assumptions!$C$178</definedName>
    <definedName function="false" hidden="false" name="gate_vin_link_pct" vbProcedure="false">Assumptions!$C$172</definedName>
    <definedName function="false" hidden="false" name="gb_appraisal_default_years" vbProcedure="false">Assumptions!$C$750</definedName>
    <definedName function="false" hidden="false" name="gb_appraisal_it_example_years" vbProcedure="false">Assumptions!$C$751</definedName>
    <definedName function="false" hidden="false" name="gb_ob_capex_lower_ict_pct" vbProcedure="false">Assumptions!$C$748</definedName>
    <definedName function="false" hidden="false" name="gb_ob_capex_upper_ict_pct" vbProcedure="false">Assumptions!$C$747</definedName>
    <definedName function="false" hidden="false" name="gb_ob_duration_upper_ict_pct" vbProcedure="false">Assumptions!$C$749</definedName>
    <definedName function="false" hidden="false" name="gc_exaggeration_80_power" vbProcedure="false">Assumptions!$C$772</definedName>
    <definedName function="false" hidden="false" name="geotab_degradation_pct_year" vbProcedure="false">Assumptions!$C$24</definedName>
    <definedName function="false" hidden="false" name="gh_copilot_business_usd_user_month" vbProcedure="false">Assumptions!$C$872</definedName>
    <definedName function="false" hidden="false" name="gh_copilot_enterprise_usd_user_month" vbProcedure="false">Assumptions!$C$873</definedName>
    <definedName function="false" hidden="false" name="gh_rv_premium_high" vbProcedure="false">Assumptions!$C$389</definedName>
    <definedName function="false" hidden="false" name="gh_rv_premium_low" vbProcedure="false">Assumptions!$C$388</definedName>
    <definedName function="false" hidden="false" name="gpd_feasibility_outside_min" vbProcedure="false">Assumptions!$C$773</definedName>
    <definedName function="false" hidden="false" name="group_revenue_2024_eur_m" vbProcedure="false">Assumptions!$C$111</definedName>
    <definedName function="false" hidden="false" name="group_revenue_eur_m" vbProcedure="false">Assumptions!$C$6</definedName>
    <definedName function="false" hidden="false" name="group_shipments" vbProcedure="false">Assumptions!$C$5</definedName>
    <definedName function="false" hidden="false" name="hk_passthrough_36m" vbProcedure="false">Assumptions!$C$192</definedName>
    <definedName function="false" hidden="false" name="hk_passthrough_now" vbProcedure="false">Assumptions!$C$193</definedName>
    <definedName function="false" hidden="false" name="hv_reallocated_pct" vbProcedure="false">Assumptions!$C$908</definedName>
    <definedName function="false" hidden="false" name="hv_time_savings_pct" vbProcedure="false">Assumptions!$C$907</definedName>
    <definedName function="false" hidden="false" name="incentive_pct_revenue" vbProcedure="false">Assumptions!$C$84</definedName>
    <definedName function="false" hidden="false" name="indicata_mds_corsa_2024_12" vbProcedure="false">Assumptions!$C$679</definedName>
    <definedName function="false" hidden="false" name="indicata_mds_golf_2024_12" vbProcedure="false">Assumptions!$C$680</definedName>
    <definedName function="false" hidden="false" name="inv_change_eur_m" vbProcedure="false">Assumptions!$C$171</definedName>
    <definedName function="false" hidden="false" name="inv_platform_eur_m" vbProcedure="false">Assumptions!$C$170</definedName>
    <definedName function="false" hidden="false" name="jato_q1_2025_discount_share_de_uk_pct" vbProcedure="false">Assumptions!$C$803</definedName>
    <definedName function="false" hidden="false" name="jato_q1_2025_private_discount_eur_bn" vbProcedure="false">Assumptions!$C$802</definedName>
    <definedName function="false" hidden="false" name="jnci_icc_provider_high" vbProcedure="false">Assumptions!$C$545</definedName>
    <definedName function="false" hidden="false" name="jnci_icc_provider_low" vbProcedure="false">Assumptions!$C$544</definedName>
    <definedName function="false" hidden="false" name="kba_pkw_transfers_2023" vbProcedure="false">Assumptions!$C$569</definedName>
    <definedName function="false" hidden="false" name="kba_pkw_transfers_2023_audi" vbProcedure="false">Assumptions!$C$571</definedName>
    <definedName function="false" hidden="false" name="kba_pkw_transfers_2023_bmw" vbProcedure="false">Assumptions!$C$572</definedName>
    <definedName function="false" hidden="false" name="kba_pkw_transfers_2023_fiat" vbProcedure="false">Assumptions!$C$576</definedName>
    <definedName function="false" hidden="false" name="kba_pkw_transfers_2023_hyundai" vbProcedure="false">Assumptions!$C$577</definedName>
    <definedName function="false" hidden="false" name="kba_pkw_transfers_2023_mercedes" vbProcedure="false">Assumptions!$C$573</definedName>
    <definedName function="false" hidden="false" name="kba_pkw_transfers_2023_opel" vbProcedure="false">Assumptions!$C$574</definedName>
    <definedName function="false" hidden="false" name="kba_pkw_transfers_2023_renault" vbProcedure="false">Assumptions!$C$578</definedName>
    <definedName function="false" hidden="false" name="kba_pkw_transfers_2023_seat" vbProcedure="false">Assumptions!$C$579</definedName>
    <definedName function="false" hidden="false" name="kba_pkw_transfers_2023_skoda" vbProcedure="false">Assumptions!$C$580</definedName>
    <definedName function="false" hidden="false" name="kba_pkw_transfers_2023_vw" vbProcedure="false">Assumptions!$C$575</definedName>
    <definedName function="false" hidden="false" name="kba_pkw_transfer_age_2023" vbProcedure="false">Assumptions!$C$570</definedName>
    <definedName function="false" hidden="false" name="kba_wohnmobile_2019" vbProcedure="false">Assumptions!$C$468</definedName>
    <definedName function="false" hidden="false" name="kba_wohnmobile_citroen_jumper_2019" vbProcedure="false">Assumptions!$C$470</definedName>
    <definedName function="false" hidden="false" name="kba_wohnmobile_fiat_ducato_2019" vbProcedure="false">Assumptions!$C$469</definedName>
    <definedName function="false" hidden="false" name="keeper_early_change_3m_group" vbProcedure="false">Assumptions!$C$284</definedName>
    <definedName function="false" hidden="false" name="keeper_hidden_2021_group" vbProcedure="false">Assumptions!$C$282</definedName>
    <definedName function="false" hidden="false" name="keeper_hidden_2022_group" vbProcedure="false">Assumptions!$C$283</definedName>
    <definedName function="false" hidden="false" name="kesavan2026_input_adjust_gain_pct" vbProcedure="false">Assumptions!$C$651</definedName>
    <definedName function="false" hidden="false" name="kesavan_growth_override_gain_pct" vbProcedure="false">Assumptions!$C$650</definedName>
    <definedName function="false" hidden="false" name="kesavan_override_profit_loss_pct" vbProcedure="false">Assumptions!$C$649</definedName>
    <definedName function="false" hidden="false" name="kmr_escalation_high_pct" vbProcedure="false">Assumptions!$C$771</definedName>
    <definedName function="false" hidden="false" name="kmr_escalation_low_pct" vbProcedure="false">Assumptions!$C$770</definedName>
    <definedName function="false" hidden="false" name="kpi_claim_days" vbProcedure="false">Assumptions!$C$180</definedName>
    <definedName function="false" hidden="false" name="kpi_review_rate_pct" vbProcedure="false">Assumptions!$C$181</definedName>
    <definedName function="false" hidden="false" name="kpi_thin_error_points" vbProcedure="false">Assumptions!$C$183</definedName>
    <definedName function="false" hidden="false" name="kpi_unseen_drift_pct" vbProcedure="false">Assumptions!$C$182</definedName>
    <definedName function="false" hidden="false" name="ksn_compliance_pct" vbProcedure="false">Assumptions!$C$648</definedName>
    <definedName function="false" hidden="false" name="ksn_profit_gain_pct" vbProcedure="false">Assumptions!$C$647</definedName>
    <definedName function="false" hidden="false" name="larkin_gaming_cost_high_pct" vbProcedure="false">Assumptions!$C$797</definedName>
    <definedName function="false" hidden="false" name="larkin_gaming_cost_low_pct" vbProcedure="false">Assumptions!$C$796</definedName>
    <definedName function="false" hidden="false" name="latvia_index_corr" vbProcedure="false">Assumptions!$C$35</definedName>
    <definedName function="false" hidden="false" name="level_1m_p5" vbProcedure="false">Assumptions!$C$57</definedName>
    <definedName function="false" hidden="false" name="level_1y_p10" vbProcedure="false">Assumptions!$C$52</definedName>
    <definedName function="false" hidden="false" name="level_1y_p10_book" vbProcedure="false">Assumptions!$C$53</definedName>
    <definedName function="false" hidden="false" name="level_1y_p10_core" vbProcedure="false">Assumptions!$C$51</definedName>
    <definedName function="false" hidden="false" name="level_1y_p10_uk_long" vbProcedure="false">Assumptions!$C$55</definedName>
    <definedName function="false" hidden="false" name="level_1y_worst" vbProcedure="false">Assumptions!$C$56</definedName>
    <definedName function="false" hidden="false" name="level_3m_p5" vbProcedure="false">Assumptions!$C$58</definedName>
    <definedName function="false" hidden="false" name="level_3y_p10" vbProcedure="false">Assumptions!$C$45</definedName>
    <definedName function="false" hidden="false" name="level_3y_p10_book" vbProcedure="false">Assumptions!$C$54</definedName>
    <definedName function="false" hidden="false" name="level_3y_p10_core" vbProcedure="false">Assumptions!$C$49</definedName>
    <definedName function="false" hidden="false" name="level_3y_p50" vbProcedure="false">Assumptions!$C$46</definedName>
    <definedName function="false" hidden="false" name="level_3y_p90" vbProcedure="false">Assumptions!$C$47</definedName>
    <definedName function="false" hidden="false" name="level_3y_worst" vbProcedure="false">Assumptions!$C$48</definedName>
    <definedName function="false" hidden="false" name="level_3y_worst_core" vbProcedure="false">Assumptions!$C$50</definedName>
    <definedName function="false" hidden="false" name="level_points" vbProcedure="false">Assumptions!$C$66</definedName>
    <definedName function="false" hidden="false" name="loan_apr" vbProcedure="false">Assumptions!$C$138</definedName>
    <definedName function="false" hidden="false" name="loan_deposit_pct" vbProcedure="false">Assumptions!$C$136</definedName>
    <definedName function="false" hidden="false" name="loan_term_months" vbProcedure="false">Assumptions!$C$137</definedName>
    <definedName function="false" hidden="false" name="logg_experts_advice_d" vbProcedure="false">Assumptions!$C$646</definedName>
    <definedName function="false" hidden="false" name="lps_left_digit_usd_high" vbProcedure="false">Assumptions!$C$683</definedName>
    <definedName function="false" hidden="false" name="lps_left_digit_usd_low" vbProcedure="false">Assumptions!$C$682</definedName>
    <definedName function="false" hidden="false" name="lv_level_spread" vbProcedure="false">Assumptions!$C$154</definedName>
    <definedName function="false" hidden="false" name="lv_level_vs_rate" vbProcedure="false">Assumptions!$C$156</definedName>
    <definedName function="false" hidden="false" name="lv_rate_spread" vbProcedure="false">Assumptions!$C$155</definedName>
    <definedName function="false" hidden="false" name="margin_per_repeat_sale" vbProcedure="false">Assumptions!$C$135</definedName>
    <definedName function="false" hidden="false" name="mckox_all_benefit_shortfall_pct" vbProcedure="false">Assumptions!$C$741</definedName>
    <definedName function="false" hidden="false" name="mckox_sw_benefit_shortfall_pct" vbProcedure="false">Assumptions!$C$740</definedName>
    <definedName function="false" hidden="false" name="mckox_sw_cost_overrun_pct" vbProcedure="false">Assumptions!$C$738</definedName>
    <definedName function="false" hidden="false" name="mckox_sw_schedule_overrun_pct" vbProcedure="false">Assumptions!$C$739</definedName>
    <definedName function="false" hidden="false" name="misra_nair_revenue_gain_pct" vbProcedure="false">Assumptions!$C$705</definedName>
    <definedName function="false" hidden="false" name="model_err_uk" vbProcedure="false">Assumptions!$C$72</definedName>
    <definedName function="false" hidden="false" name="motorpoint_fy26_retail_cost_of_sales_gbp_m" vbProcedure="false">Assumptions!$C$807</definedName>
    <definedName function="false" hidden="false" name="motorpoint_fy26_retail_gpu_gbp" vbProcedure="false">Assumptions!$C$810</definedName>
    <definedName function="false" hidden="false" name="motorpoint_fy26_retail_revenue_gbp_m" vbProcedure="false">Assumptions!$C$806</definedName>
    <definedName function="false" hidden="false" name="motorpoint_fy26_retail_units_k" vbProcedure="false">Assumptions!$C$809</definedName>
    <definedName function="false" hidden="false" name="motorpoint_fy26_services_revenue_gbp_m" vbProcedure="false">Assumptions!$C$808</definedName>
    <definedName function="false" hidden="false" name="new_car_price" vbProcedure="false">Assumptions!$C$139</definedName>
    <definedName function="false" hidden="false" name="new_car_price_eur" vbProcedure="false">Assumptions!$C$157</definedName>
    <definedName function="false" hidden="false" name="nl_retained_0_3m" vbProcedure="false">Assumptions!$C$791</definedName>
    <definedName function="false" hidden="false" name="nl_retained_9_12m" vbProcedure="false">Assumptions!$C$792</definedName>
    <definedName function="false" hidden="false" name="no_sibling_penalty" vbProcedure="false">Assumptions!$C$70</definedName>
    <definedName function="false" hidden="false" name="no_sibling_penalty_europe" vbProcedure="false">Assumptions!$C$71</definedName>
    <definedName function="false" hidden="false" name="ons_uk_index_move" vbProcedure="false">Assumptions!$C$26</definedName>
    <definedName function="false" hidden="false" name="pauwels_npi_longrun_pos_pct" vbProcedure="false">Assumptions!$C$805</definedName>
    <definedName function="false" hidden="false" name="pauwels_promo_longrun_pos_pct" vbProcedure="false">Assumptions!$C$804</definedName>
    <definedName function="false" hidden="false" name="pl_credit_loss_eur" vbProcedure="false">Assumptions!$C$166</definedName>
    <definedName function="false" hidden="false" name="pl_finance_income_eur" vbProcedure="false">Assumptions!$C$165</definedName>
    <definedName function="false" hidden="false" name="pl_incentive_pct_list" vbProcedure="false">Assumptions!$C$163</definedName>
    <definedName function="false" hidden="false" name="pl_recon_logistics_eur" vbProcedure="false">Assumptions!$C$168</definedName>
    <definedName function="false" hidden="false" name="pl_remarketing_margin_eur" vbProcedure="false">Assumptions!$C$169</definedName>
    <definedName function="false" hidden="false" name="pl_sale_margin_pct_list" vbProcedure="false">Assumptions!$C$162</definedName>
    <definedName function="false" hidden="false" name="pl_service_parts_eur" vbProcedure="false">Assumptions!$C$167</definedName>
    <definedName function="false" hidden="false" name="pl_warranty_pct_list" vbProcedure="false">Assumptions!$C$164</definedName>
    <definedName function="false" hidden="false" name="pooling_gain_100" vbProcedure="false">Assumptions!$C$67</definedName>
    <definedName function="false" hidden="false" name="pooling_gain_250" vbProcedure="false">Assumptions!$C$68</definedName>
    <definedName function="false" hidden="false" name="price_band_pct" vbProcedure="false">Assumptions!$C$184</definedName>
    <definedName function="false" hidden="false" name="process_leak_pct" vbProcedure="false">Assumptions!$C$114</definedName>
    <definedName function="false" hidden="false" name="rd_advert_auc_age" vbProcedure="false">Assumptions!$C$229</definedName>
    <definedName function="false" hidden="false" name="rd_advert_auc_all" vbProcedure="false">Assumptions!$C$231</definedName>
    <definedName function="false" hidden="false" name="rd_advert_auc_mileage" vbProcedure="false">Assumptions!$C$230</definedName>
    <definedName function="false" hidden="false" name="rd_engine_auc" vbProcedure="false">Assumptions!$C$226</definedName>
    <definedName function="false" hidden="false" name="rd_event_24m" vbProcedure="false">Assumptions!$C$205</definedName>
    <definedName function="false" hidden="false" name="rd_event_36m" vbProcedure="false">Assumptions!$C$204</definedName>
    <definedName function="false" hidden="false" name="rd_event_60m" vbProcedure="false">Assumptions!$C$206</definedName>
    <definedName function="false" hidden="false" name="rd_event_artefact_36m" vbProcedure="false">Assumptions!$C$207</definedName>
    <definedName function="false" hidden="false" name="rd_market_median_age" vbProcedure="false">Assumptions!$C$210</definedName>
    <definedName function="false" hidden="false" name="rd_market_median_km" vbProcedure="false">Assumptions!$C$209</definedName>
    <definedName function="false" hidden="false" name="rd_market_share_old" vbProcedure="false">Assumptions!$C$208</definedName>
    <definedName function="false" hidden="false" name="rd_mileage_exit_elasticity" vbProcedure="false">Assumptions!$C$218</definedName>
    <definedName function="false" hidden="false" name="rd_mileage_market_elasticity" vbProcedure="false">Assumptions!$C$219</definedName>
    <definedName function="false" hidden="false" name="rd_model_auc" vbProcedure="false">Assumptions!$C$224</definedName>
    <definedName function="false" hidden="false" name="rd_model_auc_young" vbProcedure="false">Assumptions!$C$228</definedName>
    <definedName function="false" hidden="false" name="rd_model_lift10" vbProcedure="false">Assumptions!$C$225</definedName>
    <definedName function="false" hidden="false" name="rd_model_net_auc" vbProcedure="false">Assumptions!$C$227</definedName>
    <definedName function="false" hidden="false" name="rd_model_within_age_auc" vbProcedure="false">Assumptions!$C$236</definedName>
    <definedName function="false" hidden="false" name="rd_model_within_age_engine" vbProcedure="false">Assumptions!$C$237</definedName>
    <definedName function="false" hidden="false" name="rd_mot_id_chance" vbProcedure="false">Assumptions!$C$222</definedName>
    <definedName function="false" hidden="false" name="rd_mot_id_cross_release" vbProcedure="false">Assumptions!$C$220</definedName>
    <definedName function="false" hidden="false" name="rd_mot_id_make_model" vbProcedure="false">Assumptions!$C$221</definedName>
    <definedName function="false" hidden="false" name="rd_mot_odometer_monotone" vbProcedure="false">Assumptions!$C$223</definedName>
    <definedName function="false" hidden="false" name="rd_nl_bovag_gap" vbProcedure="false">Assumptions!$C$202</definedName>
    <definedName function="false" hidden="false" name="rd_nl_group_make_hi" vbProcedure="false">Assumptions!$C$242</definedName>
    <definedName function="false" hidden="false" name="rd_nl_group_make_lo" vbProcedure="false">Assumptions!$C$241</definedName>
    <definedName function="false" hidden="false" name="rd_nl_keeper_changes" vbProcedure="false">Assumptions!$C$201</definedName>
    <definedName function="false" hidden="false" name="rd_nl_make15_spread" vbProcedure="false">Assumptions!$C$243</definedName>
    <definedName function="false" hidden="false" name="rd_nl_make_hi" vbProcedure="false">Assumptions!$C$240</definedName>
    <definedName function="false" hidden="false" name="rd_nl_make_lo" vbProcedure="false">Assumptions!$C$239</definedName>
    <definedName function="false" hidden="false" name="rd_nl_make_spread" vbProcedure="false">Assumptions!$C$238</definedName>
    <definedName function="false" hidden="false" name="rd_nl_market_value" vbProcedure="false">Assumptions!$C$214</definedName>
    <definedName function="false" hidden="false" name="rd_nl_market_value_group" vbProcedure="false">Assumptions!$C$215</definedName>
    <definedName function="false" hidden="false" name="rd_nl_parc_measured" vbProcedure="false">Assumptions!$C$199</definedName>
    <definedName function="false" hidden="false" name="rd_nl_peak_age" vbProcedure="false">Assumptions!$C$196</definedName>
    <definedName function="false" hidden="false" name="rd_nl_peak_rate" vbProcedure="false">Assumptions!$C$195</definedName>
    <definedName function="false" hidden="false" name="rd_nl_peak_vs_trough" vbProcedure="false">Assumptions!$C$198</definedName>
    <definedName function="false" hidden="false" name="rd_nl_stellantis_share" vbProcedure="false">Assumptions!$C$200</definedName>
    <definedName function="false" hidden="false" name="rd_nl_transfer_rate" vbProcedure="false">Assumptions!$C$194</definedName>
    <definedName function="false" hidden="false" name="rd_nl_trough_rate" vbProcedure="false">Assumptions!$C$197</definedName>
    <definedName function="false" hidden="false" name="rd_nl_used_sales_2025" vbProcedure="false">Assumptions!$C$203</definedName>
    <definedName function="false" hidden="false" name="rd_nl_value_advert_priced" vbProcedure="false">Assumptions!$C$217</definedName>
    <definedName function="false" hidden="false" name="rd_nl_wave_value" vbProcedure="false">Assumptions!$C$216</definedName>
    <definedName function="false" hidden="false" name="rebate_passthrough" vbProcedure="false">Assumptions!$C$345</definedName>
    <definedName function="false" hidden="false" name="recoverable_share" vbProcedure="false">Assumptions!$C$115</definedName>
    <definedName function="false" hidden="false" name="retained_1y_pooled" vbProcedure="false">Assumptions!$C$63</definedName>
    <definedName function="false" hidden="false" name="retained_1y_uk" vbProcedure="false">Assumptions!$C$41</definedName>
    <definedName function="false" hidden="false" name="retained_2y_uk" vbProcedure="false">Assumptions!$C$42</definedName>
    <definedName function="false" hidden="false" name="retained_3y_nl" vbProcedure="false">Assumptions!$C$39</definedName>
    <definedName function="false" hidden="false" name="retained_3y_pooled" vbProcedure="false">Assumptions!$C$36</definedName>
    <definedName function="false" hidden="false" name="retained_3y_uk" vbProcedure="false">Assumptions!$C$37</definedName>
    <definedName function="false" hidden="false" name="retained_3y_uk_2022" vbProcedure="false">Assumptions!$C$38</definedName>
    <definedName function="false" hidden="false" name="retained_3y_us" vbProcedure="false">Assumptions!$C$40</definedName>
    <definedName function="false" hidden="false" name="retained_4y_uk" vbProcedure="false">Assumptions!$C$43</definedName>
    <definedName function="false" hidden="false" name="retained_5y_uk" vbProcedure="false">Assumptions!$C$44</definedName>
    <definedName function="false" hidden="false" name="run_cost_eur_m_year" vbProcedure="false">Assumptions!$C$763</definedName>
    <definedName function="false" hidden="false" name="rv_review_months" vbProcedure="false">Assumptions!$C$14</definedName>
    <definedName function="false" hidden="false" name="sales_incentive_additions_2024_eur_m" vbProcedure="false">Assumptions!$C$108</definedName>
    <definedName function="false" hidden="false" name="sales_incentive_additions_2025_eur_m" vbProcedure="false">Assumptions!$C$106</definedName>
    <definedName function="false" hidden="false" name="sales_incentive_provision_2025_eur_m" vbProcedure="false">Assumptions!$C$110</definedName>
    <definedName function="false" hidden="false" name="sales_incentive_settlements_2024_eur_m" vbProcedure="false">Assumptions!$C$109</definedName>
    <definedName function="false" hidden="false" name="sales_incentive_settlements_2025_eur_m" vbProcedure="false">Assumptions!$C$107</definedName>
    <definedName function="false" hidden="false" name="schloter_ev_dep_month" vbProcedure="false">Assumptions!$C$17</definedName>
    <definedName function="false" hidden="false" name="schloter_petrol_dep_month" vbProcedure="false">Assumptions!$C$18</definedName>
    <definedName function="false" hidden="false" name="selfreg_group_base" vbProcedure="false">Assumptions!$C$244</definedName>
    <definedName function="false" hidden="false" name="selfreg_group_mend_lift" vbProcedure="false">Assumptions!$C$246</definedName>
    <definedName function="false" hidden="false" name="selfreg_group_monthend_share" vbProcedure="false">Assumptions!$C$247</definedName>
    <definedName function="false" hidden="false" name="selfreg_group_qend_lift" vbProcedure="false">Assumptions!$C$245</definedName>
    <definedName function="false" hidden="false" name="selfreg_other_monthend_share" vbProcedure="false">Assumptions!$C$248</definedName>
    <definedName function="false" hidden="false" name="senzing_100m_usd_year" vbProcedure="false">Assumptions!$C$856</definedName>
    <definedName function="false" hidden="false" name="senzing_20m_usd_year" vbProcedure="false">Assumptions!$C$854</definedName>
    <definedName function="false" hidden="false" name="senzing_250m_usd_year" vbProcedure="false">Assumptions!$C$857</definedName>
    <definedName function="false" hidden="false" name="senzing_50m_usd_year" vbProcedure="false">Assumptions!$C$855</definedName>
    <definedName function="false" hidden="false" name="sfse_contracts_at_2025" vbProcedure="false">Assumptions!$C$132</definedName>
    <definedName function="false" hidden="false" name="sfse_contracts_be_lu_2025" vbProcedure="false">Assumptions!$C$130</definedName>
    <definedName function="false" hidden="false" name="sfse_contracts_fr_2025" vbProcedure="false">Assumptions!$C$123</definedName>
    <definedName function="false" hidden="false" name="sfse_cor_ifrs8_2025_eur_m" vbProcedure="false">Assumptions!$C$710</definedName>
    <definedName function="false" hidden="false" name="sfse_cor_pct_outstanding_2025" vbProcedure="false">Assumptions!$C$711</definedName>
    <definedName function="false" hidden="false" name="sfse_eu_nv_contracts_2025" vbProcedure="false">Assumptions!$C$119</definedName>
    <definedName function="false" hidden="false" name="sfse_opex_ifrs8_2025_eur_m" vbProcedure="false">Assumptions!$C$709</definedName>
    <definedName function="false" hidden="false" name="sfse_pen_at_2025" vbProcedure="false">Assumptions!$C$131</definedName>
    <definedName function="false" hidden="false" name="sfse_pen_be_lu_2025" vbProcedure="false">Assumptions!$C$129</definedName>
    <definedName function="false" hidden="false" name="sfse_pen_de_2025" vbProcedure="false">Assumptions!$C$125</definedName>
    <definedName function="false" hidden="false" name="sfse_pen_es_2025" vbProcedure="false">Assumptions!$C$127</definedName>
    <definedName function="false" hidden="false" name="sfse_pen_fr_2025" vbProcedure="false">Assumptions!$C$122</definedName>
    <definedName function="false" hidden="false" name="sfse_pen_fr_b2c_2025" vbProcedure="false">Assumptions!$C$124</definedName>
    <definedName function="false" hidden="false" name="sfse_pen_gb_2025" vbProcedure="false">Assumptions!$C$126</definedName>
    <definedName function="false" hidden="false" name="sfse_pen_it_2025" vbProcedure="false">Assumptions!$C$128</definedName>
    <definedName function="false" hidden="false" name="sfse_pen_pl_2025" vbProcedure="false">Assumptions!$C$133</definedName>
    <definedName function="false" hidden="false" name="sfse_pnb_ifrs8_2025_eur_m" vbProcedure="false">Assumptions!$C$708</definedName>
    <definedName function="false" hidden="false" name="sf_auto_advanced_usd_user_month" vbProcedure="false">Assumptions!$C$859</definedName>
    <definedName function="false" hidden="false" name="sf_auto_core_usd_user_month" vbProcedure="false">Assumptions!$C$858</definedName>
    <definedName function="false" hidden="false" name="sibling_penalty" vbProcedure="false">Assumptions!$C$69</definedName>
    <definedName function="false" hidden="false" name="sp_eu_rv_haircut_aaa" vbProcedure="false">Assumptions!$C$391</definedName>
    <definedName function="false" hidden="false" name="sp_eu_rv_haircut_bbb" vbProcedure="false">Assumptions!$C$390</definedName>
    <definedName function="false" hidden="false" name="stellantis_aramis_interest_pct" vbProcedure="false">Assumptions!$C$609</definedName>
    <definedName function="false" hidden="false" name="stla_synergies_2023_eur_bn" vbProcedure="false">Assumptions!$C$754</definedName>
    <definedName function="false" hidden="false" name="stla_synergies_target_eur_bn" vbProcedure="false">Assumptions!$C$755</definedName>
    <definedName function="false" hidden="false" name="stla_wacc_pretax_high_pct" vbProcedure="false">Assumptions!$C$753</definedName>
    <definedName function="false" hidden="false" name="stla_wacc_pretax_low_pct" vbProcedure="false">Assumptions!$C$752</definedName>
    <definedName function="false" hidden="false" name="targeting_leak_pct" vbProcedure="false">Assumptions!$C$116</definedName>
    <definedName function="false" hidden="false" name="tesla_pre_announcement" vbProcedure="false">Assumptions!$C$82</definedName>
    <definedName function="false" hidden="false" name="thin_share_of_book" vbProcedure="false">Assumptions!$C$117</definedName>
    <definedName function="false" hidden="false" name="tz_sold_no_report_early_pct" vbProcedure="false">Assumptions!$C$664</definedName>
    <definedName function="false" hidden="false" name="tz_sold_no_report_late_pct" vbProcedure="false">Assumptions!$C$662</definedName>
    <definedName function="false" hidden="false" name="tz_sold_report_early_pct" vbProcedure="false">Assumptions!$C$665</definedName>
    <definedName function="false" hidden="false" name="tz_sold_report_late_pct" vbProcedure="false">Assumptions!$C$663</definedName>
    <definedName function="false" hidden="false" name="upgrade_capture_uplift" vbProcedure="false">Assumptions!$C$134</definedName>
    <definedName function="false" hidden="false" name="up_ct_top_decile" vbProcedure="false">Assumptions!$C$211</definedName>
    <definedName function="false" hidden="false" name="up_gap_vs_response" vbProcedure="false">Assumptions!$C$232</definedName>
    <definedName function="false" hidden="false" name="up_random_top_decile" vbProcedure="false">Assumptions!$C$213</definedName>
    <definedName function="false" hidden="false" name="up_refit_ct_mean" vbProcedure="false">Assumptions!$C$233</definedName>
    <definedName function="false" hidden="false" name="up_refit_resp_mean" vbProcedure="false">Assumptions!$C$235</definedName>
    <definedName function="false" hidden="false" name="up_refit_two_mean" vbProcedure="false">Assumptions!$C$234</definedName>
    <definedName function="false" hidden="false" name="up_response_top_decile" vbProcedure="false">Assumptions!$C$212</definedName>
    <definedName function="false" hidden="false" name="window_nl_measured_m" vbProcedure="false">Assumptions!$C$793</definedName>
    <definedName function="false" hidden="false" name="window_nl_p10_m" vbProcedure="false">Assumptions!$C$794</definedName>
    <definedName function="false" hidden="false" name="window_nl_worst_m" vbProcedure="false">Assumptions!$C$795</definedName>
    <definedName function="false" hidden="false" name="x10_aramis_boom_index_yoy" vbProcedure="false">Assumptions!$C$607</definedName>
    <definedName function="false" hidden="false" name="x10_aramis_boom_yoy" vbProcedure="false">Assumptions!$C$606</definedName>
    <definedName function="false" hidden="false" name="x10_aramis_corr_lag3" vbProcedure="false">Assumptions!$C$604</definedName>
    <definedName function="false" hidden="false" name="x10_aramis_corr_same_q" vbProcedure="false">Assumptions!$C$603</definedName>
    <definedName function="false" hidden="false" name="x10_aramis_corr_xfr" vbProcedure="false">Assumptions!$C$605</definedName>
    <definedName function="false" hidden="false" name="x10_aramis_effect_agree_pts" vbProcedure="false">Assumptions!$C$608</definedName>
    <definedName function="false" hidden="false" name="x10_de_gap_2023_pts" vbProcedure="false">Assumptions!$C$601</definedName>
    <definedName function="false" hidden="false" name="x10_de_gap_2024_pts" vbProcedure="false">Assumptions!$C$602</definedName>
    <definedName function="false" hidden="false" name="x10_de_ratio_official_mix" vbProcedure="false">Assumptions!$C$598</definedName>
    <definedName function="false" hidden="false" name="x10_de_ratio_trimmed" vbProcedure="false">Assumptions!$C$600</definedName>
    <definedName function="false" hidden="false" name="x10_de_ratio_young_mix" vbProcedure="false">Assumptions!$C$599</definedName>
    <definedName function="false" hidden="false" name="x11_fi_exit_elast_10_20" vbProcedure="false">Assumptions!$C$556</definedName>
    <definedName function="false" hidden="false" name="x11_fi_exit_rate_main" vbProcedure="false">Assumptions!$C$560</definedName>
    <definedName function="false" hidden="false" name="x11_fi_exit_twice_10_20" vbProcedure="false">Assumptions!$C$554</definedName>
    <definedName function="false" hidden="false" name="x11_fi_exit_twice_laidup" vbProcedure="false">Assumptions!$C$563</definedName>
    <definedName function="false" hidden="false" name="x11_fi_exit_twice_main" vbProcedure="false">Assumptions!$C$559</definedName>
    <definedName function="false" hidden="false" name="x11_fi_exit_twice_permanent" vbProcedure="false">Assumptions!$C$562</definedName>
    <definedName function="false" hidden="false" name="x11_fi_exit_twice_stale" vbProcedure="false">Assumptions!$C$561</definedName>
    <definedName function="false" hidden="false" name="x11_fi_key_odo_fell" vbProcedure="false">Assumptions!$C$566</definedName>
    <definedName function="false" hidden="false" name="x11_fi_key_unique" vbProcedure="false">Assumptions!$C$565</definedName>
    <definedName function="false" hidden="false" name="x11_fi_laidup_share" vbProcedure="false">Assumptions!$C$564</definedName>
    <definedName function="false" hidden="false" name="x11_fi_uk_gap_se" vbProcedure="false">Assumptions!$C$558</definedName>
    <definedName function="false" hidden="false" name="x11_uk_exit_elast_10_20" vbProcedure="false">Assumptions!$C$557</definedName>
    <definedName function="false" hidden="false" name="x11_uk_exit_twice_10_20" vbProcedure="false">Assumptions!$C$555</definedName>
    <definedName function="false" hidden="false" name="x13_band_half_all" vbProcedure="false">Assumptions!$C$626</definedName>
    <definedName function="false" hidden="false" name="x13_band_half_old" vbProcedure="false">Assumptions!$C$627</definedName>
    <definedName function="false" hidden="false" name="x13_be_fixed_vs_engine" vbProcedure="false">Assumptions!$C$640</definedName>
    <definedName function="false" hidden="false" name="x13_be_full_vs_fixed" vbProcedure="false">Assumptions!$C$638</definedName>
    <definedName function="false" hidden="false" name="x13_be_full_vs_fixed_lay" vbProcedure="false">Assumptions!$C$639</definedName>
    <definedName function="false" hidden="false" name="x13_be_tied_vs_fixed" vbProcedure="false">Assumptions!$C$637</definedName>
    <definedName function="false" hidden="false" name="x13_dv_band_used_10" vbProcedure="false">Assumptions!$C$613</definedName>
    <definedName function="false" hidden="false" name="x13_dv_band_used_2" vbProcedure="false">Assumptions!$C$615</definedName>
    <definedName function="false" hidden="false" name="x13_dv_band_used_5" vbProcedure="false">Assumptions!$C$614</definedName>
    <definedName function="false" hidden="false" name="x13_dv_uptake_adjust2" vbProcedure="false">Assumptions!$C$612</definedName>
    <definedName function="false" hidden="false" name="x13_dv_uptake_adjust5" vbProcedure="false">Assumptions!$C$611</definedName>
    <definedName function="false" hidden="false" name="x13_dv_uptake_no_adjust" vbProcedure="false">Assumptions!$C$610</definedName>
    <definedName function="false" hidden="false" name="x13_oracle_fixed5" vbProcedure="false">Assumptions!$C$631</definedName>
    <definedName function="false" hidden="false" name="x13_oracle_full_band" vbProcedure="false">Assumptions!$C$632</definedName>
    <definedName function="false" hidden="false" name="x13_oracle_old_left_fixed5" vbProcedure="false">Assumptions!$C$633</definedName>
    <definedName function="false" hidden="false" name="x13_oracle_old_left_tied5" vbProcedure="false">Assumptions!$C$634</definedName>
    <definedName function="false" hidden="false" name="x13_outside5_all" vbProcedure="false">Assumptions!$C$628</definedName>
    <definedName function="false" hidden="false" name="x13_ps_err_free_typical" vbProcedure="false">Assumptions!$C$622</definedName>
    <definedName function="false" hidden="false" name="x13_ps_err_free_unusual" vbProcedure="false">Assumptions!$C$624</definedName>
    <definedName function="false" hidden="false" name="x13_ps_err_model_typical" vbProcedure="false">Assumptions!$C$621</definedName>
    <definedName function="false" hidden="false" name="x13_ps_err_model_unusual" vbProcedure="false">Assumptions!$C$623</definedName>
    <definedName function="false" hidden="false" name="x13_ps_own_closer_typical" vbProcedure="false">Assumptions!$C$618</definedName>
    <definedName function="false" hidden="false" name="x13_ps_own_closer_unusual" vbProcedure="false">Assumptions!$C$619</definedName>
    <definedName function="false" hidden="false" name="x13_ps_signal_r2" vbProcedure="false">Assumptions!$C$620</definedName>
    <definedName function="false" hidden="false" name="x13_ps_unusual_uncertainty_rank" vbProcedure="false">Assumptions!$C$625</definedName>
    <definedName function="false" hidden="false" name="x13_ps_woa_typical" vbProcedure="false">Assumptions!$C$616</definedName>
    <definedName function="false" hidden="false" name="x13_ps_woa_unusual" vbProcedure="false">Assumptions!$C$617</definedName>
    <definedName function="false" hidden="false" name="x13_tied_cap_old" vbProcedure="false">Assumptions!$C$636</definedName>
    <definedName function="false" hidden="false" name="x13_tied_cap_young" vbProcedure="false">Assumptions!$C$635</definedName>
    <definedName function="false" hidden="false" name="x13_widest_fifth_error_share" vbProcedure="false">Assumptions!$C$630</definedName>
    <definedName function="false" hidden="false" name="x13_width_error_corr" vbProcedure="false">Assumptions!$C$629</definedName>
    <definedName function="false" hidden="false" name="x14_agency_share_2024" vbProcedure="false">Assumptions!$C$91</definedName>
    <definedName function="false" hidden="false" name="x14_agency_share_2025p" vbProcedure="false">Assumptions!$C$92</definedName>
    <definedName function="false" hidden="false" name="x14_incentive_claims_central" vbProcedure="false">Assumptions!$C$85</definedName>
    <definedName function="false" hidden="false" name="x14_incentive_claims_high" vbProcedure="false">Assumptions!$C$87</definedName>
    <definedName function="false" hidden="false" name="x14_incentive_claims_low" vbProcedure="false">Assumptions!$C$86</definedName>
    <definedName function="false" hidden="false" name="x14_pilot_markets_fit" vbProcedure="false">Assumptions!$C$542</definedName>
    <definedName function="false" hidden="false" name="x14_pilot_share_at_spill" vbProcedure="false">Assumptions!$C$540</definedName>
    <definedName function="false" hidden="false" name="x14_pilot_share_be_lu_spill" vbProcedure="false">Assumptions!$C$541</definedName>
    <definedName function="false" hidden="false" name="x14_pilot_share_fr" vbProcedure="false">Assumptions!$C$538</definedName>
    <definedName function="false" hidden="false" name="x14_pilot_share_fr_spill" vbProcedure="false">Assumptions!$C$539</definedName>
    <definedName function="false" hidden="false" name="x15_auc_criteo" vbProcedure="false">Assumptions!$C$552</definedName>
    <definedName function="false" hidden="false" name="x15_auc_hillstrom" vbProcedure="false">Assumptions!$C$551</definedName>
    <definedName function="false" hidden="false" name="x15_auc_lenta" vbProcedure="false">Assumptions!$C$553</definedName>
    <definedName function="false" hidden="false" name="x15_cov_all_asbuilt" vbProcedure="false">Assumptions!$C$523</definedName>
    <definedName function="false" hidden="false" name="x15_cov_old_asbuilt" vbProcedure="false">Assumptions!$C$524</definedName>
    <definedName function="false" hidden="false" name="x15_cov_old_calibrated" vbProcedure="false">Assumptions!$C$525</definedName>
    <definedName function="false" hidden="false" name="x15_pilot_blocked_customers" vbProcedure="false">Assumptions!$C$535</definedName>
    <definedName function="false" hidden="false" name="x15_pilot_blocked_share_pct" vbProcedure="false">Assumptions!$C$537</definedName>
    <definedName function="false" hidden="false" name="x15_pilot_blocked_spill25_customers" vbProcedure="false">Assumptions!$C$536</definedName>
    <definedName function="false" hidden="false" name="x15_pilot_customers_per_arm" vbProcedure="false">Assumptions!$C$528</definedName>
    <definedName function="false" hidden="false" name="x15_pilot_dealers_icc001" vbProcedure="false">Assumptions!$C$529</definedName>
    <definedName function="false" hidden="false" name="x15_pilot_dealers_icc005" vbProcedure="false">Assumptions!$C$530</definedName>
    <definedName function="false" hidden="false" name="x15_pilot_dealers_icc01" vbProcedure="false">Assumptions!$C$531</definedName>
    <definedName function="false" hidden="false" name="x15_pilot_mde_100_icc001" vbProcedure="false">Assumptions!$C$532</definedName>
    <definedName function="false" hidden="false" name="x15_pilot_mde_100_icc005" vbProcedure="false">Assumptions!$C$533</definedName>
    <definedName function="false" hidden="false" name="x15_pilot_mde_100_icc01" vbProcedure="false">Assumptions!$C$534</definedName>
    <definedName function="false" hidden="false" name="x15_slices_below_asbuilt" vbProcedure="false">Assumptions!$C$526</definedName>
    <definedName function="false" hidden="false" name="x15_slices_below_calibrated" vbProcedure="false">Assumptions!$C$527</definedName>
    <definedName function="false" hidden="false" name="x15_uplift_gap_criteo" vbProcedure="false">Assumptions!$C$547</definedName>
    <definedName function="false" hidden="false" name="x15_uplift_gap_criteo_hi" vbProcedure="false">Assumptions!$C$549</definedName>
    <definedName function="false" hidden="false" name="x15_uplift_gap_criteo_lo" vbProcedure="false">Assumptions!$C$548</definedName>
    <definedName function="false" hidden="false" name="x15_uplift_gap_hillstrom" vbProcedure="false">Assumptions!$C$546</definedName>
    <definedName function="false" hidden="false" name="x15_uplift_gap_lenta" vbProcedure="false">Assumptions!$C$550</definedName>
    <definedName function="false" hidden="false" name="x17_age_cost_young" vbProcedure="false">Assumptions!$C$669</definedName>
    <definedName function="false" hidden="false" name="x17_channel_breakeven_days" vbProcedure="false">Assumptions!$C$672</definedName>
    <definedName function="false" hidden="false" name="x17_channel_gain_after_costs" vbProcedure="false">Assumptions!$C$670</definedName>
    <definedName function="false" hidden="false" name="x17_channel_gain_before_opex" vbProcedure="false">Assumptions!$C$671</definedName>
    <definedName function="false" hidden="false" name="x17_condition_days_saved" vbProcedure="false">Assumptions!$C$673</definedName>
    <definedName function="false" hidden="false" name="x17_days_cut" vbProcedure="false">Assumptions!$C$685</definedName>
    <definedName function="false" hidden="false" name="x17_day_cost_central" vbProcedure="false">Assumptions!$C$667</definedName>
    <definedName function="false" hidden="false" name="x17_day_cost_high" vbProcedure="false">Assumptions!$C$668</definedName>
    <definedName function="false" hidden="false" name="x17_day_cost_low" vbProcedure="false">Assumptions!$C$666</definedName>
    <definedName function="false" hidden="false" name="x17_left_digit_bunching" vbProcedure="false">Assumptions!$C$678</definedName>
    <definedName function="false" hidden="false" name="x17_left_digit_jump" vbProcedure="false">Assumptions!$C$676</definedName>
    <definedName function="false" hidden="false" name="x17_left_digit_placebo" vbProcedure="false">Assumptions!$C$677</definedName>
    <definedName function="false" hidden="false" name="x17_seasonal_spread_eu" vbProcedure="false">Assumptions!$C$674</definedName>
    <definedName function="false" hidden="false" name="x17_seasonal_spread_uk" vbProcedure="false">Assumptions!$C$675</definedName>
    <definedName function="false" hidden="false" name="x17_share_routed" vbProcedure="false">Assumptions!$C$686</definedName>
    <definedName function="false" hidden="false" name="x18_book_mean_12m" vbProcedure="false">Assumptions!$C$698</definedName>
    <definedName function="false" hidden="false" name="x18_book_median_12m" vbProcedure="false">Assumptions!$C$699</definedName>
    <definedName function="false" hidden="false" name="x18_exp_onesided_book" vbProcedure="false">Assumptions!$C$693</definedName>
    <definedName function="false" hidden="false" name="x18_exp_twosided_book" vbProcedure="false">Assumptions!$C$691</definedName>
    <definedName function="false" hidden="false" name="x18_exp_twosided_uk_long" vbProcedure="false">Assumptions!$C$692</definedName>
    <definedName function="false" hidden="false" name="x18_joint_p10_book" vbProcedure="false">Assumptions!$C$696</definedName>
    <definedName function="false" hidden="false" name="x18_joint_p10_stress" vbProcedure="false">Assumptions!$C$697</definedName>
    <definedName function="false" hidden="false" name="x18_joint_share_book" vbProcedure="false">Assumptions!$C$694</definedName>
    <definedName function="false" hidden="false" name="x18_joint_share_stress" vbProcedure="false">Assumptions!$C$695</definedName>
    <definedName function="false" hidden="false" name="x18_lv_curve_level_corr_12m" vbProcedure="false">Assumptions!$C$700</definedName>
    <definedName function="false" hidden="false" name="x18_lv_curve_level_corr_12m_indep" vbProcedure="false">Assumptions!$C$701</definedName>
    <definedName function="false" hidden="false" name="x19_all_cold_premium_12m" vbProcedure="false">Assumptions!$C$717</definedName>
    <definedName function="false" hidden="false" name="x19_all_cold_two_12m" vbProcedure="false">Assumptions!$C$718</definedName>
    <definedName function="false" hidden="false" name="x19_core_all_one_12m" vbProcedure="false">Assumptions!$C$715</definedName>
    <definedName function="false" hidden="false" name="x19_core_all_two_12m" vbProcedure="false">Assumptions!$C$714</definedName>
    <definedName function="false" hidden="false" name="x19_core_cold_premium_12m" vbProcedure="false">Assumptions!$C$712</definedName>
    <definedName function="false" hidden="false" name="x19_core_cold_two_12m" vbProcedure="false">Assumptions!$C$713</definedName>
    <definedName function="false" hidden="false" name="x19_pull_forward_months" vbProcedure="false">Assumptions!$C$719</definedName>
    <definedName function="false" hidden="false" name="x19_uk_cold_premium_12m" vbProcedure="false">Assumptions!$C$716</definedName>
    <definedName function="false" hidden="false" name="x1_7b_holdout_gamed_total" vbProcedure="false">Assumptions!$C$290</definedName>
    <definedName function="false" hidden="false" name="x1_7b_holdout_keeper_flagged" vbProcedure="false">Assumptions!$C$287</definedName>
    <definedName function="false" hidden="false" name="x1_7b_holdout_keeper_gamed" vbProcedure="false">Assumptions!$C$288</definedName>
    <definedName function="false" hidden="false" name="x1_7b_holdout_keeper_late_gamed" vbProcedure="false">Assumptions!$C$289</definedName>
    <definedName function="false" hidden="false" name="x1_7b_holdout_timing_flagged" vbProcedure="false">Assumptions!$C$285</definedName>
    <definedName function="false" hidden="false" name="x1_7b_holdout_timing_gamed" vbProcedure="false">Assumptions!$C$286</definedName>
    <definedName function="false" hidden="false" name="x1_contract_claims_ours" vbProcedure="false">Assumptions!$C$325</definedName>
    <definedName function="false" hidden="false" name="x1_full_review_units_per_1000" vbProcedure="false">Assumptions!$C$324</definedName>
    <definedName function="false" hidden="false" name="x1_gaming_dq_held" vbProcedure="false">Assumptions!$C$252</definedName>
    <definedName function="false" hidden="false" name="x1_gaming_dq_with_leak" vbProcedure="false">Assumptions!$C$253</definedName>
    <definedName function="false" hidden="false" name="x1_noise1_rule_right_car" vbProcedure="false">Assumptions!$C$255</definedName>
    <definedName function="false" hidden="false" name="x1_noise1_rule_wrong_dealer_unlinked" vbProcedure="false">Assumptions!$C$257</definedName>
    <definedName function="false" hidden="false" name="x1_noise1_splink_right_car" vbProcedure="false">Assumptions!$C$254</definedName>
    <definedName function="false" hidden="false" name="x1_noise1_splink_wrong_dealer_unlinked" vbProcedure="false">Assumptions!$C$256</definedName>
    <definedName function="false" hidden="false" name="x1_ours_false_alarms_full" vbProcedure="false">Assumptions!$C$307</definedName>
    <definedName function="false" hidden="false" name="x1_p8_band_phantoms" vbProcedure="false">Assumptions!$C$320</definedName>
    <definedName function="false" hidden="false" name="x1_p8_ceiling" vbProcedure="false">Assumptions!$C$317</definedName>
    <definedName function="false" hidden="false" name="x1_p8_llm_high_phantoms_linked" vbProcedure="false">Assumptions!$C$322</definedName>
    <definedName function="false" hidden="false" name="x1_p8_llm_phantoms_linked" vbProcedure="false">Assumptions!$C$321</definedName>
    <definedName function="false" hidden="false" name="x1_p8_llm_right_car" vbProcedure="false">Assumptions!$C$318</definedName>
    <definedName function="false" hidden="false" name="x1_p8_llm_wrong_car" vbProcedure="false">Assumptions!$C$323</definedName>
    <definedName function="false" hidden="false" name="x1_p8_rule_right_car" vbProcedure="false">Assumptions!$C$319</definedName>
    <definedName function="false" hidden="false" name="x1_p9_ours_fleet_unverified_legit" vbProcedure="false">Assumptions!$C$297</definedName>
    <definedName function="false" hidden="false" name="x1_p9_recall_bloom" vbProcedure="false">Assumptions!$C$292</definedName>
    <definedName function="false" hidden="false" name="x1_p9_recall_clear_dice" vbProcedure="false">Assumptions!$C$293</definedName>
    <definedName function="false" hidden="false" name="x1_p9_recall_keyed_hash" vbProcedure="false">Assumptions!$C$291</definedName>
    <definedName function="false" hidden="false" name="x1_p9_rt2_fleet_contradicted" vbProcedure="false">Assumptions!$C$295</definedName>
    <definedName function="false" hidden="false" name="x1_p9_rt2_fleet_unverified" vbProcedure="false">Assumptions!$C$296</definedName>
    <definedName function="false" hidden="false" name="x1_p9_wrong_bloom" vbProcedure="false">Assumptions!$C$294</definedName>
    <definedName function="false" hidden="false" name="x1_review_load_gaming_claims" vbProcedure="false">Assumptions!$C$250</definedName>
    <definedName function="false" hidden="false" name="x1_review_load_hard_rules" vbProcedure="false">Assumptions!$C$249</definedName>
    <definedName function="false" hidden="false" name="x1_review_units_per_1000" vbProcedure="false">Assumptions!$C$251</definedName>
    <definedName function="false" hidden="false" name="x1_rt2_blind_fleet_upcode" vbProcedure="false">Assumptions!$C$258</definedName>
    <definedName function="false" hidden="false" name="x1_rt2_blind_order_forward_date" vbProcedure="false">Assumptions!$C$259</definedName>
    <definedName function="false" hidden="false" name="x1_rt3_blind_euro_recall" vbProcedure="false">Assumptions!$C$301</definedName>
    <definedName function="false" hidden="false" name="x1_rt3_blind_hard_flagged" vbProcedure="false">Assumptions!$C$302</definedName>
    <definedName function="false" hidden="false" name="x1_rt4_blind_euro_recall" vbProcedure="false">Assumptions!$C$303</definedName>
    <definedName function="false" hidden="false" name="x1_rt4_blind_false_alarms" vbProcedure="false">Assumptions!$C$306</definedName>
    <definedName function="false" hidden="false" name="x1_rt4_blind_hard_flagged" vbProcedure="false">Assumptions!$C$304</definedName>
    <definedName function="false" hidden="false" name="x1_rt4_leak_eur_k" vbProcedure="false">Assumptions!$C$305</definedName>
    <definedName function="false" hidden="false" name="x1_runtime_layer2_seconds" vbProcedure="false">Assumptions!$C$260</definedName>
    <definedName function="false" hidden="false" name="x20_reg_not_checked_2024" vbProcedure="false">Assumptions!$C$737</definedName>
    <definedName function="false" hidden="false" name="x20_reg_no_route_2024" vbProcedure="false">Assumptions!$C$736</definedName>
    <definedName function="false" hidden="false" name="x20_reg_route_any_2024" vbProcedure="false">Assumptions!$C$734</definedName>
    <definedName function="false" hidden="false" name="x20_reg_route_bulk_2024" vbProcedure="false">Assumptions!$C$735</definedName>
    <definedName function="false" hidden="false" name="x21_cov_core_2024" vbProcedure="false">Assumptions!$C$766</definedName>
    <definedName function="false" hidden="false" name="x21_cov_pilot_2024" vbProcedure="false">Assumptions!$C$765</definedName>
    <definedName function="false" hidden="false" name="x21_phase_months" vbProcedure="false">Assumptions!$C$764</definedName>
    <definedName function="false" hidden="false" name="x22_audit_n_prec95" vbProcedure="false">Assumptions!$C$778</definedName>
    <definedName function="false" hidden="false" name="x22_band_n_engine_tied" vbProcedure="false">Assumptions!$C$787</definedName>
    <definedName function="false" hidden="false" name="x22_band_n_tied_full" vbProcedure="false">Assumptions!$C$788</definedName>
    <definedName function="false" hidden="false" name="x22_engine_cov_n" vbProcedure="false">Assumptions!$C$784</definedName>
    <definedName function="false" hidden="false" name="x22_engine_pair_n_rho50" vbProcedure="false">Assumptions!$C$785</definedName>
    <definedName function="false" hidden="false" name="x22_exaggeration_half_gate" vbProcedure="false">Assumptions!$C$782</definedName>
    <definedName function="false" hidden="false" name="x22_lower_at_gate_pp" vbProcedure="false">Assumptions!$C$783</definedName>
    <definedName function="false" hidden="false" name="x22_obf_extra_pct" vbProcedure="false">Assumptions!$C$781</definedName>
    <definedName function="false" hidden="false" name="x22_pilot_share_half_pct" vbProcedure="false">Assumptions!$C$780</definedName>
    <definedName function="false" hidden="false" name="x22_returns_core_phase" vbProcedure="false">Assumptions!$C$786</definedName>
    <definedName function="false" hidden="false" name="x22_seed_n_rec80" vbProcedure="false">Assumptions!$C$779</definedName>
    <definedName function="false" hidden="false" name="x24_gap_aramis_low_pct" vbProcedure="false">Assumptions!$C$825</definedName>
    <definedName function="false" hidden="false" name="x24_gap_ceiling_pct" vbProcedure="false">Assumptions!$C$826</definedName>
    <definedName function="false" hidden="false" name="x24_gap_floor_pct" vbProcedure="false">Assumptions!$C$824</definedName>
    <definedName function="false" hidden="false" name="x24_us_corr_lead" vbProcedure="false">Assumptions!$C$831</definedName>
    <definedName function="false" hidden="false" name="x24_us_lead_months" vbProcedure="false">Assumptions!$C$830</definedName>
    <definedName function="false" hidden="false" name="x24_us_p10_retail_pct" vbProcedure="false">Assumptions!$C$829</definedName>
    <definedName function="false" hidden="false" name="x24_us_p10_trade_pct" vbProcedure="false">Assumptions!$C$828</definedName>
    <definedName function="false" hidden="false" name="x24_us_sd_ratio" vbProcedure="false">Assumptions!$C$827</definedName>
    <definedName function="false" hidden="false" name="x24_us_slope_lead" vbProcedure="false">Assumptions!$C$832</definedName>
    <definedName function="false" hidden="false" name="x24_us_slump_2008" vbProcedure="false">Assumptions!$C$833</definedName>
    <definedName function="false" hidden="false" name="x24_us_slump_2022" vbProcedure="false">Assumptions!$C$834</definedName>
    <definedName function="false" hidden="false" name="x25_days_per_fte_year" vbProcedure="false">Assumptions!$C$905</definedName>
    <definedName function="false" hidden="false" name="x25_gbp_per_eur" vbProcedure="false">Assumptions!$C$904</definedName>
    <definedName function="false" hidden="false" name="x25_ict_hardfill_de_pct" vbProcedure="false">Assumptions!$C$899</definedName>
    <definedName function="false" hidden="false" name="x25_ict_hardfill_es_pct" vbProcedure="false">Assumptions!$C$901</definedName>
    <definedName function="false" hidden="false" name="x25_ict_hardfill_fr_pct" vbProcedure="false">Assumptions!$C$898</definedName>
    <definedName function="false" hidden="false" name="x25_ict_hardfill_it_pct" vbProcedure="false">Assumptions!$C$900</definedName>
    <definedName function="false" hidden="false" name="x25_ict_hardfill_pl_pct" vbProcedure="false">Assumptions!$C$902</definedName>
    <definedName function="false" hidden="false" name="x25_loaded_oc1_de_eur" vbProcedure="false">Assumptions!$C$886</definedName>
    <definedName function="false" hidden="false" name="x25_loaded_oc1_es_eur" vbProcedure="false">Assumptions!$C$892</definedName>
    <definedName function="false" hidden="false" name="x25_loaded_oc1_fr_eur" vbProcedure="false">Assumptions!$C$883</definedName>
    <definedName function="false" hidden="false" name="x25_loaded_oc1_it_eur" vbProcedure="false">Assumptions!$C$889</definedName>
    <definedName function="false" hidden="false" name="x25_loaded_oc1_pl_eur" vbProcedure="false">Assumptions!$C$895</definedName>
    <definedName function="false" hidden="false" name="x25_loaded_oc2_de_eur" vbProcedure="false">Assumptions!$C$887</definedName>
    <definedName function="false" hidden="false" name="x25_loaded_oc2_es_eur" vbProcedure="false">Assumptions!$C$893</definedName>
    <definedName function="false" hidden="false" name="x25_loaded_oc2_fr_eur" vbProcedure="false">Assumptions!$C$884</definedName>
    <definedName function="false" hidden="false" name="x25_loaded_oc2_it_eur" vbProcedure="false">Assumptions!$C$890</definedName>
    <definedName function="false" hidden="false" name="x25_loaded_oc2_pl_eur" vbProcedure="false">Assumptions!$C$896</definedName>
    <definedName function="false" hidden="false" name="x25_loaded_oc3_de_eur" vbProcedure="false">Assumptions!$C$888</definedName>
    <definedName function="false" hidden="false" name="x25_loaded_oc3_es_eur" vbProcedure="false">Assumptions!$C$894</definedName>
    <definedName function="false" hidden="false" name="x25_loaded_oc3_fr_eur" vbProcedure="false">Assumptions!$C$885</definedName>
    <definedName function="false" hidden="false" name="x25_loaded_oc3_it_eur" vbProcedure="false">Assumptions!$C$891</definedName>
    <definedName function="false" hidden="false" name="x25_loaded_oc3_pl_eur" vbProcedure="false">Assumptions!$C$897</definedName>
    <definedName function="false" hidden="false" name="x25_loc_fr_pct" vbProcedure="false">Assumptions!$C$909</definedName>
    <definedName function="false" hidden="false" name="x25_overhead_pct" vbProcedure="false">Assumptions!$C$906</definedName>
    <definedName function="false" hidden="false" name="x25_usd_per_eur" vbProcedure="false">Assumptions!$C$903</definedName>
    <definedName function="false" hidden="false" name="x2_de_short_fca_2007_2020" vbProcedure="false">Assumptions!$C$268</definedName>
    <definedName function="false" hidden="false" name="x2_de_short_other_2007_2020" vbProcedure="false">Assumptions!$C$269</definedName>
    <definedName function="false" hidden="false" name="x2_de_short_psa_2021_2022" vbProcedure="false">Assumptions!$C$270</definedName>
    <definedName function="false" hidden="false" name="x2_de_short_psa_2023" vbProcedure="false">Assumptions!$C$271</definedName>
    <definedName function="false" hidden="false" name="x2_it_group_l3_no_selfreg" vbProcedure="false">Assumptions!$C$315</definedName>
    <definedName function="false" hidden="false" name="x2_it_group_l3_share" vbProcedure="false">Assumptions!$C$311</definedName>
    <definedName function="false" hidden="false" name="x2_it_group_selfreg_share" vbProcedure="false">Assumptions!$C$313</definedName>
    <definedName function="false" hidden="false" name="x2_it_other_l3_no_selfreg" vbProcedure="false">Assumptions!$C$316</definedName>
    <definedName function="false" hidden="false" name="x2_it_other_l3_share" vbProcedure="false">Assumptions!$C$312</definedName>
    <definedName function="false" hidden="false" name="x2_it_other_selfreg_share" vbProcedure="false">Assumptions!$C$314</definedName>
    <definedName function="false" hidden="false" name="x2_nl_bodymix_psa" vbProcedure="false">Assumptions!$C$265</definedName>
    <definedName function="false" hidden="false" name="x2_nl_fuelmix_fca" vbProcedure="false">Assumptions!$C$310</definedName>
    <definedName function="false" hidden="false" name="x2_nl_fuelmix_opel" vbProcedure="false">Assumptions!$C$309</definedName>
    <definedName function="false" hidden="false" name="x2_nl_fuelmix_psa" vbProcedure="false">Assumptions!$C$308</definedName>
    <definedName function="false" hidden="false" name="x2_nl_merger_fca_vs_psa_24m" vbProcedure="false">Assumptions!$C$266</definedName>
    <definedName function="false" hidden="false" name="x2_nl_merger_fca_vs_psa_p" vbProcedure="false">Assumptions!$C$267</definedName>
    <definedName function="false" hidden="false" name="x2_nl_monthend_fca" vbProcedure="false">Assumptions!$C$263</definedName>
    <definedName function="false" hidden="false" name="x2_nl_monthend_opel" vbProcedure="false">Assumptions!$C$262</definedName>
    <definedName function="false" hidden="false" name="x2_nl_monthend_other" vbProcedure="false">Assumptions!$C$264</definedName>
    <definedName function="false" hidden="false" name="x2_nl_monthend_psa" vbProcedure="false">Assumptions!$C$261</definedName>
    <definedName function="false" hidden="false" name="x3_engine_err_12m_with" vbProcedure="false">Assumptions!$C$329</definedName>
    <definedName function="false" hidden="false" name="x3_engine_err_12m_without" vbProcedure="false">Assumptions!$C$328</definedName>
    <definedName function="false" hidden="false" name="x3_engine_err_3m_with" vbProcedure="false">Assumptions!$C$327</definedName>
    <definedName function="false" hidden="false" name="x3_engine_err_3m_without" vbProcedure="false">Assumptions!$C$326</definedName>
    <definedName function="false" hidden="false" name="x3_nl_group_spike_48m" vbProcedure="false">Assumptions!$C$278</definedName>
    <definedName function="false" hidden="false" name="x3_nl_group_spike_48m_p" vbProcedure="false">Assumptions!$C$279</definedName>
    <definedName function="false" hidden="false" name="x3_nl_group_spike_60m" vbProcedure="false">Assumptions!$C$280</definedName>
    <definedName function="false" hidden="false" name="x3_nl_group_spike_60m_p" vbProcedure="false">Assumptions!$C$281</definedName>
    <definedName function="false" hidden="false" name="x3_nl_lease_spike_36m" vbProcedure="false">Assumptions!$C$276</definedName>
    <definedName function="false" hidden="false" name="x3_nl_lease_spike_48m" vbProcedure="false">Assumptions!$C$274</definedName>
    <definedName function="false" hidden="false" name="x3_nl_lease_spike_48m_p" vbProcedure="false">Assumptions!$C$275</definedName>
    <definedName function="false" hidden="false" name="x3_nl_lease_spike_60m" vbProcedure="false">Assumptions!$C$272</definedName>
    <definedName function="false" hidden="false" name="x3_nl_lease_spike_60m_2023_24" vbProcedure="false">Assumptions!$C$277</definedName>
    <definedName function="false" hidden="false" name="x3_nl_lease_spike_60m_p" vbProcedure="false">Assumptions!$C$273</definedName>
    <definedName function="false" hidden="false" name="x3_nl_spike60_dacia" vbProcedure="false">Assumptions!$C$299</definedName>
    <definedName function="false" hidden="false" name="x3_nl_spike60_suzuki" vbProcedure="false">Assumptions!$C$300</definedName>
    <definedName function="false" hidden="false" name="x3_nl_spike60_tesla" vbProcedure="false">Assumptions!$C$298</definedName>
    <definedName function="false" hidden="false" name="x4_level_part_per_car" vbProcedure="false">Assumptions!$C$338</definedName>
    <definedName function="false" hidden="false" name="x4_upgrade_base_2025" vbProcedure="false">Assumptions!$C$333</definedName>
    <definedName function="false" hidden="false" name="x4_upgrade_base_all" vbProcedure="false">Assumptions!$C$331</definedName>
    <definedName function="false" hidden="false" name="x4_upgrade_flagged_2025" vbProcedure="false">Assumptions!$C$332</definedName>
    <definedName function="false" hidden="false" name="x4_upgrade_flagged_all" vbProcedure="false">Assumptions!$C$330</definedName>
    <definedName function="false" hidden="false" name="x4_upgrade_window_base_2023" vbProcedure="false">Assumptions!$C$337</definedName>
    <definedName function="false" hidden="false" name="x4_upgrade_window_base_all" vbProcedure="false">Assumptions!$C$335</definedName>
    <definedName function="false" hidden="false" name="x4_upgrade_window_flagged_2023" vbProcedure="false">Assumptions!$C$336</definedName>
    <definedName function="false" hidden="false" name="x4_upgrade_window_flagged_all" vbProcedure="false">Assumptions!$C$334</definedName>
    <definedName function="false" hidden="false" name="x5_acea25_bev" vbProcedure="false">Assumptions!$C$364</definedName>
    <definedName function="false" hidden="false" name="x5_acea25_diesel" vbProcedure="false">Assumptions!$C$368</definedName>
    <definedName function="false" hidden="false" name="x5_acea25_hev" vbProcedure="false">Assumptions!$C$366</definedName>
    <definedName function="false" hidden="false" name="x5_acea25_petrol" vbProcedure="false">Assumptions!$C$367</definedName>
    <definedName function="false" hidden="false" name="x5_acea25_phev" vbProcedure="false">Assumptions!$C$365</definedName>
    <definedName function="false" hidden="false" name="x5_elast_ch_avg" vbProcedure="false">Assumptions!$C$339</definedName>
    <definedName function="false" hidden="false" name="x5_elast_ch_diesel_q1" vbProcedure="false">Assumptions!$C$352</definedName>
    <definedName function="false" hidden="false" name="x5_elast_ch_diesel_q2" vbProcedure="false">Assumptions!$C$353</definedName>
    <definedName function="false" hidden="false" name="x5_elast_ch_diesel_q3" vbProcedure="false">Assumptions!$C$354</definedName>
    <definedName function="false" hidden="false" name="x5_elast_ch_diesel_q4" vbProcedure="false">Assumptions!$C$355</definedName>
    <definedName function="false" hidden="false" name="x5_elast_ch_electric_q1" vbProcedure="false">Assumptions!$C$356</definedName>
    <definedName function="false" hidden="false" name="x5_elast_ch_electric_q2" vbProcedure="false">Assumptions!$C$357</definedName>
    <definedName function="false" hidden="false" name="x5_elast_ch_electric_q3" vbProcedure="false">Assumptions!$C$358</definedName>
    <definedName function="false" hidden="false" name="x5_elast_ch_electric_q4" vbProcedure="false">Assumptions!$C$359</definedName>
    <definedName function="false" hidden="false" name="x5_elast_ch_highinc" vbProcedure="false">Assumptions!$C$341</definedName>
    <definedName function="false" hidden="false" name="x5_elast_ch_hybrid_q1" vbProcedure="false">Assumptions!$C$360</definedName>
    <definedName function="false" hidden="false" name="x5_elast_ch_hybrid_q2" vbProcedure="false">Assumptions!$C$361</definedName>
    <definedName function="false" hidden="false" name="x5_elast_ch_hybrid_q3" vbProcedure="false">Assumptions!$C$362</definedName>
    <definedName function="false" hidden="false" name="x5_elast_ch_hybrid_q4" vbProcedure="false">Assumptions!$C$363</definedName>
    <definedName function="false" hidden="false" name="x5_elast_ch_lowinc" vbProcedure="false">Assumptions!$C$340</definedName>
    <definedName function="false" hidden="false" name="x5_elast_ch_petrol_q1" vbProcedure="false">Assumptions!$C$348</definedName>
    <definedName function="false" hidden="false" name="x5_elast_ch_petrol_q2" vbProcedure="false">Assumptions!$C$349</definedName>
    <definedName function="false" hidden="false" name="x5_elast_ch_petrol_q3" vbProcedure="false">Assumptions!$C$350</definedName>
    <definedName function="false" hidden="false" name="x5_elast_ch_petrol_q4" vbProcedure="false">Assumptions!$C$351</definedName>
    <definedName function="false" hidden="false" name="x5_group_share_eu" vbProcedure="false">Assumptions!$C$346</definedName>
    <definedName function="false" hidden="false" name="x5_markup_grv" vbProcedure="false">Assumptions!$C$344</definedName>
    <definedName function="false" hidden="false" name="x5_pull_forward" vbProcedure="false">Assumptions!$C$347</definedName>
    <definedName function="false" hidden="false" name="x5_scrap_nontargeted" vbProcedure="false">Assumptions!$C$342</definedName>
    <definedName function="false" hidden="false" name="x5_scrap_targeted" vbProcedure="false">Assumptions!$C$343</definedName>
    <definedName function="false" hidden="false" name="x5_targeting_gain_central" vbProcedure="false">Assumptions!$C$369</definedName>
    <definedName function="false" hidden="false" name="x5_targeting_gain_high" vbProcedure="false">Assumptions!$C$371</definedName>
    <definedName function="false" hidden="false" name="x5_targeting_gain_low" vbProcedure="false">Assumptions!$C$370</definedName>
    <definedName function="false" hidden="false" name="x5_targeting_gain_pct_spend" vbProcedure="false">Assumptions!$C$372</definedName>
    <definedName function="false" hidden="false" name="x5_type_saving_high" vbProcedure="false">Assumptions!$C$374</definedName>
    <definedName function="false" hidden="false" name="x5_type_saving_low" vbProcedure="false">Assumptions!$C$373</definedName>
    <definedName function="false" hidden="false" name="x6_capital_contract_group_48m" vbProcedure="false">Assumptions!$C$394</definedName>
    <definedName function="false" hidden="false" name="x6_charge_cold_36m" vbProcedure="false">Assumptions!$C$400</definedName>
    <definedName function="false" hidden="false" name="x6_charge_cold_48m" vbProcedure="false">Assumptions!$C$402</definedName>
    <definedName function="false" hidden="false" name="x6_charge_middle_36m" vbProcedure="false">Assumptions!$C$401</definedName>
    <definedName function="false" hidden="false" name="x6_charge_middle_48m" vbProcedure="false">Assumptions!$C$403</definedName>
    <definedName function="false" hidden="false" name="x6_charge_month_corsa_48m" vbProcedure="false">Assumptions!$C$383</definedName>
    <definedName function="false" hidden="false" name="x6_charge_month_group_36m" vbProcedure="false">Assumptions!$C$380</definedName>
    <definedName function="false" hidden="false" name="x6_charge_month_group_48m" vbProcedure="false">Assumptions!$C$379</definedName>
    <definedName function="false" hidden="false" name="x6_charge_month_group_48m_nochange" vbProcedure="false">Assumptions!$C$381</definedName>
    <definedName function="false" hidden="false" name="x6_el_share_core_36m_median" vbProcedure="false">Assumptions!$C$376</definedName>
    <definedName function="false" hidden="false" name="x6_el_share_core_48m_median" vbProcedure="false">Assumptions!$C$377</definedName>
    <definedName function="false" hidden="false" name="x6_loss_contract_group_48m" vbProcedure="false">Assumptions!$C$378</definedName>
    <definedName function="false" hidden="false" name="x6_oos_coverage_36m" vbProcedure="false">Assumptions!$C$398</definedName>
    <definedName function="false" hidden="false" name="x6_oos_coverage_48m" vbProcedure="false">Assumptions!$C$399</definedName>
    <definedName function="false" hidden="false" name="x6_price_contract_group_48m" vbProcedure="false">Assumptions!$C$395</definedName>
    <definedName function="false" hidden="false" name="x6_price_share_group_48m" vbProcedure="false">Assumptions!$C$396</definedName>
    <definedName function="false" hidden="false" name="x6_state_error_saved_36m" vbProcedure="false">Assumptions!$C$404</definedName>
    <definedName function="false" hidden="false" name="x6_state_error_saved_48m" vbProcedure="false">Assumptions!$C$405</definedName>
    <definedName function="false" hidden="false" name="x6_state_peak_36m" vbProcedure="false">Assumptions!$C$406</definedName>
    <definedName function="false" hidden="false" name="x6_worst_tenth_group_48m" vbProcedure="false">Assumptions!$C$382</definedName>
    <definedName function="false" hidden="false" name="x7_ald_slope_36m" vbProcedure="false">Assumptions!$C$465</definedName>
    <definedName function="false" hidden="false" name="x7_ald_slope_48m" vbProcedure="false">Assumptions!$C$466</definedName>
    <definedName function="false" hidden="false" name="x7_best_p_12m" vbProcedure="false">Assumptions!$C$442</definedName>
    <definedName function="false" hidden="false" name="x7_best_ratio_12m" vbProcedure="false">Assumptions!$C$441</definedName>
    <definedName function="false" hidden="false" name="x7_best_ratio_3m" vbProcedure="false">Assumptions!$C$440</definedName>
    <definedName function="false" hidden="false" name="x7_caphpi_closer_fell_36m" vbProcedure="false">Assumptions!$C$462</definedName>
    <definedName function="false" hidden="false" name="x7_caphpi_closer_rose_36m" vbProcedure="false">Assumptions!$C$461</definedName>
    <definedName function="false" hidden="false" name="x7_caphpi_intercept_36m" vbProcedure="false">Assumptions!$C$463</definedName>
    <definedName function="false" hidden="false" name="x7_caphpi_nochange_rmse_12m" vbProcedure="false">Assumptions!$C$460</definedName>
    <definedName function="false" hidden="false" name="x7_caphpi_nochange_rmse_36m" vbProcedure="false">Assumptions!$C$458</definedName>
    <definedName function="false" hidden="false" name="x7_caphpi_rmse_12m" vbProcedure="false">Assumptions!$C$459</definedName>
    <definedName function="false" hidden="false" name="x7_caphpi_rmse_36m" vbProcedure="false">Assumptions!$C$457</definedName>
    <definedName function="false" hidden="false" name="x7_caphpi_slope_36m" vbProcedure="false">Assumptions!$C$464</definedName>
    <definedName function="false" hidden="false" name="x7_nofr_best_p_12m" vbProcedure="false">Assumptions!$C$447</definedName>
    <definedName function="false" hidden="false" name="x7_nofr_best_ratio_12m" vbProcedure="false">Assumptions!$C$446</definedName>
    <definedName function="false" hidden="false" name="x7_power_48m_panel_market" vbProcedure="false">Assumptions!$C$454</definedName>
    <definedName function="false" hidden="false" name="x7_power_48m_uk" vbProcedure="false">Assumptions!$C$455</definedName>
    <definedName function="false" hidden="false" name="x7_power_48m_us1953" vbProcedure="false">Assumptions!$C$456</definedName>
    <definedName function="false" hidden="false" name="x7_realterms_down_48m" vbProcedure="false">Assumptions!$C$445</definedName>
    <definedName function="false" hidden="false" name="x7_realterms_p_48m" vbProcedure="false">Assumptions!$C$444</definedName>
    <definedName function="false" hidden="false" name="x7_realterms_ratio_48m" vbProcedure="false">Assumptions!$C$443</definedName>
    <definedName function="false" hidden="false" name="x7_uk_best_ratio_12m" vbProcedure="false">Assumptions!$C$448</definedName>
    <definedName function="false" hidden="false" name="x7_uk_best_ratio_48m" vbProcedure="false">Assumptions!$C$449</definedName>
    <definedName function="false" hidden="false" name="x7_us1953_realterms_p_48m" vbProcedure="false">Assumptions!$C$451</definedName>
    <definedName function="false" hidden="false" name="x7_us1953_realterms_ratio_48m" vbProcedure="false">Assumptions!$C$450</definedName>
    <definedName function="false" hidden="false" name="x7_us1987_realterms_p_48m" vbProcedure="false">Assumptions!$C$453</definedName>
    <definedName function="false" hidden="false" name="x7_us1987_realterms_ratio_48m" vbProcedure="false">Assumptions!$C$452</definedName>
    <definedName function="false" hidden="false" name="x8_books_corr_1y" vbProcedure="false">Assumptions!$C$480</definedName>
    <definedName function="false" hidden="false" name="x8_coincide_48m" vbProcedure="false">Assumptions!$C$481</definedName>
    <definedName function="false" hidden="false" name="x8_core_tail_pl_share" vbProcedure="false">Assumptions!$C$484</definedName>
    <definedName function="false" hidden="false" name="x8_div_36m_tail_pct" vbProcedure="false">Assumptions!$C$478</definedName>
    <definedName function="false" hidden="false" name="x8_div_48m_tail_pct" vbProcedure="false">Assumptions!$C$479</definedName>
    <definedName function="false" hidden="false" name="x8_div_contract_36m" vbProcedure="false">Assumptions!$C$493</definedName>
    <definedName function="false" hidden="false" name="x8_div_contract_48m" vbProcedure="false">Assumptions!$C$492</definedName>
    <definedName function="false" hidden="false" name="x8_div_eur_base" vbProcedure="false">Assumptions!$C$485</definedName>
    <definedName function="false" hidden="false" name="x8_div_eur_base_high" vbProcedure="false">Assumptions!$C$487</definedName>
    <definedName function="false" hidden="false" name="x8_div_eur_base_low" vbProcedure="false">Assumptions!$C$486</definedName>
    <definedName function="false" hidden="false" name="x8_div_eur_stress" vbProcedure="false">Assumptions!$C$488</definedName>
    <definedName function="false" hidden="false" name="x8_div_p10_1y_pct" vbProcedure="false">Assumptions!$C$476</definedName>
    <definedName function="false" hidden="false" name="x8_div_worst_1y_pct" vbProcedure="false">Assumptions!$C$477</definedName>
    <definedName function="false" hidden="false" name="x8_eff_markets_fca" vbProcedure="false">Assumptions!$C$472</definedName>
    <definedName function="false" hidden="false" name="x8_eff_markets_merged" vbProcedure="false">Assumptions!$C$473</definedName>
    <definedName function="false" hidden="false" name="x8_eff_markets_psa" vbProcedure="false">Assumptions!$C$471</definedName>
    <definedName function="false" hidden="false" name="x8_fca_italy_share" vbProcedure="false">Assumptions!$C$474</definedName>
    <definedName function="false" hidden="false" name="x8_leak3_base_book_eur" vbProcedure="false">Assumptions!$C$489</definedName>
    <definedName function="false" hidden="false" name="x8_leak3_base_book_nofr_eur" vbProcedure="false">Assumptions!$C$490</definedName>
    <definedName function="false" hidden="false" name="x8_leak3_stress_book_eur" vbProcedure="false">Assumptions!$C$491</definedName>
    <definedName function="false" hidden="false" name="x8_merged_p10_1y" vbProcedure="false">Assumptions!$C$482</definedName>
    <definedName function="false" hidden="false" name="x8_merged_worst_1y" vbProcedure="false">Assumptions!$C$483</definedName>
    <definedName function="false" hidden="false" name="x8_psa_france_share" vbProcedure="false">Assumptions!$C$475</definedName>
    <definedName function="false" hidden="false" name="x9_curve_gap_de" vbProcedure="false">Assumptions!$C$501</definedName>
    <definedName function="false" hidden="false" name="x9_curve_gap_nl" vbProcedure="false">Assumptions!$C$500</definedName>
    <definedName function="false" hidden="false" name="x9_curve_gap_pt" vbProcedure="false">Assumptions!$C$499</definedName>
    <definedName function="false" hidden="false" name="x9_curve_gap_se" vbProcedure="false">Assumptions!$C$502</definedName>
    <definedName function="false" hidden="false" name="x9_ev_cov_asbuilt" vbProcedure="false">Assumptions!$C$518</definedName>
    <definedName function="false" hidden="false" name="x9_ev_excess_err" vbProcedure="false">Assumptions!$C$522</definedName>
    <definedName function="false" hidden="false" name="x9_ev_typical_err" vbProcedure="false">Assumptions!$C$520</definedName>
    <definedName function="false" hidden="false" name="x9_group_bev_share_2024" vbProcedure="false">Assumptions!$C$514</definedName>
    <definedName function="false" hidden="false" name="x9_group_bev_share_2025p" vbProcedure="false">Assumptions!$C$517</definedName>
    <definedName function="false" hidden="false" name="x9_group_phev_share_2024" vbProcedure="false">Assumptions!$C$515</definedName>
    <definedName function="false" hidden="false" name="x9_ice_cov_asbuilt" vbProcedure="false">Assumptions!$C$519</definedName>
    <definedName function="false" hidden="false" name="x9_ice_typical_err" vbProcedure="false">Assumptions!$C$521</definedName>
    <definedName function="false" hidden="false" name="x9_market_bev_share_2024" vbProcedure="false">Assumptions!$C$516</definedName>
    <definedName function="false" hidden="false" name="x9_pl_ev_slump_gap" vbProcedure="false">Assumptions!$C$494</definedName>
    <definedName function="false" hidden="false" name="x9_pl_ev_slump_gap_hi" vbProcedure="false">Assumptions!$C$496</definedName>
    <definedName function="false" hidden="false" name="x9_pl_ev_slump_gap_lo" vbProcedure="false">Assumptions!$C$495</definedName>
    <definedName function="false" hidden="false" name="x9_pl_ev_slump_gap_notesla" vbProcedure="false">Assumptions!$C$497</definedName>
    <definedName function="false" hidden="false" name="x9_pl_hybrid_slump_gap" vbProcedure="false">Assumptions!$C$498</definedName>
    <definedName function="false" hidden="false" name="x9_us_bev_notesla_p10_1y" vbProcedure="false">Assumptions!$C$505</definedName>
    <definedName function="false" hidden="false" name="x9_us_bev_p10_1y" vbProcedure="false">Assumptions!$C$503</definedName>
    <definedName function="false" hidden="false" name="x9_us_bev_peak_fall" vbProcedure="false">Assumptions!$C$507</definedName>
    <definedName function="false" hidden="false" name="x9_us_market_p10_1y" vbProcedure="false">Assumptions!$C$504</definedName>
    <definedName function="false" hidden="false" name="x9_us_phev_p10_1y" vbProcedure="false">Assumptions!$C$506</definedName>
    <definedName function="false" hidden="false" name="x9_us_ratio_48m_median" vbProcedure="false">Assumptions!$C$511</definedName>
    <definedName function="false" hidden="false" name="x9_us_ratio_48m_median_hi" vbProcedure="false">Assumptions!$C$513</definedName>
    <definedName function="false" hidden="false" name="x9_us_ratio_48m_median_lo" vbProcedure="false">Assumptions!$C$512</definedName>
    <definedName function="false" hidden="false" name="x9_us_ratio_p10_1y" vbProcedure="false">Assumptions!$C$508</definedName>
    <definedName function="false" hidden="false" name="x9_us_ratio_p10_1y_hi" vbProcedure="false">Assumptions!$C$510</definedName>
    <definedName function="false" hidden="false" name="x9_us_ratio_p10_1y_lo" vbProcedure="false">Assumptions!$C$509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<sst xmlns="http://schemas.openxmlformats.org/spreadsheetml/2006/main" count="14277" uniqueCount="4185">
  <si>
    <t xml:space="preserve">Case 4 - value at risk</t>
  </si>
  <si>
    <t xml:space="preserve">What this is</t>
  </si>
  <si>
    <t xml:space="preserve">A value-at-risk model for the three leaks in Case 4, built so that every number can be traced to where it came from.</t>
  </si>
  <si>
    <t xml:space="preserve">How to use it</t>
  </si>
  <si>
    <t xml:space="preserve">Change any value in column C of the Assumptions sheet, or a low or high in columns D and E. Every other sheet is formulas, so the answer moves with it. No input is typed into a formula anywhere in this workbook; the only literals are unit conversions, the halving of a two-sided spread, the floor at zero on leak 3's expected level and curve line, and the month arithmetic on the upgrade-timing sheet.</t>
  </si>
  <si>
    <t xml:space="preserve">The five tiers</t>
  </si>
  <si>
    <t xml:space="preserve">MEASURED (456 inputs) - our own analysis of 3.9 million used-car listings from 29 sources. The source column names the report and `check_assumptions.py` re-reads the figure out of it.</t>
  </si>
  <si>
    <t xml:space="preserve">SOURCED (354 inputs) - published figures with a URL: Stellantis's FY2025 results and Form 20-F, Eurostat and ONS price indices, published studies.</t>
  </si>
  <si>
    <t xml:space="preserve">ASSUMPTION (29 inputs) - our judgement, each with a low and a high and a caveat saying what it rests on. These are the rows a pilot should replace with evidence.</t>
  </si>
  <si>
    <t xml:space="preserve">TARGET (31 inputs) - a level the team chose rather than found: a phase gate or a KPI threshold. These are commitments, not findings, so `check_assumptions.py` refuses to let one feed a value-at-risk formula, and the audit keeps every one out of every formula.</t>
  </si>
  <si>
    <t xml:space="preserve">SYNTHETIC (50 inputs) - results of the leak-1 test harness, a world we or a blind red team built, and of the ledger prototype built on it. They measure the tool, not the group, so they are quoted only as rankings, failures and engineering facts, and both checkers refuse to let one feed a formula.</t>
  </si>
  <si>
    <t xml:space="preserve">Which of them move the answer</t>
  </si>
  <si>
    <t xml:space="preserve">Only the ASSUMPTION and SOURCED rows used by the three leaks reach the total. The per-car profit and loss, the programme cost and every gate and KPI sit on the Per car sheet and in the roadmap; they are registered so they can be argued with, and they change no headline. The Internal prices sheet (X19) holds the prices that put one business's cost into another's decision, one worked trade-off and the operating metric: transfers inside the group, so they change no headline either. The Data reach sheet (X20) shows what each lever can work on when a data source is missing: reach, not a benefit. The Benefits sheet (X21) turns reach into what the programme gets back, lever by lever, and tests it against a reference class, a stress and switching values, once for each build scenario; it derives the exit gate and, per scenario, the floor, the Phase 1 switch trigger and the Phase 2 money gate, and changes no headline. The Programme cost sheet (X25) prices one work list (the Work list sheet) four ways: in-house, bought from an integrator at a public rate card, in-house with AI on the share of the work the studies measured, and each workstream's cheapest route. None is chosen and there is no single ask; it changes no headline.</t>
  </si>
  <si>
    <t xml:space="preserve">What the colours mean</t>
  </si>
  <si>
    <t xml:space="preserve">Green MEASURED, blue SOURCED, orange ASSUMPTION, purple TARGET, grey SYNTHETIC. The Summary sheet splits the answer the same way.</t>
  </si>
  <si>
    <t xml:space="preserve">Read this before quoting either total</t>
  </si>
  <si>
    <t xml:space="preserve">The headline comes in two measures, side by side and never added (X18): expected a year, what to budget, and in a one-in-ten-year market, what a bad year costs. Leaks 1 and 2 and leak 3's resale execution are expected losses and appear in both. Leak 3's level and curve count both ways, because the group's buy-back contracts bring the cars back (a repurchase obligation, or a customer's put expected to be exercised: 20-F): on the book's own record they gained on average, so they add nothing to the expected column; one year in ten they take their joint p10, which is smaller than their two p10s added. Both upper ends are shown in no total: every buy-back a customer's put at the residual, and the level and curve failing at once.</t>
  </si>
  <si>
    <t xml:space="preserve">The three leaks are not equally well evidenced, and the split on the Summary sheet says so. Leak 3 rests on an exposure the group publishes and on shocks measured from official European price indices; its resale execution line prices measured costs (a day in stock, the group's own retail margin) over an assumed reach. Leak 1's claims line rests on the group's own incentive claims (the 20-F's sales-incentive provision, worldwide; no regional total is disclosed) and an assumed share of claims paid wrongly. Its targeting line is derived from published studies (X5).</t>
  </si>
  <si>
    <t xml:space="preserve">All three leaks are yearly. In a one-in-ten-year market, leak 3 applies a one-year shock to the part of the buy-back book due within twelve months: the group's own book's one-in-ten-year fall, its markets weighted as it sells, and as a stress a Europe-wide bad year as deep as a core market's one-in-ten, which the book's short history lacks. The whole book over a three-year lease is on its sheet for context, beside what the group booked on these contracts in 2023-2025: scheduled depreciation to the expected residual, not a loss against it.</t>
  </si>
  <si>
    <t xml:space="preserve">The discount-to-resale pass-through, and where it sits</t>
  </si>
  <si>
    <t xml:space="preserve">The Prior discounting sheet is a decomposition of leaks 1 and 3, not a fourth leak: those euros are already counted, in leak 1 as spend and in leak 3 as residual exposure, and are cut there by cause instead of by business. Adding them to the total would be double counting, so the headline is unaffected by them.</t>
  </si>
  <si>
    <t xml:space="preserve">The first attempt to measure the pass-through failed and stays withdrawn (analysis/tesla_event_report.md): 68% of the used-Tesla repricing had happened before the January 2023 US list-price cut, alongside earlier discounts and a price cut in China. The second attempt works because it compares a car with itself rather than a market with itself, and it passes a placebo the event study never had (analysis/discount_passthrough_report.md). The low end is ours and is an upper bound - the source carries no trim field; the high end is published. Quote the range, never one end.</t>
  </si>
  <si>
    <t xml:space="preserve">Currency and basis</t>
  </si>
  <si>
    <t xml:space="preserve">EUR millions a year unless stated. Group figures are Stellantis FY2025, used as a same-scale proxy for the anonymous group in the case. The upgrade-timing sheet works in shares of list price, so no exchange rate enters it.</t>
  </si>
  <si>
    <t xml:space="preserve">Rebuild</t>
  </si>
  <si>
    <t xml:space="preserve">.venv/bin/python check_assumptions.py   # every figure traces to its source</t>
  </si>
  <si>
    <t xml:space="preserve">.venv/bin/python build_var_model.py     # rebuilds this workbook</t>
  </si>
  <si>
    <t xml:space="preserve">id</t>
  </si>
  <si>
    <t xml:space="preserve">label</t>
  </si>
  <si>
    <t xml:space="preserve">value</t>
  </si>
  <si>
    <t xml:space="preserve">low</t>
  </si>
  <si>
    <t xml:space="preserve">high</t>
  </si>
  <si>
    <t xml:space="preserve">unit</t>
  </si>
  <si>
    <t xml:space="preserve">tier</t>
  </si>
  <si>
    <t xml:space="preserve">source</t>
  </si>
  <si>
    <t xml:space="preserve">url</t>
  </si>
  <si>
    <t xml:space="preserve">as of</t>
  </si>
  <si>
    <t xml:space="preserve">caveat</t>
  </si>
  <si>
    <t xml:space="preserve">used in</t>
  </si>
  <si>
    <t xml:space="preserve">eu_shipments</t>
  </si>
  <si>
    <t xml:space="preserve">Enlarged Europe consolidated shipments</t>
  </si>
  <si>
    <t xml:space="preserve">units</t>
  </si>
  <si>
    <t xml:space="preserve">SOURCED</t>
  </si>
  <si>
    <t xml:space="preserve">Stellantis FY2025 results press release (SEC-filed)</t>
  </si>
  <si>
    <t xml:space="preserve">https://www.sec.gov/Archives/edgar/data/1605484/000160548426000019/stellantisnvfy2025pressrel.htm</t>
  </si>
  <si>
    <t xml:space="preserve">FY2025</t>
  </si>
  <si>
    <t xml:space="preserve">Down from 2,576k in FY2024. Enlarged Europe is the EU-27, the UK and EFTA (plus Israel and Palestine from 2025); Middle East &amp; Africa is a separate segment.</t>
  </si>
  <si>
    <t xml:space="preserve">Leak 1;Leak 2</t>
  </si>
  <si>
    <t xml:space="preserve">eu_revenue_eur_m</t>
  </si>
  <si>
    <t xml:space="preserve">Enlarged Europe net revenues</t>
  </si>
  <si>
    <t xml:space="preserve">EUR m</t>
  </si>
  <si>
    <t xml:space="preserve">Segment revenue; not only new-vehicle sales.</t>
  </si>
  <si>
    <t xml:space="preserve">Leak 1</t>
  </si>
  <si>
    <t xml:space="preserve">eu_aoi_eur_m</t>
  </si>
  <si>
    <t xml:space="preserve">Enlarged Europe adjusted operating income</t>
  </si>
  <si>
    <t xml:space="preserve">A swing of -3,070m from +2,419m in FY2024. Context for urgency; not an input to the VaR.</t>
  </si>
  <si>
    <t xml:space="preserve">Context</t>
  </si>
  <si>
    <t xml:space="preserve">group_shipments</t>
  </si>
  <si>
    <t xml:space="preserve">Group consolidated shipments</t>
  </si>
  <si>
    <t xml:space="preserve">group_revenue_eur_m</t>
  </si>
  <si>
    <t xml:space="preserve">Group net revenues</t>
  </si>
  <si>
    <t xml:space="preserve">buyback_payables_eur_m</t>
  </si>
  <si>
    <t xml:space="preserve">Payables for buy-back agreements</t>
  </si>
  <si>
    <t xml:space="preserve">Stellantis Form 20-F FY2025 Note 24 Other liabilities</t>
  </si>
  <si>
    <t xml:space="preserve">https://www.sec.gov/Archives/edgar/data/1605484/000160548426000021/stellantis-20251231.htm</t>
  </si>
  <si>
    <t xml:space="preserve">2025-12-31</t>
  </si>
  <si>
    <t xml:space="preserve">Current 5313 + non-current 2576. The residual exposure base. Note 24 defines it as the price received, recognised as an advance at sale, and subsequently the repurchase price and the remaining lease installments yet to be recognized: so it is the repurchase price plus lease income not yet recognised, an upper bound on the repurchase amount (close to it near maturity, which is the current part) (X18).</t>
  </si>
  <si>
    <t xml:space="preserve">Leak 3</t>
  </si>
  <si>
    <t xml:space="preserve">buyback_payables_current_eur_m</t>
  </si>
  <si>
    <t xml:space="preserve">Payables for buy-back agreements due within one year</t>
  </si>
  <si>
    <t xml:space="preserve">Stellantis Form 20-F FY2025 Note 24 Other liabilities, current column</t>
  </si>
  <si>
    <t xml:space="preserve">The part of the 7,889m that comes back within twelve months, so the base of a per-year figure. The 2,576m due after one year is counted in the year it falls due.</t>
  </si>
  <si>
    <t xml:space="preserve">buyback_term_policy</t>
  </si>
  <si>
    <t xml:space="preserve">Contracts of 12 months or less are booked as assets sold with a buy-back commitment</t>
  </si>
  <si>
    <t xml:space="preserve">text</t>
  </si>
  <si>
    <t xml:space="preserve">Stellantis Form 20-F FY2025, revenue recognition: "recorded within Assets sold with a buy-back commitment if the contract term is 12 months or less, and recorded in Property, plant and equipment if the contract term is greater than 12 months"</t>
  </si>
  <si>
    <t xml:space="preserve">Why most of the book is short-dated.</t>
  </si>
  <si>
    <t xml:space="preserve">buyback_value_decrease_2025_eur_m</t>
  </si>
  <si>
    <t xml:space="preserve">Decrease in value booked on assets sold with a buy-back commitment - 2025</t>
  </si>
  <si>
    <t xml:space="preserve">Stellantis Form 20-F FY2025, cost of revenues: "EUR 358 million, EUR 179 million and EUR 82 million related to the decrease in value for assets sold with buy-back commitments" (2025, 2024, 2023)</t>
  </si>
  <si>
    <t xml:space="preserve">Scheduled depreciation, not a loss: the 20-F FY2025 policy says 'the difference between the cost of the vehicle and the estimated net residual value is recognized within Cost of revenues ... over the contractual term'. Contracts of 12 months or less. As a share of year-end buy-back assets it is about a year's ordinary depreciation (X6 part 4), so it cannot check leak 3. The group discloses no gains or losses at disposal for this book.</t>
  </si>
  <si>
    <t xml:space="preserve">buyback_value_decrease_2024_eur_m</t>
  </si>
  <si>
    <t xml:space="preserve">Decrease in value booked on assets sold with a buy-back commitment - 2024</t>
  </si>
  <si>
    <t xml:space="preserve">Stellantis Form 20-F FY2025, cost of revenues (same sentence)</t>
  </si>
  <si>
    <t xml:space="preserve">FY2024</t>
  </si>
  <si>
    <t xml:space="preserve">See buyback_value_decrease_2025_eur_m.</t>
  </si>
  <si>
    <t xml:space="preserve">buyback_value_decrease_2023_eur_m</t>
  </si>
  <si>
    <t xml:space="preserve">Decrease in value booked on assets sold with a buy-back commitment - 2023</t>
  </si>
  <si>
    <t xml:space="preserve">FY2023</t>
  </si>
  <si>
    <t xml:space="preserve">buyback_assets_eur_m</t>
  </si>
  <si>
    <t xml:space="preserve">Assets sold with a buy-back commitment</t>
  </si>
  <si>
    <t xml:space="preserve">Stellantis Form 20-F FY2025 consolidated balance sheet</t>
  </si>
  <si>
    <t xml:space="preserve">Asset side of the same arrangements; 1938m in 2024. Shown for scale only to avoid double counting.</t>
  </si>
  <si>
    <t xml:space="preserve">rv_review_months</t>
  </si>
  <si>
    <t xml:space="preserve">Frequency of residual-value review today</t>
  </si>
  <si>
    <t xml:space="preserve">months</t>
  </si>
  <si>
    <t xml:space="preserve">Stellantis Form 20-F FY2025: "Expected residual values are analyzed quarterly and depreciation rates are adjusted accordingly"</t>
  </si>
  <si>
    <t xml:space="preserve">The group's stated practice. Our recommendation is monthly.</t>
  </si>
  <si>
    <t xml:space="preserve">rv_method_today</t>
  </si>
  <si>
    <t xml:space="preserve">Residual values use third-party estimates plus in-house modelling</t>
  </si>
  <si>
    <t xml:space="preserve">Stellantis Form 20-F FY2025: "Third party estimates are utilized in conjunction with proprietary modelling"</t>
  </si>
  <si>
    <t xml:space="preserve">Answers the build-vs-buy question: they already buy; the gap is their own discount and launch plans.</t>
  </si>
  <si>
    <t xml:space="preserve">lev_residual_uncertainty</t>
  </si>
  <si>
    <t xml:space="preserve">Electrified residuals are harder because resale history is thin</t>
  </si>
  <si>
    <t xml:space="preserve">Stellantis Form 20-F FY2025: "Residual values for LEVs are subject to greater uncertainty than for ICE vehicles, due to limited historical resale data"</t>
  </si>
  <si>
    <t xml:space="preserve">The group's own words for the little-history problem our pooling result addresses.</t>
  </si>
  <si>
    <t xml:space="preserve">schloter_ev_dep_month</t>
  </si>
  <si>
    <t xml:space="preserve">Depreciation of used electric cars a month (Schloter 2022)</t>
  </si>
  <si>
    <t xml:space="preserve">% a month</t>
  </si>
  <si>
    <t xml:space="preserve">Schloter, Empirical analysis of the depreciation of electric vehicles compared to gasoline vehicles, Transport Policy 126 (2022) 268-279, abstract (TRID record)</t>
  </si>
  <si>
    <t xml:space="preserve">https://trid.trb.org/View/2005004</t>
  </si>
  <si>
    <t xml:space="preserve">2022</t>
  </si>
  <si>
    <t xml:space="preserve">24,000 used-vehicle sales across several countries and segments, web data of 2020-21 (not Norway, as the user's research report said). A benchmark for ev_level_report.md's curve, not an input.</t>
  </si>
  <si>
    <t xml:space="preserve">Context: X9 (EV residual risk)</t>
  </si>
  <si>
    <t xml:space="preserve">schloter_petrol_dep_month</t>
  </si>
  <si>
    <t xml:space="preserve">Depreciation of used petrol cars a month (Schloter 2022)</t>
  </si>
  <si>
    <t xml:space="preserve">As schloter_ev_dep_month.</t>
  </si>
  <si>
    <t xml:space="preserve">fitch_eu_abs_bev_share_q3_2024</t>
  </si>
  <si>
    <t xml:space="preserve">BEV share of Fitch-rated European loan and lease ABS, Q3 2024</t>
  </si>
  <si>
    <t xml:space="preserve">%</t>
  </si>
  <si>
    <t xml:space="preserve">Fitch Ratings, Higher BEV Exposures Increase RV Risk in European Auto Lease ABS (27 January 2025), as reported by Motor Finance Online, 12 February 2025</t>
  </si>
  <si>
    <t xml:space="preserve">https://www.motorfinanceonline.com/news/bev-exposure-in-european-auto-lease-abs-raises-residual-value-risk-fitch/</t>
  </si>
  <si>
    <t xml:space="preserve">2024-09-30</t>
  </si>
  <si>
    <t xml:space="preserve">'Close to 11%'; about 6% in 2023. Secondary source: Fitch's page refuses automated reading. Fitch: 'Since 2023, used BEV prices have fallen more sharply than those of other powertrains'; one Dutch lease portfolio is nearly 50% BEV.</t>
  </si>
  <si>
    <t xml:space="preserve">euro7_battery_mpr_m1_5y</t>
  </si>
  <si>
    <t xml:space="preserve">Euro 7 minimum battery energy for M1 cars (BEV and PHEV), start of life to 5 years or 100,000 km</t>
  </si>
  <si>
    <t xml:space="preserve">% of certified energy</t>
  </si>
  <si>
    <t xml:space="preserve">Regulation (EU) 2024/1257 (Euro 7), Annex II Table 1</t>
  </si>
  <si>
    <t xml:space="preserve">https://eur-lex.europa.eu/legal-content/EN/TXT/HTML/?uri=CELEX:32024R1257</t>
  </si>
  <si>
    <t xml:space="preserve">2024-04-24</t>
  </si>
  <si>
    <t xml:space="preserve">A type-approval requirement checked on the vehicle type in service, not a per-car warranty; applies to new M1 types from 29 November 2026 and all new M1 cars from 29 November 2027 (Article 21). N1 vans: 75% (Table 2).</t>
  </si>
  <si>
    <t xml:space="preserve">euro7_battery_mpr_m1_8y</t>
  </si>
  <si>
    <t xml:space="preserve">The same, more than 5 years or 100,000 km and up to 8 years or 160,000 km</t>
  </si>
  <si>
    <t xml:space="preserve">As euro7_battery_mpr_m1_5y. N1 vans: 67% (Table 2). Battery durability data readable through the OBD port.</t>
  </si>
  <si>
    <t xml:space="preserve">battreg_soh_access_from</t>
  </si>
  <si>
    <t xml:space="preserve">EV battery state of health held in the battery management system, readable by the battery's legal purchaser for evaluating its residual value, from 18 August 2024</t>
  </si>
  <si>
    <t xml:space="preserve">year</t>
  </si>
  <si>
    <t xml:space="preserve">Regulation (EU) 2023/1542 (Batteries), Article 14(1)-(2) and Annex VII Part A (state of certified energy)</t>
  </si>
  <si>
    <t xml:space="preserve">https://eur-lex.europa.eu/legal-content/EN/TXT/HTML/?uri=CELEX:32023R1542</t>
  </si>
  <si>
    <t xml:space="preserve">2023-07-12</t>
  </si>
  <si>
    <t xml:space="preserve">18 August 2024 as a decimal year. Read-only access, respecting the battery maker's intellectual property, for the legal purchaser or a party acting for them; purpose (b) is 'evaluating the residual value'. A captive that owns its leased EVs may read each one's state of health at return.</t>
  </si>
  <si>
    <t xml:space="preserve">battreg_passport_from</t>
  </si>
  <si>
    <t xml:space="preserve">Battery passport required for every EV battery placed on the market, from 18 February 2027</t>
  </si>
  <si>
    <t xml:space="preserve">Regulation (EU) 2023/1542 (Batteries), Article 77(1)</t>
  </si>
  <si>
    <t xml:space="preserve">18 February 2027 as a decimal year. The passport carries model and individual-battery information (Annex XIII), part public, part for persons with a legitimate interest.</t>
  </si>
  <si>
    <t xml:space="preserve">geotab_degradation_pct_year</t>
  </si>
  <si>
    <t xml:space="preserve">Average EV battery capacity loss a year (Geotab)</t>
  </si>
  <si>
    <t xml:space="preserve">% a year</t>
  </si>
  <si>
    <t xml:space="preserve">Geotab, What can 10,000+ EVs tell us about battery health? (22,700+ vehicles; 1.5% with little DC fast charging, 3.0% with frequent fast charging)</t>
  </si>
  <si>
    <t xml:space="preserve">https://www.geotab.com/blog/ev-battery-health/</t>
  </si>
  <si>
    <t xml:space="preserve">2024</t>
  </si>
  <si>
    <t xml:space="preserve">Telematics fleet data; Geotab does not say what share is European. Checked by a research agent on 24 September.</t>
  </si>
  <si>
    <t xml:space="preserve">incentive_not_disclosed</t>
  </si>
  <si>
    <t xml:space="preserve">Total sales incentive spend is not disclosed</t>
  </si>
  <si>
    <t xml:space="preserve">Stellantis Form 20-F FY2025: sales incentives are a critical estimate; "estimated incentive rates are reviewed monthly"</t>
  </si>
  <si>
    <t xml:space="preserve">This is why every Leak 1 figure below is an assumption rather than a sourced number. X14 (26 September): no regional total is disclosed, but Note 21's sales-incentive provision and its roll-forward are, worldwide (sales_incentive_*); leak 1's claims line now rests on them.</t>
  </si>
  <si>
    <t xml:space="preserve">ons_uk_index_move</t>
  </si>
  <si>
    <t xml:space="preserve">UK second-hand car index move 2018-01 to 2022-10</t>
  </si>
  <si>
    <t xml:space="preserve">ONS CPI 07.1.1B second-hand cars (series D7E9) via data/reference/price_indices.parquet</t>
  </si>
  <si>
    <t xml:space="preserve">https://www.ons.gov.uk/economy/inflationandpriceindices</t>
  </si>
  <si>
    <t xml:space="preserve">2022-10</t>
  </si>
  <si>
    <t xml:space="preserve">Independent measure of the UK level move behind the Corsa example.</t>
  </si>
  <si>
    <t xml:space="preserve">dealer_passthrough_low</t>
  </si>
  <si>
    <t xml:space="preserve">Share of a dealer discount that reaches the buyer</t>
  </si>
  <si>
    <t xml:space="preserve">Busse, Silva-Risso &amp; Zettelmeyer, $1,000 Cash Back, American Economic Review 2006</t>
  </si>
  <si>
    <t xml:space="preserve">https://www.aeaweb.org/articles?id=10.1257/aer.96.4.1253</t>
  </si>
  <si>
    <t xml:space="preserve">2006</t>
  </si>
  <si>
    <t xml:space="preserve">US data. Customer rebates pass through at 70-90%; dealer discounts at 30-40%.</t>
  </si>
  <si>
    <t xml:space="preserve">dep_pooled</t>
  </si>
  <si>
    <t xml:space="preserve">Depreciation per year of age</t>
  </si>
  <si>
    <t xml:space="preserve">MEASURED</t>
  </si>
  <si>
    <t xml:space="preserve">analysis/drivers_report.md pooled effects table</t>
  </si>
  <si>
    <t xml:space="preserve">2026-09-17</t>
  </si>
  <si>
    <t xml:space="preserve">16 datasets, 2,617,260 cars. Random-effects pooled; the single pooled model says -10.7%. Age alone, with mileage held fixed: a lease-age car also being driven loses about 12% a year (drivers_report.md).</t>
  </si>
  <si>
    <t xml:space="preserve">Leak 2;Leak 3</t>
  </si>
  <si>
    <t xml:space="preserve">dep_with_mileage_3y</t>
  </si>
  <si>
    <t xml:space="preserve">Yearly value loss at 3 years old, age plus a typical year's mileage</t>
  </si>
  <si>
    <t xml:space="preserve">analysis/drivers_report.md</t>
  </si>
  <si>
    <t xml:space="preserve">Pooled age effect plus the pooled mileage effect for the extra mileage a steadily driven car adds between 3 and 4 years old.</t>
  </si>
  <si>
    <t xml:space="preserve">dep_market_min</t>
  </si>
  <si>
    <t xml:space="preserve">Fastest depreciation of any market measured</t>
  </si>
  <si>
    <t xml:space="preserve">analysis/drivers_report.md per-dataset spread (dvm)</t>
  </si>
  <si>
    <t xml:space="preserve">The rate is real everywhere but its size is local.</t>
  </si>
  <si>
    <t xml:space="preserve">dep_market_max</t>
  </si>
  <si>
    <t xml:space="preserve">Slowest depreciation of any market measured</t>
  </si>
  <si>
    <t xml:space="preserve">analysis/drivers_report.md per-dataset spread (eg_hatla2ee)</t>
  </si>
  <si>
    <t xml:space="preserve">Egypt; a market unlike the group's European ones.</t>
  </si>
  <si>
    <t xml:space="preserve">dep_uk</t>
  </si>
  <si>
    <t xml:space="preserve">UK depreciation per year of age</t>
  </si>
  <si>
    <t xml:space="preserve">analysis/drivers_report.md per-dataset (uk_2022_10)</t>
  </si>
  <si>
    <t xml:space="preserve">Advert prices.</t>
  </si>
  <si>
    <t xml:space="preserve">Leak 2</t>
  </si>
  <si>
    <t xml:space="preserve">dep_stability_lo</t>
  </si>
  <si>
    <t xml:space="preserve">Slowest monthly estimate of the rate over 52 months</t>
  </si>
  <si>
    <t xml:space="preserve">analysis/latvia_time_report.md</t>
  </si>
  <si>
    <t xml:space="preserve">Latvia, one market. The rate never left this band through the 2021-22 shortage.</t>
  </si>
  <si>
    <t xml:space="preserve">dep_stability_hi</t>
  </si>
  <si>
    <t xml:space="preserve">Fastest monthly estimate of the rate over 52 months</t>
  </si>
  <si>
    <t xml:space="preserve">Latvia, one market. Standard deviation 0.38 points.</t>
  </si>
  <si>
    <t xml:space="preserve">latvia_index_corr</t>
  </si>
  <si>
    <t xml:space="preserve">Correlation of our Latvian price index with Eurostat's</t>
  </si>
  <si>
    <t xml:space="preserve">r</t>
  </si>
  <si>
    <t xml:space="preserve">Correlation of index levels, which two rising series share whatever they measure. As changes: 12-month moves agree (0.90), month-on-month moves do not (-0.03). Disagrees on size (+42% vs +8.8%).</t>
  </si>
  <si>
    <t xml:space="preserve">retained_3y_pooled</t>
  </si>
  <si>
    <t xml:space="preserve">Value retained at 3 years at the pooled rate</t>
  </si>
  <si>
    <t xml:space="preserve">% of list</t>
  </si>
  <si>
    <t xml:space="preserve">analysis/level_risk_report.md (derived from dep_pooled)</t>
  </si>
  <si>
    <t xml:space="preserve">Arithmetic on the pooled rate; the denominator for turning points of list price into a share of residual value.</t>
  </si>
  <si>
    <t xml:space="preserve">retained_3y_uk</t>
  </si>
  <si>
    <t xml:space="preserve">Value retained at 3 years - UK (2018 adverts)</t>
  </si>
  <si>
    <t xml:space="preserve">analysis/value_retained_report.md</t>
  </si>
  <si>
    <t xml:space="preserve">DVM adverts, mostly 2018, before the shortage. The UK's October 2022 scrape gives 90% (retained_3y_uk_2022); pooling the two blends eras. Entry-trim new price flatters the share.</t>
  </si>
  <si>
    <t xml:space="preserve">retained_3y_uk_2022</t>
  </si>
  <si>
    <t xml:space="preserve">Value retained at 3 years - UK (October 2022 adverts)</t>
  </si>
  <si>
    <t xml:space="preserve">Shortage peak, and a different scrape from the 2018 row, so the +24-point gap mixes a market move with a source difference.</t>
  </si>
  <si>
    <t xml:space="preserve">retained_3y_nl</t>
  </si>
  <si>
    <t xml:space="preserve">Value retained at 3 years - Netherlands</t>
  </si>
  <si>
    <t xml:space="preserve">2026-09-25</t>
  </si>
  <si>
    <t xml:space="preserve">Deflated by BPM registration tax in the list price. Not comparable in level with the others.</t>
  </si>
  <si>
    <t xml:space="preserve">retained_3y_us</t>
  </si>
  <si>
    <t xml:space="preserve">Value retained at 3 years - US</t>
  </si>
  <si>
    <t xml:space="preserve">US data. Sample of 690 cars.</t>
  </si>
  <si>
    <t xml:space="preserve">retained_1y_uk</t>
  </si>
  <si>
    <t xml:space="preserve">Value retained at 1 year - UK (2018 adverts)</t>
  </si>
  <si>
    <t xml:space="preserve">Entry-trim caveat as above.</t>
  </si>
  <si>
    <t xml:space="preserve">retained_2y_uk</t>
  </si>
  <si>
    <t xml:space="preserve">Value retained at 2 years - UK (2018 adverts)</t>
  </si>
  <si>
    <t xml:space="preserve">retained_4y_uk</t>
  </si>
  <si>
    <t xml:space="preserve">Value retained at 4 years - UK (2018 adverts)</t>
  </si>
  <si>
    <t xml:space="preserve">retained_5y_uk</t>
  </si>
  <si>
    <t xml:space="preserve">Value retained at 5 years - UK (2018 adverts)</t>
  </si>
  <si>
    <t xml:space="preserve">level_3y_p10</t>
  </si>
  <si>
    <t xml:space="preserve">Three-year move in the used-car price level - p10</t>
  </si>
  <si>
    <t xml:space="preserve">analysis/level_risk_report.md pooled table</t>
  </si>
  <si>
    <t xml:space="preserve">26 EU markets, common window 2016-12 to 2025-12, each market weighted equally. Overlapping windows.</t>
  </si>
  <si>
    <t xml:space="preserve">level_3y_p50</t>
  </si>
  <si>
    <t xml:space="preserve">Three-year move in the used-car price level - median</t>
  </si>
  <si>
    <t xml:space="preserve">As above.</t>
  </si>
  <si>
    <t xml:space="preserve">level_3y_p90</t>
  </si>
  <si>
    <t xml:space="preserve">Three-year move in the used-car price level - p90</t>
  </si>
  <si>
    <t xml:space="preserve">level_3y_worst</t>
  </si>
  <si>
    <t xml:space="preserve">Worst three-year move observed</t>
  </si>
  <si>
    <t xml:space="preserve">Slovenia over this window. A single car's worst case in the car-value rows; for the whole book a reference line in no total.</t>
  </si>
  <si>
    <t xml:space="preserve">level_3y_p10_core</t>
  </si>
  <si>
    <t xml:space="preserve">Three-year move - p10 across the group's 7 largest EU markets</t>
  </si>
  <si>
    <t xml:space="preserve">FR IT DE ES PL NL PT. A single car sits in one market, so the per-car rows use it; for the whole book it is the three-year context's stress (its base is level_3y_p10_book).</t>
  </si>
  <si>
    <t xml:space="preserve">level_3y_worst_core</t>
  </si>
  <si>
    <t xml:space="preserve">Worst three-year move across the 7 largest EU markets</t>
  </si>
  <si>
    <t xml:space="preserve">Poland over this window.</t>
  </si>
  <si>
    <t xml:space="preserve">level_1y_p10_core</t>
  </si>
  <si>
    <t xml:space="preserve">One-year move in the used-car price level - p10 across the group's 7 largest EU markets</t>
  </si>
  <si>
    <t xml:space="preserve">Leak 3's stress: the whole buy-back book in a Europe-wide bad year as deep as a core market's one-in-ten. The book's own history (level_1y_p10_book) is about nine years with no Europe-wide crash, and bad periods are shared across the books (x8_coincide_48m). Not extreme: the UK market as a whole fell further one year in ten over 1988-2026 (level_1y_p10_uk_long). 72% of its own worst windows are Poland's (x8_core_tail_pl_share).</t>
  </si>
  <si>
    <t xml:space="preserve">level_1y_p10</t>
  </si>
  <si>
    <t xml:space="preserve">One-year move in the used-car price level - p10 across all 26 EU markets</t>
  </si>
  <si>
    <t xml:space="preserve">A reference line on the Leak 3 sheet, in no total: the whole book at the 26 markets' pooled p10, as if it sat in one market.</t>
  </si>
  <si>
    <t xml:space="preserve">level_1y_p10_book</t>
  </si>
  <si>
    <t xml:space="preserve">One-year move in the used-car price level - p10 of the group's own book, spread across its markets</t>
  </si>
  <si>
    <t xml:space="preserve">analysis/merger_diversification_report.md</t>
  </si>
  <si>
    <t xml:space="preserve">2026-09-26</t>
  </si>
  <si>
    <t xml:space="preserve">Leak 3's base level shock. The merged group's book: each market's move weighted by the group's 2019 registrations there (EU CO2 monitoring register), over X6's 26 Eurostat markets and the UK (ONS), December 2016 to December 2025, local currency (a market's own-currency fall is what opens the gap to the buy-back price). Registrations are a proxy: the buy-back book's buyers and country mix are not published (the 20-F names only the group's own leasing and rental joint ventures; most of the book is due within a year, a rental fleet's term). France is carried by the euro-area index because France's own index barely moves; with France's own index or without France the figure is in the report's sensitivities. About nine independent years, overlapping windows, none with a Europe-wide crash. A floor: the index understates the level a lessor meets (x7_ald_slope_36m).</t>
  </si>
  <si>
    <t xml:space="preserve">level_3y_p10_book</t>
  </si>
  <si>
    <t xml:space="preserve">Three-year move in the used-car price level - p10 of the group's own book, spread across its markets</t>
  </si>
  <si>
    <t xml:space="preserve">The base of the Leak 3 sheet's three-year context (not a yearly figure). The merged group's book: each market's move weighted by the group's 2019 registrations there (EU CO2 monitoring register), over X6's 26 Eurostat markets and the UK (ONS), December 2016 to December 2025, local currency (a market's own-currency fall is what opens the gap to the buy-back price). Registrations are a proxy: the buy-back book's buyers and country mix are not published (the 20-F names only the group's own leasing and rental joint ventures; most of the book is due within a year, a rental fleet's term). France is carried by the euro-area index because France's own index barely moves; with France's own index or without France the figure is in the report's sensitivities. About nine independent years, overlapping windows, none with a Europe-wide crash. A floor: the index understates the level a lessor meets (x7_ald_slope_36m).</t>
  </si>
  <si>
    <t xml:space="preserve">level_1y_p10_uk_long</t>
  </si>
  <si>
    <t xml:space="preserve">One-year move in the UK used-car price level - p10 over 1988-2026 (ONS, several cycles)</t>
  </si>
  <si>
    <t xml:space="preserve">UK data. ONS CPI second-hand cars (D7E9): to January 2024 retail prices from a trade guide for 35 models aged 1-3, from February 2024 Auto Trader listings; nominal; overlapping 12-month windows. A whole national market over several cycles, the 2008 fall included: it checks that leak 3's stress (level_1y_p10_core on the whole book) is plausible for a spread book, not extreme. Context only.</t>
  </si>
  <si>
    <t xml:space="preserve">Context: leak 3's stress</t>
  </si>
  <si>
    <t xml:space="preserve">level_1y_worst</t>
  </si>
  <si>
    <t xml:space="preserve">Worst one-year move observed in 26 EU markets</t>
  </si>
  <si>
    <t xml:space="preserve">A reference line on the Leak 3 sheet, in no total: the whole book at the worst one-year move in any of the 26 markets. Common window 2016-12 to 2025-12.</t>
  </si>
  <si>
    <t xml:space="preserve">level_1m_p5</t>
  </si>
  <si>
    <t xml:space="preserve">One-month drift in the level - p5</t>
  </si>
  <si>
    <t xml:space="preserve">analysis/level_risk_report.md review-horizon table</t>
  </si>
  <si>
    <t xml:space="preserve">What a monthly re-mark would leave unseen.</t>
  </si>
  <si>
    <t xml:space="preserve">level_3m_p5</t>
  </si>
  <si>
    <t xml:space="preserve">Three-month drift in the level - p5</t>
  </si>
  <si>
    <t xml:space="preserve">What the group's current quarterly review leaves unseen.</t>
  </si>
  <si>
    <t xml:space="preserve">curve_points_known</t>
  </si>
  <si>
    <t xml:space="preserve">Curve error at 3 years in a market with its own data</t>
  </si>
  <si>
    <t xml:space="preserve">points of list</t>
  </si>
  <si>
    <t xml:space="preserve">analysis/level_risk_report.md comparison table</t>
  </si>
  <si>
    <t xml:space="preserve">Full spread, slowest to fastest. From the 52-month stability band in Latvia. One country. A wider measure than the level's p10-p90, so the 8x comparison it makes is conservative. The VaR model uses curve_p80_known instead.</t>
  </si>
  <si>
    <t xml:space="preserve">curve_points_unknown</t>
  </si>
  <si>
    <t xml:space="preserve">Curve error at 3 years in a market or brand with no history</t>
  </si>
  <si>
    <t xml:space="preserve">From the 95% prediction interval for a new market (-13.1% to -5.0% a year), not the raw min-max spread, which grows with the number of datasets. Riley/Higgins/Deeks BMJ 2011;342:d549. A wider interval than the level's p10-p90; the VaR model uses curve_p80_unknown instead.</t>
  </si>
  <si>
    <t xml:space="preserve">curve_p80_known</t>
  </si>
  <si>
    <t xml:space="preserve">Curve error at 3 years in a market with its own data - p10 to p90</t>
  </si>
  <si>
    <t xml:space="preserve">p10 to p90 of the 52 monthly refits in Latvia, so it matches the level's p10-p90. One country. The VaR model uses half of it: the distance from the centre to p10, the same one-in-ten as the level shock.</t>
  </si>
  <si>
    <t xml:space="preserve">curve_p80_unknown</t>
  </si>
  <si>
    <t xml:space="preserve">Curve error at 3 years in a market or brand with no history - 80% interval</t>
  </si>
  <si>
    <t xml:space="preserve">The 95% prediction interval narrowed to 80% with the same Student's t (14 degrees of freedom, 16 datasets), so it matches the level's p10-p90. The VaR model uses half of it, the distance from the centre to p10.</t>
  </si>
  <si>
    <t xml:space="preserve">retained_1y_pooled</t>
  </si>
  <si>
    <t xml:space="preserve">Value retained at 1 year at the pooled rate</t>
  </si>
  <si>
    <t xml:space="preserve">analysis/level_risk_report.md one-year table (derived from dep_pooled)</t>
  </si>
  <si>
    <t xml:space="preserve">Arithmetic on the pooled rate; the denominator for the one-year curve terms.</t>
  </si>
  <si>
    <t xml:space="preserve">curve_1y_p80_known</t>
  </si>
  <si>
    <t xml:space="preserve">Curve error at 1 year in a market with its own data - p10 to p90</t>
  </si>
  <si>
    <t xml:space="preserve">analysis/level_risk_report.md one-year table</t>
  </si>
  <si>
    <t xml:space="preserve">Same Latvian p10-p90 as curve_p80_known, over one year. The VaR model uses half of it.</t>
  </si>
  <si>
    <t xml:space="preserve">curve_1y_p80_unknown</t>
  </si>
  <si>
    <t xml:space="preserve">Curve error at 1 year in a market or brand with no history - 80% interval</t>
  </si>
  <si>
    <t xml:space="preserve">Same 80% interval as curve_p80_unknown, over one year. The VaR model uses half of it.</t>
  </si>
  <si>
    <t xml:space="preserve">level_points</t>
  </si>
  <si>
    <t xml:space="preserve">Level error at 3 years - p10 to p90 band</t>
  </si>
  <si>
    <t xml:space="preserve">About 8x the curve error in a market the group already sells in, against the curve's full range; about 11x like for like, p10-p90 on both sides.</t>
  </si>
  <si>
    <t xml:space="preserve">pooling_gain_100</t>
  </si>
  <si>
    <t xml:space="preserve">Error cut by borrowing other markets at 100 local cars</t>
  </si>
  <si>
    <t xml:space="preserve">analysis/lodo_report.md sample-size table</t>
  </si>
  <si>
    <t xml:space="preserve">Measured on the within-model residual, with the local market setting its own price level. Was 14.7% before the 2026-09-17 audit removed the partly generated French data and the UK duplicate adverts.</t>
  </si>
  <si>
    <t xml:space="preserve">pooling_gain_250</t>
  </si>
  <si>
    <t xml:space="preserve">Error cut by borrowing other markets at 250 local cars</t>
  </si>
  <si>
    <t xml:space="preserve">The gain is gone by 250 cars. Pooling is for little-history cars only.</t>
  </si>
  <si>
    <t xml:space="preserve">sibling_penalty</t>
  </si>
  <si>
    <t xml:space="preserve">Transfer penalty when another dataset covers the same market</t>
  </si>
  <si>
    <t xml:space="preserve">analysis/lodo_report.md</t>
  </si>
  <si>
    <t xml:space="preserve">Median across the 7 datasets with a sibling.</t>
  </si>
  <si>
    <t xml:space="preserve">no_sibling_penalty</t>
  </si>
  <si>
    <t xml:space="preserve">Transfer penalty when no dataset covers the same market</t>
  </si>
  <si>
    <t xml:space="preserve">Median across the 7 datasets alone in their market, 4 of them outside Europe (Bangladesh, Egypt, Morocco, Jordan). Inside Europe the gap disappears (no_sibling_penalty_europe), so do not quote this for the group's markets.</t>
  </si>
  <si>
    <t xml:space="preserve">no_sibling_penalty_europe</t>
  </si>
  <si>
    <t xml:space="preserve">Transfer penalty when no dataset covers the same market - European datasets only</t>
  </si>
  <si>
    <t xml:space="preserve">Only 3 European datasets stand alone (+1.2% to +39.9%) and they pay no more than the +2.7% of datasets with a sibling. The 'market, not rows' result does not hold inside Europe.</t>
  </si>
  <si>
    <t xml:space="preserve">model_err_uk</t>
  </si>
  <si>
    <t xml:space="preserve">Median error of a locally fitted model - UK</t>
  </si>
  <si>
    <t xml:space="preserve">analysis/lodo_report.md own median err (uk_2022_10)</t>
  </si>
  <si>
    <t xml:space="preserve">Advert prices. Within make-and-model residual.</t>
  </si>
  <si>
    <t xml:space="preserve">corsa_err_asis</t>
  </si>
  <si>
    <t xml:space="preserve">Corsa - 2018 model used unchanged on 2022 cars</t>
  </si>
  <si>
    <t xml:space="preserve">analysis/one_car_report.md</t>
  </si>
  <si>
    <t xml:space="preserve">Almost all bias: it prices every car about 41% too low. Median over 500 random splits of the 2022 cars.</t>
  </si>
  <si>
    <t xml:space="preserve">corsa_err_anchor25</t>
  </si>
  <si>
    <t xml:space="preserve">Corsa - same model after re-anchoring the level on 25 current cars</t>
  </si>
  <si>
    <t xml:space="preserve">Every slope still from 2018. Median over 500 random draws of the 25 cars, scored on held-out cars.</t>
  </si>
  <si>
    <t xml:space="preserve">corsa_err_refit</t>
  </si>
  <si>
    <t xml:space="preserve">Corsa - model refitted from scratch on half the current cars</t>
  </si>
  <si>
    <t xml:space="preserve">The ceiling for this feature set, fitted on half the 2022 cars and scored on the other half.</t>
  </si>
  <si>
    <t xml:space="preserve">corsa_level_share</t>
  </si>
  <si>
    <t xml:space="preserve">Share of recoverable error that was level alone</t>
  </si>
  <si>
    <t xml:space="preserve">(41.4-11.9)/(41.4-10.5), the median across 500 draws of the 25 cars; one_car_report.md gives the p10-p90 range. Refitting every slope buys the last 1.4 points.</t>
  </si>
  <si>
    <t xml:space="preserve">corsa_retained_2018</t>
  </si>
  <si>
    <t xml:space="preserve">Corsa at 4 years old - share of its list price in 2018</t>
  </si>
  <si>
    <t xml:space="preserve">Each cohort measured against its own list price. Entry-trim caveat applies.</t>
  </si>
  <si>
    <t xml:space="preserve">corsa_retained_2022</t>
  </si>
  <si>
    <t xml:space="preserve">Corsa at 4 years old - share of its list price in October 2022</t>
  </si>
  <si>
    <t xml:space="preserve">A 30-point gap on the same car at the same age, across two different scrapes.</t>
  </si>
  <si>
    <t xml:space="preserve">corsa_fixed_rule_err</t>
  </si>
  <si>
    <t xml:space="preserve">Corsa - fixed pooled-rate rule off the new price</t>
  </si>
  <si>
    <t xml:space="preserve">The rule a residual-value desk starts from. Handicapped by the entry-trim new price.</t>
  </si>
  <si>
    <t xml:space="preserve">engine_band_coverage</t>
  </si>
  <si>
    <t xml:space="preserve">Share of held-out UK cars inside the value engine's 80% band</t>
  </si>
  <si>
    <t xml:space="preserve">analysis/engine_check_report.md</t>
  </si>
  <si>
    <t xml:space="preserve">Advertised prices, one market held out, today's value only. 74-82% across age bands; lowest for cars over twelve.</t>
  </si>
  <si>
    <t xml:space="preserve">backtest_gap_latvia</t>
  </si>
  <si>
    <t xml:space="preserve">Latvia: adverts three years later against a forecast at the pricing date's level</t>
  </si>
  <si>
    <t xml:space="preserve">Median of two windows priced in 2020 and compared in 2023. Most of the gap is the Latvian level surge; one market, one period.</t>
  </si>
  <si>
    <t xml:space="preserve">tesla_pre_announcement</t>
  </si>
  <si>
    <t xml:space="preserve">Share of the Tesla repricing that happened before the January 2023 US list-price cut</t>
  </si>
  <si>
    <t xml:space="preserve">analysis/tesla_event_report.md</t>
  </si>
  <si>
    <t xml:space="preserve">US, Washington State, EVs only. Tesla had already cut prices in China (Oct 2022) and offered US year-end discounts (Dec 2022), so it is not ahead of every manufacturer move. The reason no discount-to-resale factor is quoted anywhere in this model.</t>
  </si>
  <si>
    <t xml:space="preserve">auction_vs_sale</t>
  </si>
  <si>
    <t xml:space="preserve">Auction price against an equivalent recorded sale</t>
  </si>
  <si>
    <t xml:space="preserve">analysis/price_types_report.md</t>
  </si>
  <si>
    <t xml:space="preserve">US only. Do not read as a channel-choice rule; the two sources sell different kinds of car.</t>
  </si>
  <si>
    <t xml:space="preserve">incentive_pct_revenue</t>
  </si>
  <si>
    <t xml:space="preserve">Sales incentives as a share of European net revenue</t>
  </si>
  <si>
    <t xml:space="preserve">ASSUMPTION</t>
  </si>
  <si>
    <t xml:space="preserve">Our estimate. The group does not disclose a total - see incentive_not_disclosed.</t>
  </si>
  <si>
    <t xml:space="preserve">No European source found. Leak 1 is linear in this input: the one-input-at-a-time table on the Summary sheet shows the total at its low and high. Replaced in leak 1's claims line on 26 September (X14) by x14_incentive_claims_central, the group's own sales-incentive provision over net revenues (20-F Note 21, worldwide); kept so the comparison can be recomputed.</t>
  </si>
  <si>
    <t xml:space="preserve">Context: leak 1 (replaced by X14)</t>
  </si>
  <si>
    <t xml:space="preserve">x14_incentive_claims_central</t>
  </si>
  <si>
    <t xml:space="preserve">Incentive claims as a share of net revenue, the group's own 20-F, central</t>
  </si>
  <si>
    <t xml:space="preserve">% of revenue</t>
  </si>
  <si>
    <t xml:space="preserve">analysis/incentive_anchor_report.md</t>
  </si>
  <si>
    <t xml:space="preserve">The group's claims-based incentive programmes (Note 21's sales-incentive provision) as a share of net revenues, worldwide: the 20-F gives no regional split, so applying it to Europe is a judgement. Price discounts at invoice are outside it, so total incentive spend is higher; leak 1's claims line is about claims. 2025 additions: the incentive cost of that year's sales.</t>
  </si>
  <si>
    <t xml:space="preserve">x14_incentive_claims_low</t>
  </si>
  <si>
    <t xml:space="preserve">The same, lowest of four ratios (2024-25, additions and settlements)</t>
  </si>
  <si>
    <t xml:space="preserve">The group's claims-based incentive programmes (Note 21's sales-incentive provision) as a share of net revenues, worldwide: the 20-F gives no regional split, so applying it to Europe is a judgement. Price discounts at invoice are outside it, so total incentive spend is higher; leak 1's claims line is about claims. 2024 settlements.</t>
  </si>
  <si>
    <t xml:space="preserve">x14_incentive_claims_high</t>
  </si>
  <si>
    <t xml:space="preserve">The same, highest of four ratios (2024-25, additions and settlements)</t>
  </si>
  <si>
    <t xml:space="preserve">The group's claims-based incentive programmes (Note 21's sales-incentive provision) as a share of net revenues, worldwide: the 20-F gives no regional split, so applying it to Europe is a judgement. Price discounts at invoice are outside it, so total incentive spend is higher; leak 1's claims line is about claims. 2025 settlements, which paid down a provision built up in 2024.</t>
  </si>
  <si>
    <t xml:space="preserve">agency_markets_2025</t>
  </si>
  <si>
    <t xml:space="preserve">The group kept the dealer model in Europe except Austria, Belgium, Luxembourg and the Netherlands (agency since 2023)</t>
  </si>
  <si>
    <t xml:space="preserve">MarketScreener, 13 May 2025, quoting Jean-Philippe Imparato (head of Europe): "The sales network will therefore retain the traditional model, with the exception of Austria, Belgium, Luxembourg, and the Netherlands, where the transition to the agency model has already begun in 2023." Also WardsAuto, 19 May 2025</t>
  </si>
  <si>
    <t xml:space="preserve">https://www.marketscreener.com/quote/stock/STELLANTIS-N-V-117814143/news/Stellantis-suspends-its-plan-to-reform-its-dealership-network-in-Europe-49944995/</t>
  </si>
  <si>
    <t xml:space="preserve">2025-05</t>
  </si>
  <si>
    <t xml:space="preserve">Press reports of a management statement, not a filing. The Dutch start date (4 September 2023) was verified in X2. The brand split inside the four markets is not given.</t>
  </si>
  <si>
    <t xml:space="preserve">Context: X14 (agency and leak 1)</t>
  </si>
  <si>
    <t xml:space="preserve">vber_art4a_rpm</t>
  </si>
  <si>
    <t xml:space="preserve">EU vertical block exemption: a supplier may recommend or cap a resale price, not fix a minimum through pressure or incentives</t>
  </si>
  <si>
    <t xml:space="preserve">Commission Regulation (EU) 2022/720, Art. 4(a): "...the possibility of the supplier to impose a maximum sale price or recommend a sale price, provided that they do not amount to a fixed or minimum sale price as a result of pressure from, or incentives offered by, any of the parties"; expires 31 May 2034</t>
  </si>
  <si>
    <t xml:space="preserve">https://eur-lex.europa.eu/legal-content/EN/TXT/HTML/?uri=CELEX:32022R0720</t>
  </si>
  <si>
    <t xml:space="preserve">2022-06-01</t>
  </si>
  <si>
    <t xml:space="preserve">Applies to the group's dealers outside agency. A recommended used-car price or a targeted incentive is lawful; tying an incentive to the dealer holding a price is a hardcore restriction. Under genuine agency (Vertical Guidelines 2022/C 248/01, paras 30-34) the principal sets the price.</t>
  </si>
  <si>
    <t xml:space="preserve">afca_peugeot_fine_eur_m</t>
  </si>
  <si>
    <t xml:space="preserve">Austria: Cartel Court fine on Peugeot Austria GmbH for abuse of dominance towards dealers (new-car sales and garage services, 2017-2021)</t>
  </si>
  <si>
    <t xml:space="preserve">Austrian Federal Competition Authority, Annual Report 2024, pp. 41 and 69 (case 26 Kt 5/23i; the largest abuse-of-dominance fine in Austria)</t>
  </si>
  <si>
    <t xml:space="preserve">https://www.bwb.gv.at/fileadmin/user_upload/ENG_BWB_Taetigkeitsbericht2024_BARRIEREFREI.cleaned.pdf</t>
  </si>
  <si>
    <t xml:space="preserve">The practices (arbitrary bonus conditions, unrealistic targets, onerous warranty audit procedures, a margin squeeze against independent distributors) are from a Wolters Kluwer competition blog, not the authority's report. A warning for leak 1's controls: claim holds and dealer audits must be rule-based, proportionate and the same for owned and independent dealers.</t>
  </si>
  <si>
    <t xml:space="preserve">x14_agency_share_2024</t>
  </si>
  <si>
    <t xml:space="preserve">The four agency markets' share of the group's new-car registrations, 2024</t>
  </si>
  <si>
    <t xml:space="preserve">analysis/agency_share_report.md</t>
  </si>
  <si>
    <t xml:space="preserve">Austria, Belgium, Luxembourg and the Netherlands (agency_markets_2025) over the group's registrations in the EU CO2 register (cars; EU, Norway, Iceland; no UK from 2021). The rest of the group's sales run through dealers who file incentive claims, leak 1's process. Brand split within the four markets not published.</t>
  </si>
  <si>
    <t xml:space="preserve">x14_agency_share_2025p</t>
  </si>
  <si>
    <t xml:space="preserve">The four agency markets' share of the group's new-car registrations, 2025 (provisional)</t>
  </si>
  <si>
    <t xml:space="preserve">fca_redress_total_gbp_bn</t>
  </si>
  <si>
    <t xml:space="preserve">UK motor-finance redress scheme: expected redress to consumers</t>
  </si>
  <si>
    <t xml:space="preserve">GBP bn</t>
  </si>
  <si>
    <t xml:space="preserve">FCA press release, 30 March 2026: "total redress paid would be £7.5bn" (at 75% take-up)</t>
  </si>
  <si>
    <t xml:space="preserve">https://www.fca.org.uk/news/press-releases/millions-car-finance-customers-payouts-fca-goes-ahead-compensation-scheme</t>
  </si>
  <si>
    <t xml:space="preserve">2026-03-30</t>
  </si>
  <si>
    <t xml:space="preserve">UK only. The scheme compensates buyers where the dealer or broker did not disclose a discretionary commission arrangement, a high commission (at least 39% of the total cost of credit and 10% of the loan) or a tied lender, on motor finance loans from 6 April 2007 to 1 November 2024 (PS26/3, 30 March 2026; implementation 30 June 2026 for loans from 1 April 2014, 31 August 2026 for earlier ones). Industry-wide; the group's share is not disclosed. It is a cost of the past, not a leak: context for why the ledger joins dealer pay, incentive and finance per car.</t>
  </si>
  <si>
    <t xml:space="preserve">Context: X14 (UK regulation)</t>
  </si>
  <si>
    <t xml:space="preserve">fca_redress_cost_to_firms_gbp_bn</t>
  </si>
  <si>
    <t xml:space="preserve">UK motor-finance redress scheme: total bill to firms, redress and non-redress costs</t>
  </si>
  <si>
    <t xml:space="preserve">FCA statement "FCA confirms motor finance redress scheme" (first published 30 March 2026): £7.5bn redress plus £1.6bn non-redress costs, £9.1bn (£11bn at consultation)</t>
  </si>
  <si>
    <t xml:space="preserve">https://www.fca.org.uk/news/statements/fca-confirms-motor-finance-redress-scheme</t>
  </si>
  <si>
    <t xml:space="preserve">fca_redress_agreements_m</t>
  </si>
  <si>
    <t xml:space="preserve">UK motor-finance redress scheme: eligible agreements</t>
  </si>
  <si>
    <t xml:space="preserve">million</t>
  </si>
  <si>
    <t xml:space="preserve">FCA press release, 30 March 2026: "12.1 million agreements made between 2007 and 2024 are now eligible" (14.2m at consultation)</t>
  </si>
  <si>
    <t xml:space="preserve">fca_redress_avg_gbp</t>
  </si>
  <si>
    <t xml:space="preserve">UK motor-finance redress scheme: average payout per agreement</t>
  </si>
  <si>
    <t xml:space="preserve">GBP</t>
  </si>
  <si>
    <t xml:space="preserve">FCA press release, 30 March 2026: "The average payout has increased to around £830 per agreement"</t>
  </si>
  <si>
    <t xml:space="preserve">uk_redress_group_jv_2025</t>
  </si>
  <si>
    <t xml:space="preserve">The group's 20-F: UK motor-finance redress reduced its share of finance joint-venture profits in 2025</t>
  </si>
  <si>
    <t xml:space="preserve">Stellantis Form 20-F FY2025, results of operations: "lower share of profits from financial services joint ventures, in part due to the impact of the cost recorded during 2025 from the UK motor finance redress program"</t>
  </si>
  <si>
    <t xml:space="preserve">No amount is given. The UK joint venture is with BNP Paribas PF (equity-accounted), so the cost reaches the group through its share of profit.</t>
  </si>
  <si>
    <t xml:space="preserve">ccd2_intermediary_rules</t>
  </si>
  <si>
    <t xml:space="preserve">EU Consumer Credit Directive 2023/2225: intermediaries' remuneration and disclosure, applying from 20 November 2026</t>
  </si>
  <si>
    <t xml:space="preserve">Directive (EU) 2023/2225, Art. 32(2) and (4) (remuneration must not impede fair treatment; Member States may ban creditor-paid commissions where advice is given), Art. 38 (say whether tied to one or more creditors; disclose fees the consumer pays), Art. 48 (apply from 20 November 2026)</t>
  </si>
  <si>
    <t xml:space="preserve">https://eur-lex.europa.eu/legal-content/EN/TXT/HTML/?uri=CELEX:32023L2225</t>
  </si>
  <si>
    <t xml:space="preserve">2023-10-18</t>
  </si>
  <si>
    <t xml:space="preserve">No EU article requires the dealer to disclose the commission the lender pays, the UK scheme's core; national transposition may go further. The ledger records each car's dealer commission, incentive and finance terms together, so it can show any of them on request.</t>
  </si>
  <si>
    <t xml:space="preserve">Context: X14 (EU regulation)</t>
  </si>
  <si>
    <t xml:space="preserve">mobilisights_scope</t>
  </si>
  <si>
    <t xml:space="preserve">Mobilisights (Mobilisights Connect from March 2026): the group's wholly owned connected-data business, with consent-based access to embedded data from 14 brands</t>
  </si>
  <si>
    <t xml:space="preserve">Stellantis media, 6 March 2026 (rebrand: "remains a wholly owned data and software company of Stellantis", over 40 telematics partners in Europe and North America, data from fourteen brands) and 10 January 2024 ("the Company collects and shares data only with user's explicit consent"; odometer among the data)</t>
  </si>
  <si>
    <t xml:space="preserve">https://www.media.stellantis.com/em-en/mobilisights/press/mobilisights-rebrands-as-mobilisights-connect-enabling-software-solutions-powered-by-trusted-vehicle-data</t>
  </si>
  <si>
    <t xml:space="preserve">2026-03-06</t>
  </si>
  <si>
    <t xml:space="preserve">No count of connected cars is published in these releases or the 20-F; a blog's 13.8m and 5m were not used. Its products are sold to fleets, insurers and charging services; none published is for remarketing or contract ends.</t>
  </si>
  <si>
    <t xml:space="preserve">Context: X14 (connected data)</t>
  </si>
  <si>
    <t xml:space="preserve">mobilisights_eu_fleet_pack</t>
  </si>
  <si>
    <t xml:space="preserve">Mobilisights' EU fleet data pack covers Pro One vans from model year 2024, for up to four years from the warranty date</t>
  </si>
  <si>
    <t xml:space="preserve">mobilisights.com, EU Fleet Data Pack page (Citroen, Fiat, Opel, Peugeot, Vauxhall vans: Berlingo, Doblo, Combo, Partner, Jumpy, Expert, Ducato and others; "all Stellantis ProOne MY24 models")</t>
  </si>
  <si>
    <t xml:space="preserve">https://www.mobilisights.com/en/eu-fleetdatapack.html</t>
  </si>
  <si>
    <t xml:space="preserve">2026-09</t>
  </si>
  <si>
    <t xml:space="preserve">The product sold to third parties in the EU; the group's own internal access to its cars' data is not described publicly.</t>
  </si>
  <si>
    <t xml:space="preserve">data_act_rules</t>
  </si>
  <si>
    <t xml:space="preserve">EU Data Act: the carmaker may use a connected car's non-personal data only under a contract with the user; the user can have it sent to a third party</t>
  </si>
  <si>
    <t xml:space="preserve">Regulation (EU) 2023/2854, Art. 4(13) ("A data holder shall only use any readily available data that is non-personal data on the basis of a contract with the user"), Art. 5(1) (sharing with a third party at the user's request), Art. 50 (applies from 12 September 2025; Art. 3(1) design duty for products placed on the market after 12 September 2026)</t>
  </si>
  <si>
    <t xml:space="preserve">https://eur-lex.europa.eu/legal-content/EN/TXT/HTML/?uri=CELEX:32023R2854</t>
  </si>
  <si>
    <t xml:space="preserve">2023-12-13</t>
  </si>
  <si>
    <t xml:space="preserve">Personal data (a private driver's car) also needs a GDPR basis. For a leased car the lessor and the lessee can both be users. So the ledger may read a car's odometer or battery health for its own contract or buy-back cars under the contract, and competitors can get the same data from the user: it is not an exclusive edge.</t>
  </si>
  <si>
    <t xml:space="preserve">ayvens_costs_to_achieve_eur_m</t>
  </si>
  <si>
    <t xml:space="preserve">Ayvens (ALD + LeasePlan): total costs to achieve the integration, 2022-2025</t>
  </si>
  <si>
    <t xml:space="preserve">ALD | LeasePlan "PowerUP 2026" press release, 18 September 2023: "Total cumulated costs to achieve of EUR 525 million over 2022-2025" (EUR 128m in 2022, 170m in 2023, 190m in 2024, 37m in 2025)</t>
  </si>
  <si>
    <t xml:space="preserve">https://www.ayvens.com/-/media/ayvens/public/cp/files/news-press-release-pdfs/2023-09-18---ald-cmd-2023-press-release.pdf?rev=6c3b9223548240a09cab42569678a786</t>
  </si>
  <si>
    <t xml:space="preserve">2023-09-18</t>
  </si>
  <si>
    <t xml:space="preserve">A whole merger of two lessors (legal entities, core IT migrations, headcount, real estate), not a data programme on top of existing systems, so it neither validates nor refutes the programme's build cost (X25's four scenarios). No separate data or IT platform spend is disclosed.</t>
  </si>
  <si>
    <t xml:space="preserve">Context: X14 (the programme's cost)</t>
  </si>
  <si>
    <t xml:space="preserve">ayvens_synergies_runrate_eur_m</t>
  </si>
  <si>
    <t xml:space="preserve">Ayvens: annual pre-tax synergies targeted by 2026</t>
  </si>
  <si>
    <t xml:space="preserve">EUR m a year</t>
  </si>
  <si>
    <t xml:space="preserve">ALD | LeasePlan "PowerUP 2026" press release, 18 September 2023: "Total annual pre-tax synergies confirmed at EUR 440 million by 2026" (EUR 120m by 2024, 350m by 2025), evenly split between margin and procurement synergies and cost synergies</t>
  </si>
  <si>
    <t xml:space="preserve">A whole merger of two lessors (legal entities, core IT migrations, headcount, real estate), not a data programme on top of existing systems, so it neither validates nor refutes the programme's build cost (X25's four scenarios). </t>
  </si>
  <si>
    <t xml:space="preserve">ayvens_synergies_2024_eur_m</t>
  </si>
  <si>
    <t xml:space="preserve">Ayvens: synergies achieved in 2024</t>
  </si>
  <si>
    <t xml:space="preserve">Ayvens Q4 and full-year 2024 results press release: "In 2024 synergies amounted to EUR 121 million"</t>
  </si>
  <si>
    <t xml:space="preserve">https://www.ayvens.com/en-cp/news/newsroom/press-releases-2025/ayvens-q4-and-full-year-2024-results/</t>
  </si>
  <si>
    <t xml:space="preserve">Against a plan of EUR 120m by 2024: the merger's synergy plan was delivered on schedule in its first full year. A whole merger of two lessors (legal entities, core IT migrations, headcount, real estate), not a data programme on top of existing systems, so it neither validates nor refutes the programme's build cost (X25's four scenarios). </t>
  </si>
  <si>
    <t xml:space="preserve">ayvens_remarketing_vehicles_k</t>
  </si>
  <si>
    <t xml:space="preserve">Ayvens: used vehicles sold a year through its multi-channel remarketing platform</t>
  </si>
  <si>
    <t xml:space="preserve">thousand vehicles a year</t>
  </si>
  <si>
    <t xml:space="preserve">ALD | LeasePlan "PowerUP 2026" press release, 18 September 2023: "its global multi-channel remarketing platform (600,000 vehicles sold p.a., access to a large range of buyers in 36 countries, of which 24,000 active traders)"</t>
  </si>
  <si>
    <t xml:space="preserve">A merged lessor's remarketing at scale: the real-world analogue for leak 3's resale (the used-car sale results per car are the ald_* and ayvens_* rows).</t>
  </si>
  <si>
    <t xml:space="preserve">Context: X14 (leak 3 analogue)</t>
  </si>
  <si>
    <t xml:space="preserve">sales_incentive_additions_2025_eur_m</t>
  </si>
  <si>
    <t xml:space="preserve">Sales-incentive provision: additions, 2025 (worldwide)</t>
  </si>
  <si>
    <t xml:space="preserve">Stellantis Form 20-F FY2025, Note 21 Provisions, roll-forward table, Sales incentives line, Additional provisions, 2025</t>
  </si>
  <si>
    <t xml:space="preserve">Worldwide; no regional split is disclosed. The estimated cost of incentive programmes offered to dealers and consumers (cash offers, subvention, lease subsidies) is booked as a reduction of revenue when the car is sold to the dealer, and the provision is settled as the programmes are claimed and paid (Note 2, critical estimates). Price discounts at invoice need not pass through it, so it is the claims-based part of incentive spend.</t>
  </si>
  <si>
    <t xml:space="preserve">Leak 1 (via x14_incentive_claims_central)</t>
  </si>
  <si>
    <t xml:space="preserve">sales_incentive_settlements_2025_eur_m</t>
  </si>
  <si>
    <t xml:space="preserve">Sales-incentive provision: settlements, 2025 (worldwide)</t>
  </si>
  <si>
    <t xml:space="preserve">Stellantis Form 20-F FY2025, Note 21 Provisions, roll-forward table, Sales incentives line, Settlements, 2025</t>
  </si>
  <si>
    <t xml:space="preserve">sales_incentive_additions_2024_eur_m</t>
  </si>
  <si>
    <t xml:space="preserve">Sales-incentive provision: additions, 2024 (worldwide)</t>
  </si>
  <si>
    <t xml:space="preserve">Stellantis Form 20-F FY2025, Note 21 Provisions, roll-forward table, Sales incentives line, Additional provisions, 2024</t>
  </si>
  <si>
    <t xml:space="preserve">sales_incentive_settlements_2024_eur_m</t>
  </si>
  <si>
    <t xml:space="preserve">Sales-incentive provision: settlements, 2024 (worldwide)</t>
  </si>
  <si>
    <t xml:space="preserve">Stellantis Form 20-F FY2025, Note 21 Provisions, roll-forward table, Sales incentives line, Settlements, 2024</t>
  </si>
  <si>
    <t xml:space="preserve">sales_incentive_provision_2025_eur_m</t>
  </si>
  <si>
    <t xml:space="preserve">Sales-incentive provision at 31 December 2025 (worldwide)</t>
  </si>
  <si>
    <t xml:space="preserve">Stellantis Form 20-F FY2025, Note 21 Provisions, Sales incentives, total at 31 December 2025 (2024: 6,343)</t>
  </si>
  <si>
    <t xml:space="preserve">A balance, not a year's spend: incentives accrued on cars sold to dealers and not yet claimed. Worldwide; no regional split is disclosed. The estimated cost of incentive programmes offered to dealers and consumers (cash offers, subvention, lease subsidies) is booked as a reduction of revenue when the car is sold to the dealer, and the provision is settled as the programmes are claimed and paid (Note 2, critical estimates). Price discounts at invoice need not pass through it, so it is the claims-based part of incentive spend.</t>
  </si>
  <si>
    <t xml:space="preserve">Context: X14</t>
  </si>
  <si>
    <t xml:space="preserve">group_revenue_2024_eur_m</t>
  </si>
  <si>
    <t xml:space="preserve">Group net revenues, 2024</t>
  </si>
  <si>
    <t xml:space="preserve">Stellantis Form 20-F FY2025, Note 29 related parties, 'Total for the Company' net revenues, 2024 (also the consolidated income statement)</t>
  </si>
  <si>
    <t xml:space="preserve">The denominator for the 2024 incentive ratios.</t>
  </si>
  <si>
    <t xml:space="preserve">eca_error_complex_rules_2024</t>
  </si>
  <si>
    <t xml:space="preserve">EU budget: estimated error in spending under complex rules, mainly reimbursement claims, 2024</t>
  </si>
  <si>
    <t xml:space="preserve">European Court of Auditors, 2024 EU audit in brief, printed p. 6 (the Court's opinion) and p. 13 (Figure 3): "expenditure subject to complex rules, mainly reimbursement-based, in which the estimated level of error is 5.2 %" (2023: 7.9%)</t>
  </si>
  <si>
    <t xml:space="preserve">https://www.eca.europa.eu/ECAPublications/AR-2024-AIB/AR-2024-AIB_EN.pdf</t>
  </si>
  <si>
    <t xml:space="preserve">An audited error rate in payments made on beneficiaries' claims for eligible costs, after national controls: an analogue for dealer incentive claims, not a carmaker's figure. Entitlement-based payments (simple conditions) were below 2%. Brackets process_leak_pct: our 2% sits at the simple-rules end.</t>
  </si>
  <si>
    <t xml:space="preserve">Context: X14 (a benchmark for process_leak_pct)</t>
  </si>
  <si>
    <t xml:space="preserve">eca_error_overall_2024</t>
  </si>
  <si>
    <t xml:space="preserve">EU budget: overall estimated level of error, 2024</t>
  </si>
  <si>
    <t xml:space="preserve">European Court of Auditors, 2024 EU audit in brief, printed p. 4: "Our estimate of the level of error in EU budget spending is at 3.6 % (2023: 5.6 %)"; printed p. 12: between 2.6% and 4.6%</t>
  </si>
  <si>
    <t xml:space="preserve">All audited EU spending, claim-based and entitlement-based. An analogue, not a carmaker's figure.</t>
  </si>
  <si>
    <t xml:space="preserve">process_leak_pct</t>
  </si>
  <si>
    <t xml:space="preserve">Claims paid twice, wrongly or too late, as a share of incentive spend</t>
  </si>
  <si>
    <t xml:space="preserve">Our estimate</t>
  </si>
  <si>
    <t xml:space="preserve">Benchmarks in circulation (2-5%) are US and unverified, so this is an assumption and not a sourced figure. Audited analogue (X14): the European Court of Auditors' 2024 error rate on EU spending paid on claims under complex rules was 5.2%, below 2% for simple entitlement payments (eca_error_*); our 2% sits at the simple-rules end.</t>
  </si>
  <si>
    <t xml:space="preserve">recoverable_share</t>
  </si>
  <si>
    <t xml:space="preserve">Share of process leakage a controls layer actually recovers</t>
  </si>
  <si>
    <t xml:space="preserve">Our estimate, anchored on the EU's audited corrections (ec_cohesion_*)</t>
  </si>
  <si>
    <t xml:space="preserve">2026-09-27</t>
  </si>
  <si>
    <t xml:space="preserve">Leakage that exists is not leakage you can recover. The anchor: in EU cohesion spending, paid on beneficiaries' claims, corrections after payment recover about two-fifths of the error found (risk at payment 2.9%, at closure 1.8%; future corrections 0.5-1.4 points, a sixth to a half: ec_cohesion_*), with a legal right to claw back over years. Our 30% sits just below it and the range spans it. A public-funds analogue, not a carmaker's figure; the pilot's certified baseline replaces it.</t>
  </si>
  <si>
    <t xml:space="preserve">targeting_leak_pct</t>
  </si>
  <si>
    <t xml:space="preserve">Incentives paid on sales that would have happened anyway</t>
  </si>
  <si>
    <t xml:space="preserve">Only measurable with randomised holdouts; the ledger is what makes that measurable. Replaced in leak 1 on 26 September by x5_targeting_gain_central, derived in analysis/optimal_incentive_report.md; kept so the comparison there can be recomputed.</t>
  </si>
  <si>
    <t xml:space="preserve">Context: leak 1 (replaced by X5)</t>
  </si>
  <si>
    <t xml:space="preserve">thin_share_of_book</t>
  </si>
  <si>
    <t xml:space="preserve">Share of the buy-back book with little history</t>
  </si>
  <si>
    <t xml:space="preserve">New brands, new markets and electrified lines with little resale history. Directionally supported by the 20-F statement that LEVs are an increasing proportion of buy-back assets. X9: the electrified part alone, the group's battery-EV plus plug-in share of its 2024 EU registrations (x9_group_bev_share_2024, x9_group_phev_share_2024), sits inside this range; the buy-back book's own mix is not published (its buyers are named only where they are the group's own leasing and rental joint ventures), so the range stands.</t>
  </si>
  <si>
    <t xml:space="preserve">finance_penetration</t>
  </si>
  <si>
    <t xml:space="preserve">SFSE penetration: share of the group's new cars registered in its European markets that SFSE financed, 2025</t>
  </si>
  <si>
    <t xml:space="preserve">Stellantis Financial Services Europe, Rapport Annuel 2025, p. 9 (Europe): "une pénétration qui s'élève à 28,9%"</t>
  </si>
  <si>
    <t xml:space="preserve">https://www.stellantisfinancialservices.com/pdf/Rapport%20Annuel%20SFSE%202025.pdf</t>
  </si>
  <si>
    <t xml:space="preserve">2025</t>
  </si>
  <si>
    <t xml:space="preserve">SFSE new-car financings (cars and vans: credit sale, LOA, B2C long-term rental, subscription) over new-car registrations of the group's brands in SFSE's European markets (the definition: SFSE 2023 annual results, p. 7). Excludes Leasys, which has held the B2B long-term leases since April 2023. Second half of 2025: 30.4%. By country from 21.9% (Spain) to 56.7% (Austria). Legacy Banque PSA Finance: bpf_penetration_2021. Replaced our 40% (30-50%) ASSUMPTION on 26 September (X14). Leak 2 uses the contract count itself (sfse_eu_nv_contracts_2025). X5 reads this rate as g, the share of cars whose resale the group bears: a proxy, not a bound. A loan leaves the resale with the buyer, while buy-back sales and Leasys, outside this rate, leave it with the group.</t>
  </si>
  <si>
    <t xml:space="preserve">Context: X5 (g, the optimal incentive); leak 2's base is sfse_eu_nv_contracts_2025</t>
  </si>
  <si>
    <t xml:space="preserve">sfse_eu_nv_contracts_2025</t>
  </si>
  <si>
    <t xml:space="preserve">New-car financing contracts SFSE wrote for the group's brands in Europe, 2025</t>
  </si>
  <si>
    <t xml:space="preserve">contracts</t>
  </si>
  <si>
    <t xml:space="preserve">Stellantis Financial Services Europe, Rapport Annuel 2025, p. 9 (Europe): "le nombre de contrats de financements de véhicules neufs pour les marques du Groupe s'établit à 646 138 en 2025"</t>
  </si>
  <si>
    <t xml:space="preserve">Cars and vans: credit sale, LOA (lease with purchase option), B2C long-term rental, flexible rental, subscription. Leasys B2B long-term leases are excluded (multi-brand; the group's share not disclosed), so leak 2 counts no fleet lease. Europe is SFSE's markets: France, Germany, the UK, Italy, Spain, Belgium-Luxembourg, the Netherlands, Portugal, Austria, Poland. Each contract ends in a moment to offer the next car; a year's new contracts stand in for a year's contract ends. The contracts sit in 50/50 joint ventures with Santander CF and BNP Paribas PF (Portugal a white-label agreement), so the customer data is shared with a partner bank.</t>
  </si>
  <si>
    <t xml:space="preserve">bpf_penetration_2021</t>
  </si>
  <si>
    <t xml:space="preserve">Banque PSA Finance penetration, legacy PSA and Opel brands, 2021</t>
  </si>
  <si>
    <t xml:space="preserve">Banque PSA Finance, Rapport annuel 2021, management report p. 17: "En 2021, Banque PSA Finance (BPF) a financé 31,9% des ventes de véhicules neufs du Groupe"</t>
  </si>
  <si>
    <t xml:space="preserve">https://www.stellantisfinancialservices.com/pdf/2021%20FR%20Rapport%20annuel.pdf</t>
  </si>
  <si>
    <t xml:space="preserve">2021</t>
  </si>
  <si>
    <t xml:space="preserve">Peugeot, Citroen, DS, Opel and Vauxhall only, before the 2023 finance restructuring; excluding China. History for finance_penetration.</t>
  </si>
  <si>
    <t xml:space="preserve">fla_uk_private_new_pos_share</t>
  </si>
  <si>
    <t xml:space="preserve">UK: share of private new-car purchases funded by FLA members at the point of sale, year to March 2026</t>
  </si>
  <si>
    <t xml:space="preserve">Finance &amp; Leasing Association, consumer car finance statistics for March 2026 (published 12 May 2026): "FLA members funding close to 88% of private new car purchases over the past year"</t>
  </si>
  <si>
    <t xml:space="preserve">https://fla.org.uk/news/consumer-car-finance-new-business-volumes-grew-by-8-in-march-2026/</t>
  </si>
  <si>
    <t xml:space="preserve">2026-03</t>
  </si>
  <si>
    <t xml:space="preserve">UK, the whole market, private buyers only, every lender: not the group's rate. The group's UK rate over all its registrations was 22.8% in 2025, over 62% in B2C (SFSE 2025, p. 9). A rate over all registrations mixes private buyers with fleets, many of them ineligible for finance.</t>
  </si>
  <si>
    <t xml:space="preserve">sfse_pen_fr_2025</t>
  </si>
  <si>
    <t xml:space="preserve">SFSE penetration, France, 2025</t>
  </si>
  <si>
    <t xml:space="preserve">Stellantis Financial Services Europe, Rapport Annuel 2025, p. 9: "le nombre de contrats s'établit à 154 496, soit une pénétration de 27,5%"</t>
  </si>
  <si>
    <t xml:space="preserve">SFSE new-car financings of the group's brands over their new-car registrations (cars and vans) in the market, excluding Leasys's B2B long-term leases. Second half 31%. B2C 68.1% (sfse_pen_fr_b2c_2025).</t>
  </si>
  <si>
    <t xml:space="preserve">Context: X14 (the pilot by market)</t>
  </si>
  <si>
    <t xml:space="preserve">sfse_contracts_fr_2025</t>
  </si>
  <si>
    <t xml:space="preserve">SFSE new-car financing contracts, France, 2025</t>
  </si>
  <si>
    <t xml:space="preserve">SFSE new-car financings of the group's brands over their new-car registrations (cars and vans) in the market, excluding Leasys's B2B long-term leases. The one large market with a disclosed count.</t>
  </si>
  <si>
    <t xml:space="preserve">sfse_pen_fr_b2c_2025</t>
  </si>
  <si>
    <t xml:space="preserve">SFSE penetration of private (B2C) sales, France, 2025</t>
  </si>
  <si>
    <t xml:space="preserve">Stellantis Financial Services Europe, Rapport Annuel 2025, p. 9: "Sur le B2C, la pénétration atteint 68,1%"</t>
  </si>
  <si>
    <t xml:space="preserve">SFSE new-car financings of the group's brands over their new-car registrations (cars and vans) in the market, excluding Leasys's B2B long-term leases. Private buyers only; the rest of registrations are B2B, many ineligible for finance.</t>
  </si>
  <si>
    <t xml:space="preserve">sfse_pen_de_2025</t>
  </si>
  <si>
    <t xml:space="preserve">SFSE penetration, Germany, 2025 (a floor)</t>
  </si>
  <si>
    <t xml:space="preserve">Stellantis Financial Services Europe, Rapport Annuel 2025, p. 9: "les performances se maintiennent à un haut niveau de pénétration, à plus de 33,8%"</t>
  </si>
  <si>
    <t xml:space="preserve">SFSE new-car financings of the group's brands over their new-car registrations (cars and vans) in the market, excluding Leasys's B2B long-term leases. The report says more than 33.8%, so a floor.</t>
  </si>
  <si>
    <t xml:space="preserve">sfse_pen_gb_2025</t>
  </si>
  <si>
    <t xml:space="preserve">SFSE penetration, UK, 2025</t>
  </si>
  <si>
    <t xml:space="preserve">Stellantis Financial Services Europe, Rapport Annuel 2025, p. 9: "avec une pénétration de 22,8 %, soit en hausse de 1,1 points"</t>
  </si>
  <si>
    <t xml:space="preserve">SFSE new-car financings of the group's brands over their new-car registrations (cars and vans) in the market, excluding Leasys's B2B long-term leases. B2C over 62%.</t>
  </si>
  <si>
    <t xml:space="preserve">sfse_pen_es_2025</t>
  </si>
  <si>
    <t xml:space="preserve">SFSE penetration, Spain, 2025</t>
  </si>
  <si>
    <t xml:space="preserve">Stellantis Financial Services Europe, Rapport Annuel 2025, p. 10: "les performances s'améliorent par rapport à 2024 avec une pénétration à 21,9%"</t>
  </si>
  <si>
    <t xml:space="preserve">SFSE new-car financings of the group's brands over their new-car registrations (cars and vans) in the market, excluding Leasys's B2B long-term leases. Second half 26.9%; a large share of B2B is key-account and direct sales.</t>
  </si>
  <si>
    <t xml:space="preserve">sfse_pen_it_2025</t>
  </si>
  <si>
    <t xml:space="preserve">SFSE penetration, Italy, 2025</t>
  </si>
  <si>
    <t xml:space="preserve">Stellantis Financial Services Europe, Rapport Annuel 2025, p. 10: "la pénétration se maintient à 28,6%"</t>
  </si>
  <si>
    <t xml:space="preserve">SFSE new-car financings of the group's brands over their new-car registrations (cars and vans) in the market, excluding Leasys's B2B long-term leases.</t>
  </si>
  <si>
    <t xml:space="preserve">sfse_pen_be_lu_2025</t>
  </si>
  <si>
    <t xml:space="preserve">SFSE penetration, Belgium and Luxembourg, 2025</t>
  </si>
  <si>
    <t xml:space="preserve">Stellantis Financial Services Europe, Rapport Annuel 2025, p. 10: "avec une pénétration stabilisée à 26,6 %"</t>
  </si>
  <si>
    <t xml:space="preserve">SFSE new-car financings of the group's brands over their new-car registrations (cars and vans) in the market, excluding Leasys's B2B long-term leases. B2C 38.4%.</t>
  </si>
  <si>
    <t xml:space="preserve">sfse_contracts_be_lu_2025</t>
  </si>
  <si>
    <t xml:space="preserve">SFSE new-car financing contracts, Belgium and Luxembourg, 2025</t>
  </si>
  <si>
    <t xml:space="preserve">Stellantis Financial Services Europe, Rapport Annuel 2025, p. 10: "Le nombre de contrats progresse sur l'année à 22 128, en hausse de 9,2%"</t>
  </si>
  <si>
    <t xml:space="preserve">sfse_pen_at_2025</t>
  </si>
  <si>
    <t xml:space="preserve">SFSE penetration, Austria, 2025</t>
  </si>
  <si>
    <t xml:space="preserve">Stellantis Financial Services Europe, Rapport Annuel 2025, p. 10: "avec un taux de pénétration record de 56,7 %"</t>
  </si>
  <si>
    <t xml:space="preserve">SFSE new-car financings of the group's brands over their new-car registrations (cars and vans) in the market, excluding Leasys's B2B long-term leases. B2C and B2B finance leases.</t>
  </si>
  <si>
    <t xml:space="preserve">sfse_contracts_at_2025</t>
  </si>
  <si>
    <t xml:space="preserve">SFSE new-car financing contracts, Austria, 2025</t>
  </si>
  <si>
    <t xml:space="preserve">Stellantis Financial Services Europe, Rapport Annuel 2025, p. 10: "le volume de contrats atteint 22 411 unités, soit une hausse de 60 % par rapport à 2024"</t>
  </si>
  <si>
    <t xml:space="preserve">SFSE new-car financings of the group's brands over their new-car registrations (cars and vans) in the market, excluding Leasys's B2B long-term leases. Up 60% on 2024, so one year may not be typical.</t>
  </si>
  <si>
    <t xml:space="preserve">sfse_pen_pl_2025</t>
  </si>
  <si>
    <t xml:space="preserve">SFSE penetration, Poland, 2025</t>
  </si>
  <si>
    <t xml:space="preserve">Stellantis Financial Services Europe, Rapport Annuel 2025, p. 10: "avec un taux de pénétration de 48,8 %"</t>
  </si>
  <si>
    <t xml:space="preserve">upgrade_capture_uplift</t>
  </si>
  <si>
    <t xml:space="preserve">Extra share of customers retained by contacting them at the right moment</t>
  </si>
  <si>
    <t xml:space="preserve">percentage points</t>
  </si>
  <si>
    <t xml:space="preserve">Must be proved with randomised control groups in the pilot rather than assumed at scale.</t>
  </si>
  <si>
    <t xml:space="preserve">margin_per_repeat_sale</t>
  </si>
  <si>
    <t xml:space="preserve">Contribution from one retained customer's next car</t>
  </si>
  <si>
    <t xml:space="preserve">EUR</t>
  </si>
  <si>
    <t xml:space="preserve">New-car margin plus finance income over the contract; excludes service and warranty.</t>
  </si>
  <si>
    <t xml:space="preserve">loan_deposit_pct</t>
  </si>
  <si>
    <t xml:space="preserve">Deposit on a typical financed contract</t>
  </si>
  <si>
    <t xml:space="preserve">Used only to locate the month when the car is worth more than the balance.</t>
  </si>
  <si>
    <t xml:space="preserve">loan_term_months</t>
  </si>
  <si>
    <t xml:space="preserve">Term of a typical financed contract</t>
  </si>
  <si>
    <t xml:space="preserve">loan_apr</t>
  </si>
  <si>
    <t xml:space="preserve">Interest rate on a typical financed contract</t>
  </si>
  <si>
    <t xml:space="preserve">new_car_price</t>
  </si>
  <si>
    <t xml:space="preserve">List price of the worked example car</t>
  </si>
  <si>
    <t xml:space="preserve">analysis/one_car_report.md - Vauxhall Corsa entry price for the 2022 cohort</t>
  </si>
  <si>
    <t xml:space="preserve">DVM-CAR entry trim. Used only to make the upgrade-timing example concrete.</t>
  </si>
  <si>
    <t xml:space="preserve">dep_pi_lo</t>
  </si>
  <si>
    <t xml:space="preserve">Depreciation per year - low end of the 95% prediction interval</t>
  </si>
  <si>
    <t xml:space="preserve">Where the age effect would fall in a market we have not measured. Wider than the confidence interval on the mean and the right number for a new market.</t>
  </si>
  <si>
    <t xml:space="preserve">dep_pi_hi</t>
  </si>
  <si>
    <t xml:space="preserve">Depreciation per year - high end of the 95% prediction interval</t>
  </si>
  <si>
    <t xml:space="preserve">ev_pi_lo</t>
  </si>
  <si>
    <t xml:space="preserve">Electric vs petrol - low end of the 95% prediction interval</t>
  </si>
  <si>
    <t xml:space="preserve">Four datasets only. We cannot say what an electric car is worth against a petrol one in an unmeasured market - the same uncertainty Stellantis reports for electrified residuals.</t>
  </si>
  <si>
    <t xml:space="preserve">ev_pi_hi</t>
  </si>
  <si>
    <t xml:space="preserve">Electric vs petrol - high end of the 95% prediction interval</t>
  </si>
  <si>
    <t xml:space="preserve">er_pairs_measured</t>
  </si>
  <si>
    <t xml:space="preserve">Confirmed duplicate pairs behind the entity-resolution test</t>
  </si>
  <si>
    <t xml:space="preserve">pairs</t>
  </si>
  <si>
    <t xml:space="preserve">analysis/entity_resolution_report.md</t>
  </si>
  <si>
    <t xml:space="preserve">Five sources in four countries, each carrying the site's own advert id, which is hidden before matching. An advert relisted under a new id counts as two records, so this is a lower bound.</t>
  </si>
  <si>
    <t xml:space="preserve">er_price_drift</t>
  </si>
  <si>
    <t xml:space="preserve">Copies of one record that differ on the amount</t>
  </si>
  <si>
    <t xml:space="preserve">analysis/entity_resolution_report.md drift table</t>
  </si>
  <si>
    <t xml:space="preserve">The money field is the one most likely to move between two copies of the same record - the field a claims system would match on. Portugal, scraped weekly for eleven months. Used-car adverts, not dealer claims: this rate does not transfer to the group's systems and must not be quoted as if it did. What transfers is the failure mode.</t>
  </si>
  <si>
    <t xml:space="preserve">er_exact_miss</t>
  </si>
  <si>
    <t xml:space="preserve">Copies an exact match misses, where the copies drift</t>
  </si>
  <si>
    <t xml:space="preserve">analysis/entity_resolution_report.md recall table</t>
  </si>
  <si>
    <t xml:space="preserve">The only source both scraped repeatedly over time and carrying an id, so the only one that can show drift at all. In the four single-snapshot sources a second copy is a byte-identical row and exact matching finds it. Used-car adverts, not dealer claims: this rate does not transfer to the group's systems and must not be quoted as if it did. What transfers is the failure mode.</t>
  </si>
  <si>
    <t xml:space="preserve">er_exact_precision</t>
  </si>
  <si>
    <t xml:space="preserve">Precision of an exact match, where the copies drift</t>
  </si>
  <si>
    <t xml:space="preserve">analysis/entity_resolution_report.md relax table</t>
  </si>
  <si>
    <t xml:space="preserve">Precision levels are not comparable between sources: an id under-counts relisted adverts and a thin field set over-links distinct cars. Read the movement against er_relax_precision, not the level. Used-car adverts, not dealer claims: this rate does not transfer to the group's systems and must not be quoted as if it did. What transfers is the failure mode.</t>
  </si>
  <si>
    <t xml:space="preserve">er_relax_recall</t>
  </si>
  <si>
    <t xml:space="preserve">Recall once the rule stops matching on the fields that drift</t>
  </si>
  <si>
    <t xml:space="preserve">Pair with er_relax_precision: the recall is bought at a precision that makes the rule unusable on its own. Used-car adverts, not dealer claims: this rate does not transfer to the group's systems and must not be quoted as if it did. What transfers is the failure mode.</t>
  </si>
  <si>
    <t xml:space="preserve">er_relax_precision</t>
  </si>
  <si>
    <t xml:space="preserve">Precision once the rule stops matching on the fields that drift</t>
  </si>
  <si>
    <t xml:space="preserve">The measured reason a looser exact rule is not the answer, and a scored match with a human band is. Used-car adverts, not dealer claims: this rate does not transfer to the group's systems and must not be quoted as if it did. What transfers is the failure mode.</t>
  </si>
  <si>
    <t xml:space="preserve">er_uk_exact_recall</t>
  </si>
  <si>
    <t xml:space="preserve">Recall of an exact match in a file with no record id</t>
  </si>
  <si>
    <t xml:space="preserve">analysis/entity_resolution_report.md UK table</t>
  </si>
  <si>
    <t xml:space="preserve">Truth here is inferred, not known: identical in every field but one free-text label is treated as the same advert, so this is an upper bound on what the rule catches. These copies sat in both halves of a train/test split and flattered the value engine until the audit removed them. Used-car adverts, not dealer claims: this rate does not transfer to the group's systems and must not be quoted as if it did. What transfers is the failure mode.</t>
  </si>
  <si>
    <t xml:space="preserve">er_auto_link_recall</t>
  </si>
  <si>
    <t xml:space="preserve">Copies caught by linking automatically above the upper threshold</t>
  </si>
  <si>
    <t xml:space="preserve">analysis/entity_resolution_report.md two-lines table</t>
  </si>
  <si>
    <t xml:space="preserve">At 97.4% precision. Where the group's own lines sit depends on what each error costs it, which this data cannot say. Used-car adverts, not dealer claims: this rate does not transfer to the group's systems and must not be quoted as if it did. What transfers is the failure mode.</t>
  </si>
  <si>
    <t xml:space="preserve">er_review_band_recall</t>
  </si>
  <si>
    <t xml:space="preserve">Copies caught once the human review band is worked</t>
  </si>
  <si>
    <t xml:space="preserve">Only 65.8% of the links at this line are correct, which is why it is a review line and not an automatic one. Used-car adverts, not dealer claims: this rate does not transfer to the group's systems and must not be quoted as if it did. What transfers is the failure mode.</t>
  </si>
  <si>
    <t xml:space="preserve">er_review_band_pairs</t>
  </si>
  <si>
    <t xml:space="preserve">Pairs falling into the human review band</t>
  </si>
  <si>
    <t xml:space="preserve">The size of the queue the design implies, measured rather than assumed. One source. Used-car adverts, not dealer claims: this rate does not transfer to the group's systems and must not be quoted as if it did. What transfers is the failure mode.</t>
  </si>
  <si>
    <t xml:space="preserve">lv_level_spread</t>
  </si>
  <si>
    <t xml:space="preserve">Latvia - how far the price level moved over 52 months</t>
  </si>
  <si>
    <t xml:space="preserve">index points</t>
  </si>
  <si>
    <t xml:space="preserve">2026-09-18</t>
  </si>
  <si>
    <t xml:space="preserve">One small import-driven market, and advert prices. The index is built from the same adverts the depreciation rate is fitted on, so the two move on one dataset.</t>
  </si>
  <si>
    <t xml:space="preserve">lv_rate_spread</t>
  </si>
  <si>
    <t xml:space="preserve">Latvia - how far the depreciation rate moved over the same 52 months</t>
  </si>
  <si>
    <t xml:space="preserve">points</t>
  </si>
  <si>
    <t xml:space="preserve">The rate never left this band through the 2021-22 shortage. Holds on each advert's first month only, so it is not an artefact of cars reappearing month after month.</t>
  </si>
  <si>
    <t xml:space="preserve">lv_level_vs_rate</t>
  </si>
  <si>
    <t xml:space="preserve">Latvia - the level's spread as a multiple of the rate's</t>
  </si>
  <si>
    <t xml:space="preserve">x</t>
  </si>
  <si>
    <t xml:space="preserve">Index points against percentage points a year: two different units, so this is a statement about which of the two a residual-value desk should watch, not a ratio of like quantities. Quote it as an order of magnitude, never as a precise multiple.</t>
  </si>
  <si>
    <t xml:space="preserve">new_car_price_eur</t>
  </si>
  <si>
    <t xml:space="preserve">List price of the worked example car, in euros</t>
  </si>
  <si>
    <t xml:space="preserve">DVM's entry trim, the cheapest version of that model year, so it flatters every share-of-list figure. Converted once at the cohort's own median rate of 0.8706 GBP per EUR; the deliverables carried 11,977, which used a rounded 0.87.</t>
  </si>
  <si>
    <t xml:space="preserve">Per-car P&amp;L</t>
  </si>
  <si>
    <t xml:space="preserve">engine_err_typical</t>
  </si>
  <si>
    <t xml:space="preserve">Value engine - typical error on cars it has never seen</t>
  </si>
  <si>
    <t xml:space="preserve">Advertised prices on both sides, and today's value only. Median absolute difference between the advertised price and the engine's value, taking level and scatter from cars of about the same age; over every age it is 12.2%.</t>
  </si>
  <si>
    <t xml:space="preserve">eu_aoi_2024_eur_m</t>
  </si>
  <si>
    <t xml:space="preserve">Enlarged Europe adjusted operating income, 2024</t>
  </si>
  <si>
    <t xml:space="preserve">Stellantis FY2025 results press release (SEC-filed), results by segment</t>
  </si>
  <si>
    <t xml:space="preserve">The prior-year comparative in the FY2025 release. Stellantis is used as a same-scale proxy for the anonymous group in the case.</t>
  </si>
  <si>
    <t xml:space="preserve">eu_shipments_2024</t>
  </si>
  <si>
    <t xml:space="preserve">Enlarged Europe consolidated shipments, 2024</t>
  </si>
  <si>
    <t xml:space="preserve">The prior-year comparative. Enlarged Europe is the EU-27, the UK and EFTA, plus Israel and Palestine from 2025 - it does not include the Middle East and Africa.</t>
  </si>
  <si>
    <t xml:space="preserve">buyback_payables_noncurrent_eur_m</t>
  </si>
  <si>
    <t xml:space="preserve">Payables for buy-back agreements due after one year</t>
  </si>
  <si>
    <t xml:space="preserve">The complement of the 5,313 due within a year; leak 3 shocks only the current part. Note the coincidence of digits with eu_shipments_2024 (2,576k vehicles) - a different quantity entirely, and an easy figure to mis-cite.</t>
  </si>
  <si>
    <t xml:space="preserve">pl_sale_margin_pct_list</t>
  </si>
  <si>
    <t xml:space="preserve">Per-car P&amp;L - sale margin, as a share of list price</t>
  </si>
  <si>
    <t xml:space="preserve">Our estimate, bracketed by the group's own gross margin</t>
  </si>
  <si>
    <t xml:space="preserve">https://www.stellantis.com/content/dam/stellantis-corporate/investors/financial-reports/Stellantis-NV-20251231-Annual-Report.pdf</t>
  </si>
  <si>
    <t xml:space="preserve">Net price minus variable cost. Bracketed by the group's reported gross margin: cost of revenues was 86.9% of net revenues in 2024, a 13.1% margin, and 101.4% in 2025, -1.4%. Two caveats on the comparison: gross margin is struck on net revenue, not on a VAT-inclusive list price, and a contribution margin excludes fixed costs so it runs higher than a gross margin. The low bound is a 2025-like year, in which the group loses money on the car before anything else in this table happens.</t>
  </si>
  <si>
    <t xml:space="preserve">pl_incentive_pct_list</t>
  </si>
  <si>
    <t xml:space="preserve">Per-car P&amp;L - incentives, as a share of list price</t>
  </si>
  <si>
    <t xml:space="preserve">Our estimate; the same rate as incentive_pct_revenue</t>
  </si>
  <si>
    <t xml:space="preserve">Borrows the group-level incentive rate and applies it to this car's list price. The bases differ: incentive_pct_revenue is a share of net revenue, and Enlarged Europe's net revenue per vehicle is about twice this car's list price, so applying the rate to list is the conservative reading of the same judgement. Bounds follow incentive_pct_revenue. The group's own claims-based incentives as a share of net revenue are in x14_incentive_claims_* (worldwide, X14): a different base (net revenue, claims only, not list price), so this row is unchanged.</t>
  </si>
  <si>
    <t xml:space="preserve">pl_warranty_pct_list</t>
  </si>
  <si>
    <t xml:space="preserve">Per-car P&amp;L - warranty cost, as a share of list price</t>
  </si>
  <si>
    <t xml:space="preserve">Our estimate, bracketed by published warranty accrual rates</t>
  </si>
  <si>
    <t xml:space="preserve">https://www.warrantyweek.com/archive/ww20260312.html</t>
  </si>
  <si>
    <t xml:space="preserve">US automakers accrued 3.0% to 4.8% of product sales in Q4 2025 - GM 3.0, Tesla 3.2, Ford 4.0, Rivian 4.8 - which is US data, struck on net revenue rather than a VAT-inclusive list price. The group's own 2025 change in warranty estimate put 1.2bn euro through Enlarged Europe, of which 0.9bn related to shipments before 2025, so about 120 euro a vehicle arose from the re-estimate alone. The low bound is the 1.25% the deliverables carried before this row existed, which sits below every published benchmark.</t>
  </si>
  <si>
    <t xml:space="preserve">pl_finance_income_eur</t>
  </si>
  <si>
    <t xml:space="preserve">Per-car P&amp;L - finance income over the contract</t>
  </si>
  <si>
    <t xml:space="preserve">Our estimate, bracketed by a European captive's net banking income</t>
  </si>
  <si>
    <t xml:space="preserve">https://www.mobilize-fs.com/en/news/2025-annual-results-new-year-growth-mobilize-financial-services</t>
  </si>
  <si>
    <t xml:space="preserve">Mobilize Financial Services earned 2,224m euro of net banking income on 59.3bn euro of average performing assets in 2025, or 3.75%. On this car's contract - 85% of list amortising to zero over 48 months, so an average outstanding of about 5,300 euro - that is 797 euro over four years. The group-level figure must exclude rate support paid by the new-car business to the finance arm, which is an internal transfer: the high bound removes none of it, the low bound removes half.</t>
  </si>
  <si>
    <t xml:space="preserve">pl_credit_loss_eur</t>
  </si>
  <si>
    <t xml:space="preserve">Per-car P&amp;L - credit losses over the contract</t>
  </si>
  <si>
    <t xml:space="preserve">Our estimate, from published European captive cost of risk</t>
  </si>
  <si>
    <t xml:space="preserve">Mobilize Financial Services' cost of risk was 0.31% of average performing assets in 2024 and 0.30% in 2023; Volkswagen Financial Services' net loss ratio has run below 0.5%. Applied to the same average outstanding of about 5,300 euro over four years, 0.31% gives 66 euro and 0.5% gives 106 euro. A cost-of-risk figure is cyclical and these are benign years.</t>
  </si>
  <si>
    <t xml:space="preserve">pl_service_parts_eur</t>
  </si>
  <si>
    <t xml:space="preserve">Per-car P&amp;L - service and parts margin over the contract</t>
  </si>
  <si>
    <t xml:space="preserve">Our estimate; no source divides aftersales profit by cars on the road</t>
  </si>
  <si>
    <t xml:space="preserve">https://www.investegate.co.uk/announcement/rns/vertu-motors--vtu/final-results-for-the-year-ended-28-february-2026/9565100</t>
  </si>
  <si>
    <t xml:space="preserve">Vertu Motors, a UK franchised retailer, earned a 44.4% gross margin on aftersales in the year to February 2026 - 73.4% on service labour, 20.9% on parts - and aftersales produced over 46% of its gross profit. The group captures the parts margin on a car it built, and the service margin only where it owns the network. No published source divides aftersales profit by vehicles in operation, so the euro amount per car is our judgement and the range is wide.</t>
  </si>
  <si>
    <t xml:space="preserve">pl_recon_logistics_eur</t>
  </si>
  <si>
    <t xml:space="preserve">Per-car P&amp;L - reconditioning, logistics and holding</t>
  </si>
  <si>
    <t xml:space="preserve">Our estimate, against published reconditioning costs</t>
  </si>
  <si>
    <t xml:space="preserve">https://www.nerdwallet.com/auto-loans/learn/what-is-a-reconditioning-fee-on-a-used-car</t>
  </si>
  <si>
    <t xml:space="preserve">Average reconditioning is reported at about 1,112 dollars a vehicle and dealer reconditioning fees at 500 to 2,000 dollars - US consumer-guide figures, not audited accounts. A small hatchback coming off a maintained lease should cost less than an average trade-in, which is why the central figure sits below the US average. Holding cost is real too: cap hpi puts depreciation on a used family hatchback at about 7 pounds a day while it waits to be listed.</t>
  </si>
  <si>
    <t xml:space="preserve">pl_remarketing_margin_eur</t>
  </si>
  <si>
    <t xml:space="preserve">Per-car P&amp;L - remarketing margin</t>
  </si>
  <si>
    <t xml:space="preserve">Our estimate, against an independent retailer's used margin</t>
  </si>
  <si>
    <t xml:space="preserve">Vertu Motors made 1,501 pounds of gross profit on each of 91,287 used vehicles in the year to February 2026, about 1,725 euro, and that is after its own preparation charges. An independent retailer captures the whole trade-to-retail spread; the group buying its own car back at a contractual residual has already passed that value to the customer, so its used side earns far less. With reconditioning taken out separately, the central figures leave the used side at about -200 euro a car.</t>
  </si>
  <si>
    <t xml:space="preserve">inv_platform_eur_m</t>
  </si>
  <si>
    <t xml:space="preserve">Programme cost - platform, data and licences</t>
  </si>
  <si>
    <t xml:space="preserve">Our estimate, built bottom-up</t>
  </si>
  <si>
    <t xml:space="preserve">Ledger platform, entity-resolution and data acquisition, and licences over two years. The same in all four X25 build scenarios; with inv_change_eur_m, nearly half of an in-house build, and the part X25 did not price from a source. No vendor quotation has been taken (X25 has list prices for parts of it: senzing_*, sf_auto_*). Benchmark (X14): Ayvens spent EUR 525m over 2022-2025 to integrate LeasePlan for EUR 440m a year of synergies (ayvens_*), a whole merger with core IT migrations; this programme is a data layer on existing systems, so the figure is a scale reference, not a like-for-like benchmark. None was found.</t>
  </si>
  <si>
    <t xml:space="preserve">Investment</t>
  </si>
  <si>
    <t xml:space="preserve">inv_change_eur_m</t>
  </si>
  <si>
    <t xml:space="preserve">Programme cost - change and training</t>
  </si>
  <si>
    <t xml:space="preserve">Network training, pricer and residual-committee onboarding, and the randomised pilots' running cost. The same in all four X25 build scenarios; with inv_platform_eur_m, nearly half of an in-house build, and the part X25 did not price from a source. No vendor quotation has been taken. Benchmark (X14): Ayvens spent EUR 525m over 2022-2025 to integrate LeasePlan for EUR 440m a year of synergies (ayvens_*), a whole merger with core IT migrations; this programme is a data layer on existing systems, so the figure is a scale reference, not a like-for-like benchmark. None was found.</t>
  </si>
  <si>
    <t xml:space="preserve">gate_vin_link_pct</t>
  </si>
  <si>
    <t xml:space="preserve">Phase 1 gate - incentive spend linked to a VIN</t>
  </si>
  <si>
    <t xml:space="preserve">% of claim value</t>
  </si>
  <si>
    <t xml:space="preserve">TARGET</t>
  </si>
  <si>
    <t xml:space="preserve">Team choice</t>
  </si>
  <si>
    <t xml:space="preserve">The programme's first job is to see the spend. Below this the incentive-to-resale link cannot be measured on the bulk of it, so Phase 2 would have nothing to learn from. Measured on claim value rather than claim count, so a few large claims cannot be quietly left out. If missed: Delay (X22): the next phase's funding waits while the build continues on Phase 1's money. A count over every claim, readable in the phase.</t>
  </si>
  <si>
    <t xml:space="preserve">Gate</t>
  </si>
  <si>
    <t xml:space="preserve">gate_dealer_xwalk_pct</t>
  </si>
  <si>
    <t xml:space="preserve">Phase 1 gate - dealer code crosswalk coverage</t>
  </si>
  <si>
    <t xml:space="preserve">Set level with the VIN link, because a claim can only be de-duplicated once both the car and the dealer resolve to one identity. The two together are what makes a duplicate provable. If missed: Delay (X22), as gate_vin_link_pct.</t>
  </si>
  <si>
    <t xml:space="preserve">gate_dup_precision_pct</t>
  </si>
  <si>
    <t xml:space="preserve">Phase 1 gate - duplicate flags that are real</t>
  </si>
  <si>
    <t xml:space="preserve">A false duplicate withholds an honest dealer's money, so precision is gated harder than recall. Measured on used-car adverts, an exact rule scored 98.7% precision and a relaxed one 20.7% (er_exact_precision, er_relax_precision), so 90% is where a scored match with a review band is working rather than either extreme. Those rates do not transfer to claims data. Read (X22) on an audit of flagged claims: the exact one-sided lower bound must clear this level at gate_read_confidence_pct, on a sample sized in advance (x22_audit_n_prec95). If missed: Waiver with re-review, flags go to human review rather than to hold until it reads.</t>
  </si>
  <si>
    <t xml:space="preserve">gate_dup_recall_pct</t>
  </si>
  <si>
    <t xml:space="preserve">Phase 1 gate - real duplicates that get flagged</t>
  </si>
  <si>
    <t xml:space="preserve">Missing a duplicate costs money once; wrongly flagging one costs a dealer relationship, so recall is set below precision and the rest is caught in the human review band. The measured design clears it with room: automatic linking above the upper threshold caught 80.3% and the worked review band 96.0% (er_auto_link_recall, er_review_band_recall). Read (X22) on duplicates seeded into the claims stream with known answers (X1's method), since a random audit could not find enough rare real ones; the sample is sized in advance (x22_seed_n_rec80). If missed: Waiver with re-review.</t>
  </si>
  <si>
    <t xml:space="preserve">gate_gl_reconcile_pct</t>
  </si>
  <si>
    <t xml:space="preserve">Phase 2 gate - ledger against the general ledger</t>
  </si>
  <si>
    <t xml:space="preserve">+/- %</t>
  </si>
  <si>
    <t xml:space="preserve">Finance will not certify a benefit out of a ledger it cannot tie to the books. This is the gate that makes every later euro figure arguable in a committee rather than only in a model. If missed: Delay (X22); read at every monthly close.</t>
  </si>
  <si>
    <t xml:space="preserve">gate_uplift_pp</t>
  </si>
  <si>
    <t xml:space="preserve">Phase 2 gate - retention uplift over a randomised control group</t>
  </si>
  <si>
    <t xml:space="preserve">Deliberately set below the 3pp the value-at-risk model assumes (upgrade_capture_uplift, range 1-6pp), so the pilot can come in under the assumption and still pass, and so that failing the gate is a real possibility rather than a formality. Testable: randomising the group's own flag within each dealer needs x15_pilot_blocked_customers per arm (analysis/pilot_size_report.md). Read (X22) on orders signed inside Phase 2 by customers whose contracts end in its first half, the group's flag randomised within dealers (X15), one pre-registered arm and one O'Brien-Fleming interim look; the point estimate must reach this level and the lower bound clear zero. The lower bound, not the point estimate, then replaces upgrade_capture_uplift in the benefits case (x22_lower_at_gate_pp; a significant result overstates the effect, gc_exaggeration_80_power). If missed: Back-up, cohort-level timing and the exit gate's fallback line.</t>
  </si>
  <si>
    <t xml:space="preserve">gate_uplift_significance_pct</t>
  </si>
  <si>
    <t xml:space="preserve">Phase 2 gate - confidence required on that uplift</t>
  </si>
  <si>
    <t xml:space="preserve">A randomised control group is the only thing that turns the assumed euros of leak 2 into a measured number, so the standard is the conventional one and the holdout must be preserved.</t>
  </si>
  <si>
    <t xml:space="preserve">gate_benefits_eur_m</t>
  </si>
  <si>
    <t xml:space="preserve">Phase 4 exit - run-rate benefits certified by Finance</t>
  </si>
  <si>
    <t xml:space="preserve">Team choice, derived on the Benefits sheet (X21)</t>
  </si>
  <si>
    <t xml:space="preserve">Derived, not chosen: the run rate the committed levers (claims controls, retention, resale execution) earn in the markets live at month 24, at the reference class (McKinsey-Oxford's software projects fall short of their benefits, mckox_sw_benefit_shortfall_pct), with every source; rounded. On the named fallback without the joint ventures' data, the gate is the Benefits sheet's second line. Finance certifies it against control groups. It replaces a gate set above an older controls figure and at about four times the old single ask (retired by X25), true by construction (skeptic B1); the old gate was above what the plan itself earns in those markets. The floor beneath it on the Benefits sheet is X22's stop. The audit checks this row against the sheet. Outcomes (X22): Go (roll out) at or above it; Waiver with re-review between it and the floor (gate_exit_floor_s1..s4_eur_m, one per build scenario): stay in the live markets; Kill below the floor, with no run cost committed.</t>
  </si>
  <si>
    <t xml:space="preserve">kpi_claim_days</t>
  </si>
  <si>
    <t xml:space="preserve">KPI - days to settle an incentive claim</t>
  </si>
  <si>
    <t xml:space="preserve">working days</t>
  </si>
  <si>
    <t xml:space="preserve">A controls layer that holds claims for review only works if the review is fast; a slow one gets overridden by the business and the control stops existing.</t>
  </si>
  <si>
    <t xml:space="preserve">KPI</t>
  </si>
  <si>
    <t xml:space="preserve">kpi_review_rate_pct</t>
  </si>
  <si>
    <t xml:space="preserve">KPI - record pairs sent to human review</t>
  </si>
  <si>
    <t xml:space="preserve">% of claims</t>
  </si>
  <si>
    <t xml:space="preserve">A capacity limit, not an accuracy one: it is what a review team can actually work. The measured threshold sweep put 8,344 pairs in the band on used-car adverts (er_review_band_pairs), which is what sizing this on real claims would look like.</t>
  </si>
  <si>
    <t xml:space="preserve">kpi_unseen_drift_pct</t>
  </si>
  <si>
    <t xml:space="preserve">KPI - market drift carried unseen between re-marks</t>
  </si>
  <si>
    <t xml:space="preserve">Sits between the two measured cadences: 3.0% of level can drift unseen at today's quarterly review and 1.3% at monthly (level_3m_p5, level_1m_p5). Set between them so the target is reachable but not free, and so it is an exposure measure rather than a claimed saving.</t>
  </si>
  <si>
    <t xml:space="preserve">kpi_thin_error_points</t>
  </si>
  <si>
    <t xml:space="preserve">KPI - error on little-history cars against established markets</t>
  </si>
  <si>
    <t xml:space="preserve">New brands, new markets and electrified lines are where borrowing data pays; the measured gain is 4.3% at 100 local cars and nothing by 250 (pooling_gain_100, pooling_gain_250), so the target is closing a gap, not reaching parity.</t>
  </si>
  <si>
    <t xml:space="preserve">price_band_pct</t>
  </si>
  <si>
    <t xml:space="preserve">Design choice - average band within which a pricer may adjust the recommendation, tied to the engine's calibrated band (X13)</t>
  </si>
  <si>
    <t xml:space="preserve">Design choice, from adoption research and X13 (26 September)</t>
  </si>
  <si>
    <t xml:space="preserve">People use an imperfect algorithm far more when they can modify its output even slightly, and the band's width barely changes that (Dietvorst, Simmons &amp; Massey 2018; x13_dv_uptake_*). Since X13 the band is tied to the value engine's calibrated 80% band and scaled to this average, so it is narrower on young cars and wider on old ones (x13_tied_cap_*). In X13's model it is never worse than a flat ±5% at any level of pricer information (x13_be_tied_vs_fixed). The full calibrated band pays only if pricers see enough of the engine's error (x13_be_full_vs_fixed*), which the pilot measures before any widening. The average stays small because the level, not the pricer, is what moves value.</t>
  </si>
  <si>
    <t xml:space="preserve">Design</t>
  </si>
  <si>
    <t xml:space="preserve">dpt_passthrough</t>
  </si>
  <si>
    <t xml:space="preserve">Resale value lost per 1% deeper deal at the new sale</t>
  </si>
  <si>
    <t xml:space="preserve">log points per log point</t>
  </si>
  <si>
    <t xml:space="preserve">analysis/discount_passthrough_report.md</t>
  </si>
  <si>
    <t xml:space="preserve">2026-09-20</t>
  </si>
  <si>
    <t xml:space="preserve">Washington State title transfers: 35,552 resales of 31,367 cars also seen at their own new sale. US, electric and plug-in only. AN UPPER BOUND - the file has no trim field, so part of this is a cheaper car rather than a cheaper deal (see dpt_prereg_gap_version). Holds the resale month fixed, so it is what a discount does to the car it was given on, not to the market.</t>
  </si>
  <si>
    <t xml:space="preserve">dpt_cost_10pct</t>
  </si>
  <si>
    <t xml:space="preserve">Resale value lost when a car was bought 10% below its model's usual price</t>
  </si>
  <si>
    <t xml:space="preserve">% of resale value</t>
  </si>
  <si>
    <t xml:space="preserve">The same coefficient as dpt_passthrough, read at a 10% deal. Upper bound. The published UK figure is 6.5% at 36 months plus 1.5% at once (hk_passthrough_36m, hk_passthrough_now) - quote the two as a range, never one as the answer.</t>
  </si>
  <si>
    <t xml:space="preserve">dpt_placebo</t>
  </si>
  <si>
    <t xml:space="preserve">Placebo - the same model's deal 12 months after the car was bought</t>
  </si>
  <si>
    <t xml:space="preserve">t = +0.7, cannot be told from zero, while the car's own deal holds at +0.243 in the same regression. This is the test tesla_event.py failed and it is why the per-car result may be quoted where the event study may not.</t>
  </si>
  <si>
    <t xml:space="preserve">dpt_prereg_gap_model</t>
  </si>
  <si>
    <t xml:space="preserve">Pre-registered car's advert gap on make and model alone</t>
  </si>
  <si>
    <t xml:space="preserve">AutoScout24, November 2025, eight European markets, 3,620 pre-registered against 4,122 new cars under 15,000 km. Advertised prices. This is the gap that looks like a discount and is not - see dpt_prereg_gap_version.</t>
  </si>
  <si>
    <t xml:space="preserve">dpt_prereg_gap_version</t>
  </si>
  <si>
    <t xml:space="preserve">The same gap once the exact version is matched</t>
  </si>
  <si>
    <t xml:space="preserve">Cannot be told from zero (t -0.39, 454 cars across 44 versions). The visible price gap is specification, not discount: a discount does not show up in market data at all, which is why only the group's own claim records can carry it. The small sample is the limit - versions listed in both states may not be typical.</t>
  </si>
  <si>
    <t xml:space="preserve">dpt_market_lags</t>
  </si>
  <si>
    <t xml:space="preserve">Eurostat - new-car price moves showing up in used prices afterwards</t>
  </si>
  <si>
    <t xml:space="preserve">Sum of lags 0 to 48 months, 32 European markets, country and month fixed effects, standard errors clustered by country. Nothing. An index mixing every vintage also dilutes one cohort's discount about tenfold, so this test has little power even in principle.</t>
  </si>
  <si>
    <t xml:space="preserve">dpt_market_leads</t>
  </si>
  <si>
    <t xml:space="preserve">Eurostat - the same moves showing up in used prices beforehand</t>
  </si>
  <si>
    <t xml:space="preserve">Larger than everything that comes after, so used prices move ahead of new-car prices. The Tesla failure is general, not a quirk of one January. A market-level series cannot answer this question; the per-car link can.</t>
  </si>
  <si>
    <t xml:space="preserve">hk_passthrough_36m</t>
  </si>
  <si>
    <t xml:space="preserve">Published - resale value lost at 36 months per 10% discount at the new sale</t>
  </si>
  <si>
    <t xml:space="preserve">% of residual value</t>
  </si>
  <si>
    <t xml:space="preserve">Holweg M. and Kattuman P., 'A dynamic determination of the residual product value: empirical evidence from the automotive industry', POMS conference paper 004-0144, Table 5 and section 4.3</t>
  </si>
  <si>
    <t xml:space="preserve">https://pomsmeetings.org/confpapers/004/004-0144.pdf</t>
  </si>
  <si>
    <t xml:space="preserve">1999-2004</t>
  </si>
  <si>
    <t xml:space="preserve">UK auction (trade) prices from Glass's CAP, 1999-2004, 2,320 model-months, 47-48 models, 70.22% of UK registrations. A conference paper; no journal version found, and the paper never names the source of its discount variable. Model fixed effects, year and month effects and macro controls, but not a causal design - a model that needs discounting may be a weak model anyway, though age-of-design and new-model dummies absorb the main lifecycle channel. Table 5 coefficient -0.00647 per percentage point, t 8.24.</t>
  </si>
  <si>
    <t xml:space="preserve">hk_passthrough_now</t>
  </si>
  <si>
    <t xml:space="preserve">Published - resale value lost at once per 10% discount at the new sale</t>
  </si>
  <si>
    <t xml:space="preserve">UK auction (trade) prices from Glass's CAP, 1999-2004, 2,320 model-months, 47-48 models, 70.22% of UK registrations. A conference paper; no journal version found, and the paper never names the source of its discount variable. Model fixed effects, year and month effects and macro controls, but not a causal design - a model that needs discounting may be a weak model anyway, though age-of-design and new-model dummies absorb the main lifecycle channel. Table 5 coefficient -0.0015 per percentage point, t 2.48. This is the substitution channel - today's discounts against today's used cars - and is the smaller of the two.</t>
  </si>
  <si>
    <t xml:space="preserve">rd_nl_transfer_rate</t>
  </si>
  <si>
    <t xml:space="preserve">Dutch cars that change keeper in a year</t>
  </si>
  <si>
    <t xml:space="preserve">% of the fleet a year</t>
  </si>
  <si>
    <t xml:space="preserve">analysis/readiness_base_report.md</t>
  </si>
  <si>
    <t xml:space="preserve">2026-09-21</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</si>
  <si>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Read the level as good to about ten per cent - see rd_nl_bovag_gap.</t>
  </si>
  <si>
    <t xml:space="preserve">rd_nl_peak_rate</t>
  </si>
  <si>
    <t xml:space="preserve">Keeper-change rate at the age it peaks</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</si>
  <si>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The peak sits at the same age in the previous twelve months too, so it is an age effect and not the 2021 registration cohort.</t>
  </si>
  <si>
    <t xml:space="preserve">rd_nl_peak_age</t>
  </si>
  <si>
    <t xml:space="preserve">Age at which cars come to market fastest</t>
  </si>
  <si>
    <t xml:space="preserve">years</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</si>
  <si>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Whole years of age, from the year of first admission.</t>
  </si>
  <si>
    <t xml:space="preserve">rd_nl_trough_rate</t>
  </si>
  <si>
    <t xml:space="preserve">Keeper-change rate at the quietest age</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</si>
  <si>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The quietest age is nine.</t>
  </si>
  <si>
    <t xml:space="preserve">rd_nl_peak_vs_trough</t>
  </si>
  <si>
    <t xml:space="preserve">Peak keeper-change rate against the quietest</t>
  </si>
  <si>
    <t xml:space="preserve">ratio</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</si>
  <si>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This is the whole of layer 1's claim: age alone nearly doubles the chance a car comes to market.</t>
  </si>
  <si>
    <t xml:space="preserve">rd_nl_parc_measured</t>
  </si>
  <si>
    <t xml:space="preserve">Cars behind the Dutch base hazard</t>
  </si>
  <si>
    <t xml:space="preserve">cars</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</si>
  <si>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Ages one to twenty-five only.</t>
  </si>
  <si>
    <t xml:space="preserve">rd_nl_stellantis_share</t>
  </si>
  <si>
    <t xml:space="preserve">Group brands as a share of the Dutch fleet</t>
  </si>
  <si>
    <t xml:space="preserve">% of cars</t>
  </si>
  <si>
    <t xml:space="preserve">RDW's open vehicle register, twelve months to September 2026, passenger cars first put on Dutch plates when new. A keeper change is not a sale to a new customer: it counts a car going into dealer stock and a car moving inside a family. The level is Dutch and the Netherlands taxes and leases cars unusually; the project has measured three times that a shape travels between markets and a level does not. Brands matched with build_unified.STELLANTIS across the 16 spellings RDW uses. The group's own curve tracks the fleet's, so the shape is not a brand-mix artefact.</t>
  </si>
  <si>
    <t xml:space="preserve">rd_nl_keeper_changes</t>
  </si>
  <si>
    <t xml:space="preserve">Dutch keeper changes counted in twelve months</t>
  </si>
  <si>
    <t xml:space="preserve">keeper changes a year</t>
  </si>
  <si>
    <t xml:space="preserve">Every passenger car, imports included, and including cars since exported or scrapped, because a car sold in November and exported in March was still a sale. This is the count held against BOVAG's.</t>
  </si>
  <si>
    <t xml:space="preserve">rd_nl_bovag_gap</t>
  </si>
  <si>
    <t xml:space="preserve">Our Dutch count against BOVAG's published one</t>
  </si>
  <si>
    <t xml:space="preserve">Low in the direction the method predicts: a snapshot shows only the current keeper, so a car that changed hands twice inside the year counts once. Treat the Dutch level as good to about ten per cent and never quote it as exact.</t>
  </si>
  <si>
    <t xml:space="preserve">rd_nl_used_sales_2025</t>
  </si>
  <si>
    <t xml:space="preserve">Used cars sold in the Netherlands, 2025</t>
  </si>
  <si>
    <t xml:space="preserve">BOVAG and RDC, 'Recordjaar 2025: verkoop gebruikte auto's stijgt naar 2,1 miljoen'</t>
  </si>
  <si>
    <t xml:space="preserve">https://www.bovag.nl/pers/persberichten/recordjaar-2025-verkoop-gebruikte-auto-s-stijgt-naar-2-1-miljoen</t>
  </si>
  <si>
    <t xml:space="preserve">2026-01-08</t>
  </si>
  <si>
    <t xml:space="preserve">The motor trade's own count, from RDC's registrations, not ours. Used as the outside check on the Dutch base hazard. Calendar 2025; our window is September 2025 to September 2026.</t>
  </si>
  <si>
    <t xml:space="preserve">rd_event_36m</t>
  </si>
  <si>
    <t xml:space="preserve">Excess adverts at 36 months, the three-year contract</t>
  </si>
  <si>
    <t xml:space="preserve">% over trend</t>
  </si>
  <si>
    <t xml:space="preserve">analysis/readiness_events_report.md</t>
  </si>
  <si>
    <t xml:space="preserve">Three European advert sources that record a registration month (de_2023, eu_2025_11, pt_standvirtual), 202,906 adverts. Excess over a smooth age trend with source and registration-calendar-month effects absorbed, so each contract length is measured against the other whole-year ages. Adverts are not returns: a lease car that goes straight to auction never appears. Negative in all twelve specifications tried and in two of three sources. This is layer 3's negative result: no contract-end spike exists in public data.</t>
  </si>
  <si>
    <t xml:space="preserve">rd_event_24m</t>
  </si>
  <si>
    <t xml:space="preserve">Excess adverts at 24 months</t>
  </si>
  <si>
    <t xml:space="preserve">Three European advert sources that record a registration month (de_2023, eu_2025_11, pt_standvirtual), 202,906 adverts. Excess over a smooth age trend with source and registration-calendar-month effects absorbed, so each contract length is measured against the other whole-year ages. Adverts are not returns: a lease car that goes straight to auction never appears. Range crosses zero.</t>
  </si>
  <si>
    <t xml:space="preserve">rd_event_60m</t>
  </si>
  <si>
    <t xml:space="preserve">Excess adverts at 60 months, before robustness</t>
  </si>
  <si>
    <t xml:space="preserve">Three European advert sources that record a registration month (de_2023, eu_2025_11, pt_standvirtual), 202,906 adverts. Excess over a smooth age trend with source and registration-calendar-month effects absorbed, so each contract length is measured against the other whole-year ages. Adverts are not returns: a lease car that goes straight to auction never appears. DO NOT QUOTE THIS AS A FINDING. It is produced entirely by eu_2025_11 (+94.6%); the other two sources read +7.5% and -1.4%, and across twelve specifications it swings from +7.1% to +30.7%. It is the lumpy registration-year composition of one day's scrape. Registered so the number has its refutation attached.</t>
  </si>
  <si>
    <t xml:space="preserve">rd_event_artefact_36m</t>
  </si>
  <si>
    <t xml:space="preserve">Whole-year artefact at 36 months if the trap is missed</t>
  </si>
  <si>
    <t xml:space="preserve">Sources that record only a registration year put every car on a whole number of years, so the same test reads a huge spike at every contract length. This is the artefact, measured, and the reason any age-at-listing analysis must filter to month-precision sources first.</t>
  </si>
  <si>
    <t xml:space="preserve">rd_market_share_old</t>
  </si>
  <si>
    <t xml:space="preserve">Share of cars on sale aged 15+, per 10% stronger market</t>
  </si>
  <si>
    <t xml:space="preserve">percentage points per 10%</t>
  </si>
  <si>
    <t xml:space="preserve">analysis/readiness_market_report.md</t>
  </si>
  <si>
    <t xml:space="preserve">Latvia, 52 monthly ss.com snapshots 2019-2023, 936,494 rows, over a window in which the index rises 71%. Linear trend and calendar-month effects removed. TWO READINGS, not separable here: a stronger market may pull older cars onto the market, or older cars may simply sell slower and pile up on display. lv_ss has no advert id, so this is the stock on sale, not the flow onto sale. Never present it as proof of the first reading. Our quality-adjusted index; Eurostat's official index gives +0.066, same sign.</t>
  </si>
  <si>
    <t xml:space="preserve">rd_market_median_km</t>
  </si>
  <si>
    <t xml:space="preserve">Median mileage on sale, per 10% stronger market</t>
  </si>
  <si>
    <t xml:space="preserve">km per 10%</t>
  </si>
  <si>
    <t xml:space="preserve">Latvia, 52 monthly ss.com snapshots 2019-2023, 936,494 rows, over a window in which the index rises 71%. Linear trend and calendar-month effects removed. TWO READINGS, not separable here: a stronger market may pull older cars onto the market, or older cars may simply sell slower and pile up on display. lv_ss has no advert id, so this is the stock on sale, not the flow onto sale. Never present it as proof of the first reading. Our index; Eurostat's gives +9,980 km, same sign.</t>
  </si>
  <si>
    <t xml:space="preserve">rd_market_median_age</t>
  </si>
  <si>
    <t xml:space="preserve">Median age on sale, per 10% stronger market</t>
  </si>
  <si>
    <t xml:space="preserve">years per 10%</t>
  </si>
  <si>
    <t xml:space="preserve">Latvia, 52 monthly ss.com snapshots 2019-2023, 936,494 rows, over a window in which the index rises 71%. Linear trend and calendar-month effects removed. TWO READINGS, not separable here: a stronger market may pull older cars onto the market, or older cars may simply sell slower and pile up on display. lv_ss has no advert id, so this is the stock on sale, not the flow onto sale. Never present it as proof of the first reading. Our index; Eurostat's gives +0.709 years, same sign. All eight measures across the two indices agree in sign.</t>
  </si>
  <si>
    <t xml:space="preserve">up_ct_top_decile</t>
  </si>
  <si>
    <t xml:space="preserve">Uplift in the top decile, class-transformation model</t>
  </si>
  <si>
    <t xml:space="preserve">analysis/uplift_engine_report.md</t>
  </si>
  <si>
    <t xml:space="preserve">MineThatData / Hillstrom 2008 e-mail trial, 64,000 customers, treatment randomised by the publisher, 32,103 held out. A 2008 CLOTHING RETAILER, not cars: no coefficient here transfers to an automotive book. Outcome is a website visit, not a purchase. Weighted to the trial's two-to-one split (fixed 26 September; unweighted, the relabelled outcome mixed in the response rate). One fit: refitted on ten subsamples of the training half it averages up_refit_ct_mean, below a random tenth. Quoted only alongside up_response_top_decile: the uplift model does NOT beat the plain response model here.</t>
  </si>
  <si>
    <t xml:space="preserve">up_response_top_decile</t>
  </si>
  <si>
    <t xml:space="preserve">Uplift in the top decile, ordinary response model</t>
  </si>
  <si>
    <t xml:space="preserve">MineThatData / Hillstrom 2008 e-mail trial, 64,000 customers, treatment randomised by the publisher, 32,103 held out. A 2008 CLOTHING RETAILER, not cars: no coefficient here transfers to an automotive book. Outcome is a website visit, not a purchase. This is the baseline uplift modelling is meant to beat and does not beat here. The difference against the best uplift model is -0.14 points, range -3.36 to +2.88, which contains zero.</t>
  </si>
  <si>
    <t xml:space="preserve">up_random_top_decile</t>
  </si>
  <si>
    <t xml:space="preserve">Uplift in a random tenth, no model at all</t>
  </si>
  <si>
    <t xml:space="preserve">MineThatData / Hillstrom 2008 e-mail trial, 64,000 customers, treatment randomised by the publisher, 32,103 held out. A 2008 CLOTHING RETAILER, not cars: no coefficient here transfers to an automotive book. Outcome is a website visit, not a purchase. The floor. The response model clearly beats it; the class-transformation model does not on average over refits (up_refit_ct_mean).</t>
  </si>
  <si>
    <t xml:space="preserve">rd_nl_market_value</t>
  </si>
  <si>
    <t xml:space="preserve">Value of Dutch cars changing keeper in a year</t>
  </si>
  <si>
    <t xml:space="preserve">EUR billion a year</t>
  </si>
  <si>
    <t xml:space="preserve">analysis/readiness_value_report.md</t>
  </si>
  <si>
    <t xml:space="preserve">RDW register (cars and keeper-change rate, measured) times RDW's official catalogue price for the vintages still on the road times the measured Dutch value-retained curve. Dutch only; the project has measured three times that a shape travels and a level does not. Retention is measured on advert prices, so it inherits the advert-is-not-a-sale caveat. NOT the value-at-risk model: that prices what the group loses when a residual is wrong and its headline is unchanged at EUR 913m/EUR 1,460m. Do not add the two. </t>
  </si>
  <si>
    <t xml:space="preserve">rd_nl_market_value_group</t>
  </si>
  <si>
    <t xml:space="preserve">...of which the group's own brands</t>
  </si>
  <si>
    <t xml:space="preserve">RDW register (cars and keeper-change rate, measured) times RDW's official catalogue price for the vintages still on the road times the measured Dutch value-retained curve. Dutch only; the project has measured three times that a shape travels and a level does not. Retention is measured on advert prices, so it inherits the advert-is-not-a-sale caveat. NOT the value-at-risk model: that prices what the group loses when a residual is wrong and its headline is unchanged at EUR 913m/EUR 1,460m. Do not add the two. Cars and rate measured for the group's brands specifically; the price curve is the market's.</t>
  </si>
  <si>
    <t xml:space="preserve">rd_nl_wave_value</t>
  </si>
  <si>
    <t xml:space="preserve">Value in the replacement wave, ages four to six</t>
  </si>
  <si>
    <t xml:space="preserve">RDW register (cars and keeper-change rate, measured) times RDW's official catalogue price for the vintages still on the road times the measured Dutch value-retained curve. Dutch only; the project has measured three times that a shape travels and a level does not. Retention is measured on advert prices, so it inherits the advert-is-not-a-sale caveat. NOT the value-at-risk model: that prices what the group loses when a residual is wrong and its headline is unchanged at EUR 913m/EUR 1,460m. Do not add the two. 30% of the total on 226,347 cars: where a high hazard meets a car still worth something.</t>
  </si>
  <si>
    <t xml:space="preserve">rd_nl_value_advert_priced</t>
  </si>
  <si>
    <t xml:space="preserve">What pricing the same cars from our adverts would say</t>
  </si>
  <si>
    <t xml:space="preserve">DO NOT QUOTE AS A VALUE. Registered as the size of the error: our Dutch adverts are one premium dealer scrape whose median asking price is not monotone in age, and pricing the flow from them overstates it 2.4x against official catalogue prices. It is the measured reason the level comes from the register, not the listings.</t>
  </si>
  <si>
    <t xml:space="preserve">rd_mileage_exit_elasticity</t>
  </si>
  <si>
    <t xml:space="preserve">Fleet-exit hazard per doubling of cohort mileage</t>
  </si>
  <si>
    <t xml:space="preserve">times</t>
  </si>
  <si>
    <t xml:space="preserve">analysis/readiness_mileage_report.md</t>
  </si>
  <si>
    <t xml:space="preserve">UK DVSA anonymised MOT extracts, Open Government Licence v3.0, streamed not stored. Whole years of age on both sides (test or advert year minus year of first use). An MOT starts at three, so no car younger than that is seen. British: layer 1 is Dutch, and this layer is a shape, which the project has measured three times is the half that travels. Elasticity 0.626, standard error 0.026. Monotone across all ten deciles, 0.61x at the least-driven tenth to 1.78x at the most-driven.</t>
  </si>
  <si>
    <t xml:space="preserve">rd_mileage_market_elasticity</t>
  </si>
  <si>
    <t xml:space="preserve">Coming-to-market hazard per doubling of cohort mileage</t>
  </si>
  <si>
    <t xml:space="preserve">UK DVSA anonymised MOT extracts, Open Government Licence v3.0, streamed not stored. Whole years of age on both sides (test or advert year minus year of first use). An MOT starts at three, so no car younger than that is seen. British: layer 1 is Dutch, and this layer is a shape, which the project has measured three times is the half that travels. Elasticity 0.041, standard error 0.024 - no effect. And a single slope is the wrong summary: the profile is arched, both ends under-represented (0.85x least-driven, 0.84x most-driven) and the middle at 1.05x. THIS IS THE EVENT THE LEDGER CARES ABOUT, so layer 2 contributes almost nothing to a to-market hazard. Quote it with rd_mileage_exit_elasticity, never alone.</t>
  </si>
  <si>
    <t xml:space="preserve">rd_mot_id_cross_release</t>
  </si>
  <si>
    <t xml:space="preserve">Vehicle id identical across two releases of test year 2024</t>
  </si>
  <si>
    <t xml:space="preserve">share of shared tests</t>
  </si>
  <si>
    <t xml:space="preserve">analysis/readiness_mot_id_report.md</t>
  </si>
  <si>
    <t xml:space="preserve">UK DVSA anonymised MOT extracts, Open Government Licence v3.0. DVSA's user guide states the id is derived from the registration and the VIN; this is the measurement rather than the claim. It is what makes layer 2 possible at all. 202,060 tests present in both the May 2025 and the June 2026 release, built thirteen months apart by pipelines that format the odometer differently.</t>
  </si>
  <si>
    <t xml:space="preserve">rd_mot_id_make_model</t>
  </si>
  <si>
    <t xml:space="preserve">Make and model agree when a car is followed a year on</t>
  </si>
  <si>
    <t xml:space="preserve">share of followed cars</t>
  </si>
  <si>
    <t xml:space="preserve">UK DVSA anonymised MOT extracts, Open Government Licence v3.0. DVSA's user guide states the id is derived from the registration and the VIN; this is the measurement rather than the claim. It is what makes layer 2 possible at all. 249,716 January 2024 cars found again in January or February 2025. Quote it with rd_mot_id_chance or it means nothing.</t>
  </si>
  <si>
    <t xml:space="preserve">rd_mot_id_chance</t>
  </si>
  <si>
    <t xml:space="preserve">Make and model agreeing by chance</t>
  </si>
  <si>
    <t xml:space="preserve">share</t>
  </si>
  <si>
    <t xml:space="preserve">The null for rd_mot_id_make_model, from the sample's own make and model distribution. First-use date by chance is 0.0007. Ids are also sparse - a 303k sample spans 3,707 to 1,499,987,839 - so a coincidental collision is itself rare.</t>
  </si>
  <si>
    <t xml:space="preserve">rd_mot_odometer_monotone</t>
  </si>
  <si>
    <t xml:space="preserve">Followed cars whose odometer has not gone backwards</t>
  </si>
  <si>
    <t xml:space="preserve">UK DVSA anonymised MOT extracts, Open Government Licence v3.0. DVSA's user guide states the id is derived from the registration and the VIN; this is the measurement rather than the claim. It is what makes layer 2 possible at all. The 0.71% that fall are mis-keyed or rolled-back readings, which is why DfT's own note on MOT odometers cleans pairs before annualising. Not evidence against the id.</t>
  </si>
  <si>
    <t xml:space="preserve">rd_model_auc</t>
  </si>
  <si>
    <t xml:space="preserve">Learned readiness model, AUC on held-out cars</t>
  </si>
  <si>
    <t xml:space="preserve">AUC</t>
  </si>
  <si>
    <t xml:space="preserve">analysis/readiness_model_report.md</t>
  </si>
  <si>
    <t xml:space="preserve">UK MOT panel: 759,541 cars tested March 2024, followed to July 2025, 8.67% never tested again. A quarter sample by a mixing hash of the vehicle id (sampling the raw id gives old, worn-out cars). 30% held out on a fixed seed. PREDICTS A CAR LEAVING THE FLEET, NOT A CUSTOMER REPLACING IT: the MOT register has no keeper, no contract and no price. Well calibrated: predicted and actual agree within 0.3 points across all ten risk deciles. Now includes a tier of prior-year test history (the public stand-in for a service record), which took it from 0.712 to 0.723.</t>
  </si>
  <si>
    <t xml:space="preserve">rd_model_lift10</t>
  </si>
  <si>
    <t xml:space="preserve">Learned model, leavers in the top tenth against average</t>
  </si>
  <si>
    <t xml:space="preserve">UK MOT panel: 759,541 cars tested March 2024, followed to July 2025, 8.67% never tested again. A quarter sample by a mixing hash of the vehicle id (sampling the raw id gives old, worn-out cars). 30% held out on a fixed seed. PREDICTS A CAR LEAVING THE FLEET, NOT A CUSTOMER REPLACING IT: the MOT register has no keeper, no contract and no price. Against 2.86x for the two-layer engine: about 12% more leavers for the same number of calls. Was 3.20x before the history tier.</t>
  </si>
  <si>
    <t xml:space="preserve">rd_engine_auc</t>
  </si>
  <si>
    <t xml:space="preserve">The two-layer engine's AUC on the same cars</t>
  </si>
  <si>
    <t xml:space="preserve">UK MOT panel: 759,541 cars tested March 2024, followed to July 2025, 8.67% never tested again. A quarter sample by a mixing hash of the vehicle id (sampling the raw id gives old, worn-out cars). 30% held out on a fixed seed. PREDICTS A CAR LEAVING THE FLEET, NOT A CUSTOMER REPLACING IT: the MOT register has no keeper, no contract and no price. Age alone gives 0.664. Most of the gain is age and mileage; every other public field is worth a further +0.018. Quote with rd_model_auc or it overstates what a modelling programme buys.</t>
  </si>
  <si>
    <t xml:space="preserve">rd_model_net_auc</t>
  </si>
  <si>
    <t xml:space="preserve">A neural network on the same fields</t>
  </si>
  <si>
    <t xml:space="preserve">UK MOT panel: 759,541 cars tested March 2024, followed to July 2025, 8.67% never tested again. A quarter sample by a mixing hash of the vehicle id (sampling the raw id gives old, worn-out cars). 30% held out on a fixed seed. PREDICTS A CAR LEAVING THE FLEET, NOT A CUSTOMER REPLACING IT: the MOT register has no keeper, no contract and no price. Boosted trees beat it (0.712). Included because it is the first thing anyone asks; on a table of ten columns trees are the right tool and this is the measurement.</t>
  </si>
  <si>
    <t xml:space="preserve">rd_model_auc_young</t>
  </si>
  <si>
    <t xml:space="preserve">Learned model on cars aged three to six</t>
  </si>
  <si>
    <t xml:space="preserve">UK MOT panel: 759,541 cars tested March 2024, followed to July 2025, 8.67% never tested again. A quarter sample by a mixing hash of the vehicle id (sampling the raw id gives old, worn-out cars). 30% held out on a fixed seed. PREDICTS A CAR LEAVING THE FLEET, NOT A CUSTOMER REPLACING IT: the MOT register has no keeper, no contract and no price. The weakest slice, and the one a lease book is made of. Public data can see why an old car dies; it cannot see why a young one changes hands, because that is a contract date and an equity position. The engine is weakest exactly where the group's own data would be strongest. Was 0.604 before the history tier.</t>
  </si>
  <si>
    <t xml:space="preserve">rd_advert_auc_age</t>
  </si>
  <si>
    <t xml:space="preserve">Telling an advert from a car on the road, age only</t>
  </si>
  <si>
    <t xml:space="preserve">analysis/readiness_advert_model_report.md</t>
  </si>
  <si>
    <t xml:space="preserve">A classifier trained to tell 354,112 UK adverts of October 2022 from 3,095,658 MOT tests of the September-November parc - the density-ratio estimator done with a model. Both sides rounded to the nearest thousand miles first, because 30.9% of advert mileages are exact multiples of a thousand against 0.11% of MOT readings and the model would otherwise identify the file from the digits. </t>
  </si>
  <si>
    <t xml:space="preserve">rd_advert_auc_mileage</t>
  </si>
  <si>
    <t xml:space="preserve">...adding the odometer</t>
  </si>
  <si>
    <t xml:space="preserve">A classifier trained to tell 354,112 UK adverts of October 2022 from 3,095,658 MOT tests of the September-November parc - the density-ratio estimator done with a model. Both sides rounded to the nearest thousand miles first, because 30.9% of advert mileages are exact multiples of a thousand against 0.11% of MOT readings and the model would otherwise identify the file from the digits. Mileage is worth +0.009 over age. Confirms the 0.041 elasticity in readiness_mileage_report.md by a second method free to find any shape: mileage does not predict coming to market.</t>
  </si>
  <si>
    <t xml:space="preserve">rd_advert_auc_all</t>
  </si>
  <si>
    <t xml:space="preserve">...adding make and fuel</t>
  </si>
  <si>
    <t xml:space="preserve">A classifier trained to tell 354,112 UK adverts of October 2022 from 3,095,658 MOT tests of the September-November parc - the density-ratio estimator done with a model. Both sides rounded to the nearest thousand miles first, because 30.9% of advert mileages are exact multiples of a thousand against 0.11% of MOT readings and the model would otherwise identify the file from the digits. DO NOT READ THE +0.051 AS A REPLACEMENT SIGNAL. A density ratio over makes is only that if the adverts fairly sample the cars coming to market; they are one site's stock and its brand mix is not the fleet's. Where the outcome IS observed per car (rd_model_auc) make is worth +0.002, against +0.082 here - the gap is about the files.</t>
  </si>
  <si>
    <t xml:space="preserve">up_gap_vs_response</t>
  </si>
  <si>
    <t xml:space="preserve">Best uplift model against the ordinary response model, top decile</t>
  </si>
  <si>
    <t xml:space="preserve">MineThatData / Hillstrom 2008 e-mail trial, 64,000 customers, randomised by the publisher, 32,103 held out, 400-draw bootstrap. The range contains zero: uplift modelling does not beat a plain response model here. A 2008 clothing retailer and a website visit, not cars and not a purchase - no coefficient transfers. Quoted in section 7.4 of the solution document as the reason to measure before assuming.</t>
  </si>
  <si>
    <t xml:space="preserve">up_refit_ct_mean</t>
  </si>
  <si>
    <t xml:space="preserve">Uplift in the top decile, class-transformation model, mean of ten refits</t>
  </si>
  <si>
    <t xml:space="preserve">MineThatData / Hillstrom 2008 e-mail trial, 64,000 customers, treatment randomised by the publisher, 32,103 held out. A 2008 CLOTHING RETAILER, not cars: no coefficient here transfers to an automotive book. Outcome is a website visit, not a purchase. Each model refitted on ten random 80% subsamples of the training half, scored on the same held-out half; the held-out bootstrap measures test noise only. Below a random tenth (up_random_top_decile): the uplift model depends on its training draw.</t>
  </si>
  <si>
    <t xml:space="preserve">up_refit_two_mean</t>
  </si>
  <si>
    <t xml:space="preserve">Uplift in the top decile, two-model (T-learner), mean of ten refits</t>
  </si>
  <si>
    <t xml:space="preserve">MineThatData / Hillstrom 2008 e-mail trial, 64,000 customers, treatment randomised by the publisher, 32,103 held out. A 2008 CLOTHING RETAILER, not cars: no coefficient here transfers to an automotive book. Outcome is a website visit, not a purchase. Each model refitted on ten random 80% subsamples of the training half, scored on the same held-out half; the held-out bootstrap measures test noise only. The best single-fit uplift model; over refits it falls below the response model.</t>
  </si>
  <si>
    <t xml:space="preserve">up_refit_resp_mean</t>
  </si>
  <si>
    <t xml:space="preserve">Uplift in the top decile, ordinary response model, mean of ten refits</t>
  </si>
  <si>
    <t xml:space="preserve">MineThatData / Hillstrom 2008 e-mail trial, 64,000 customers, treatment randomised by the publisher, 32,103 held out. A 2008 CLOTHING RETAILER, not cars: no coefficient here transfers to an automotive book. Outcome is a website visit, not a purchase. Each model refitted on ten random 80% subsamples of the training half, scored on the same held-out half; the held-out bootstrap measures test noise only. The steadiest of the three: close to its single fit (up_response_top_decile).</t>
  </si>
  <si>
    <t xml:space="preserve">rd_model_within_age_auc</t>
  </si>
  <si>
    <t xml:space="preserve">Learned model, ranking cars of the SAME age</t>
  </si>
  <si>
    <t xml:space="preserve">The measure that matters for a call list, which is built from cars of similar age. Age alone scores 0.500 here by construction; mileage takes it to 0.618, what the car is to 0.643, and a year of history to 0.667. Global AUC understates what the extra fields buy because age already separates most pairs.</t>
  </si>
  <si>
    <t xml:space="preserve">rd_model_within_age_engine</t>
  </si>
  <si>
    <t xml:space="preserve">The two-layer engine, ranking cars of the same age</t>
  </si>
  <si>
    <t xml:space="preserve">Quote with rd_model_within_age_auc: within an age band the learned model is worth +0.049 over the engine, against +0.029 on global AUC. The extra fields matter more than a headline AUC suggests.</t>
  </si>
  <si>
    <t xml:space="preserve">rd_nl_make_spread</t>
  </si>
  <si>
    <t xml:space="preserve">Spread in keeper-change rate across makes at the peak age</t>
  </si>
  <si>
    <t xml:space="preserve">RDW register, 12 months to Sept 2026, cars first registered in NL when new, makes with at least 3,000 cars of the 2021 registration year - so every car compared is exactly five years old. A keeper change is not a sale to a new customer. This is the answer to 'so only age matters': at one age the highest make's rate is this row's multiple of the lowest's. It is why the engine needs a layer beyond the age curve. Across all 24 makes with 3,000+ cars of that year; among the fifteen largest alone the spread is 1.60x (rd_nl_make15_spread).</t>
  </si>
  <si>
    <t xml:space="preserve">rd_nl_make_lo</t>
  </si>
  <si>
    <t xml:space="preserve">Lowest make at the peak age</t>
  </si>
  <si>
    <t xml:space="preserve">RDW register, 12 months to Sept 2026, cars first registered in NL when new, makes with at least 3,000 cars of the 2021 registration year - so every car compared is exactly five years old. A keeper change is not a sale to a new customer. </t>
  </si>
  <si>
    <t xml:space="preserve">rd_nl_make_hi</t>
  </si>
  <si>
    <t xml:space="preserve">Highest make at the peak age</t>
  </si>
  <si>
    <t xml:space="preserve">rd_nl_group_make_lo</t>
  </si>
  <si>
    <t xml:space="preserve">Group brands, lowest at the peak age</t>
  </si>
  <si>
    <t xml:space="preserve">RDW register, 12 months to Sept 2026, cars first registered in NL when new, makes with at least 3,000 cars of the 2021 registration year - so every car compared is exactly five years old. A keeper change is not a sale to a new customer. The group's own four brands differ from each other by 43% at one age.</t>
  </si>
  <si>
    <t xml:space="preserve">rd_nl_group_make_hi</t>
  </si>
  <si>
    <t xml:space="preserve">Group brands, highest at the peak age</t>
  </si>
  <si>
    <t xml:space="preserve">rd_nl_make15_spread</t>
  </si>
  <si>
    <t xml:space="preserve">Spread across the fifteen largest makes at the peak age</t>
  </si>
  <si>
    <t xml:space="preserve">The fifteen largest makes only, for a chart with room for fifteen rows. Across all 24 qualifying makes it is 1.75x (rd_nl_make_spread). Same register, same age, same twelve months.</t>
  </si>
  <si>
    <t xml:space="preserve">selfreg_group_base</t>
  </si>
  <si>
    <t xml:space="preserve">Group brands: share of new cars whose keeper changes within 30 days, ordinary days</t>
  </si>
  <si>
    <t xml:space="preserve">analysis/self_registration_report.md headline table</t>
  </si>
  <si>
    <t xml:space="preserve">Real RDW register: new Dutch passenger cars, 2022-25 pooled, group brands. A keeper change 1-30 days after first registration is a proxy for a dealer self-registration, not proof (lease transfers, corrections). Only the current keeper is visible, so this is a lower bound. Lift against ordinary days; 95% interval from a bootstrap over days. RDW data as of 25 Sept 2026; a re-run later shifts the figures as keeper histories grow. Robust to 7-day period ends and 90-day quick windows (see the sensitivity table).</t>
  </si>
  <si>
    <t xml:space="preserve">selfreg_group_qend_lift</t>
  </si>
  <si>
    <t xml:space="preserve">Group brands: extra quick keeper changes for cars first registered in a quarter's last 3 days</t>
  </si>
  <si>
    <t xml:space="preserve">selfreg_group_mend_lift</t>
  </si>
  <si>
    <t xml:space="preserve">Group brands: extra quick keeper changes for cars first registered in another month's last 3 days</t>
  </si>
  <si>
    <t xml:space="preserve">selfreg_group_monthend_share</t>
  </si>
  <si>
    <t xml:space="preserve">Group brands: share of new cars first registered in a month's last 3 days, before the agency model</t>
  </si>
  <si>
    <t xml:space="preserve">Real RDW register: new Dutch passenger cars registered January 2022 to 3 September 2023, before the group's Dutch agency model (started 4 September 2023). Last 3 calendar days of each month; about 10% would fall there if registrations were spread evenly. A month-end push can be dealer targets, importer batching or logistics; this measures the concentration, not its cause. An independent brand-level query gave every group brand at least twice the share of Renault, Volkswagen, Kia and Toyota. RDW data as of 25 Sept 2026.</t>
  </si>
  <si>
    <t xml:space="preserve">selfreg_other_monthend_share</t>
  </si>
  <si>
    <t xml:space="preserve">Other brands: share of new cars first registered in a month's last 3 days, same period</t>
  </si>
  <si>
    <t xml:space="preserve">x1_review_load_hard_rules</t>
  </si>
  <si>
    <t xml:space="preserve">X1, our world: review load after keys, matching and hard rules</t>
  </si>
  <si>
    <t xml:space="preserve">flagged claims per 1,000 claims</t>
  </si>
  <si>
    <t xml:space="preserve">SYNTHETIC</t>
  </si>
  <si>
    <t xml:space="preserve">leak1/x1_scorecard_report.md headline table</t>
  </si>
  <si>
    <t xml:space="preserve">Synthetic: the X1 test harness in a world we built, not the group. Precision is flattered, because our legitimate claims obey our own rulebook. Quote only as an engineering fact (skeptic A14), never as a detection rate.</t>
  </si>
  <si>
    <t xml:space="preserve">Context: leak 1 (X1 harness)</t>
  </si>
  <si>
    <t xml:space="preserve">x1_review_load_gaming_claims</t>
  </si>
  <si>
    <t xml:space="preserve">X1, our world: review load with the gaming rule, counting every held claim</t>
  </si>
  <si>
    <t xml:space="preserve">Synthetic: the X1 test harness in a world we built, not the group. The gaming rule holds every volume claim of a flagged dealer-quarter, so counting claims overstates the review work; x1_review_units_per_1000 counts each dealer-quarter once. Quote only as an engineering fact (skeptic A14), never as a detection rate.</t>
  </si>
  <si>
    <t xml:space="preserve">x1_review_units_per_1000</t>
  </si>
  <si>
    <t xml:space="preserve">X1, our world: review load with the gaming rule, each held dealer-quarter once</t>
  </si>
  <si>
    <t xml:space="preserve">review units per 1,000 claims</t>
  </si>
  <si>
    <t xml:space="preserve">leak1/x1_scorecard_report.md review-unit table</t>
  </si>
  <si>
    <t xml:space="preserve">Synthetic: the X1 test harness in a world we built, not the group. A review unit is a claim flagged before the gaming rule, or a dealer-quarter the gaming rule holds. It is why the unit of review should be the dealer-quarter. Quote only as an engineering fact (skeptic A14), never as a detection rate.</t>
  </si>
  <si>
    <t xml:space="preserve">x1_gaming_dq_held</t>
  </si>
  <si>
    <t xml:space="preserve">X1, our world: dealer-quarters the pre-registered gaming rule holds</t>
  </si>
  <si>
    <t xml:space="preserve">dealer-quarters</t>
  </si>
  <si>
    <t xml:space="preserve">Synthetic: the X1 test harness in a world we built, not the group. Over two years of synthetic claims, systems A and B together. Quote only as a failure (skeptic A14), never as a detection rate.</t>
  </si>
  <si>
    <t xml:space="preserve">x1_gaming_dq_with_leak</t>
  </si>
  <si>
    <t xml:space="preserve">X1, our world: held dealer-quarters that contain a leak claim</t>
  </si>
  <si>
    <t xml:space="preserve">Synthetic: the X1 test harness in a world we built, not the group. Most dealer-quarters the gaming rule holds contain no leak: registration timing alone does not reveal quarter-end gaming. Quote only as a failure (skeptic A14), never as a detection rate.</t>
  </si>
  <si>
    <t xml:space="preserve">x1_noise1_splink_right_car</t>
  </si>
  <si>
    <t xml:space="preserve">X1 stress test, noise level 1: band claims Splink links to their right car</t>
  </si>
  <si>
    <t xml:space="preserve">claims</t>
  </si>
  <si>
    <t xml:space="preserve">leak1/x1_scorecard_report.md matching-under-noise table</t>
  </si>
  <si>
    <t xml:space="preserve">Synthetic: the X1 test harness in a world we built, not the group. The band is the claims exact keys could not link. Quote only as a ranking (skeptic A14): the ranking held at both noise levels; the levels come from the noise rates, which are ASSUMPTION settings in leak1/spec.py.</t>
  </si>
  <si>
    <t xml:space="preserve">x1_noise1_rule_right_car</t>
  </si>
  <si>
    <t xml:space="preserve">X1 stress test, noise level 1: band claims the plain rule links to their right car</t>
  </si>
  <si>
    <t xml:space="preserve">Synthetic: the X1 test harness in a world we built, not the group. The plain rule: same dealer, key within two edits. Quote only as a ranking (skeptic A14): the ranking held at both noise levels; the levels come from the noise rates, which are ASSUMPTION settings in leak1/spec.py.</t>
  </si>
  <si>
    <t xml:space="preserve">x1_noise1_splink_wrong_dealer_unlinked</t>
  </si>
  <si>
    <t xml:space="preserve">X1 stress test, noise level 1: real band claims with a wrong dealer code that Splink leaves without a car</t>
  </si>
  <si>
    <t xml:space="preserve">leak1/x1_scorecard_report.md where-each-method-fails table</t>
  </si>
  <si>
    <t xml:space="preserve">Synthetic: the X1 test harness in a world we built, not the group. Quote only as a ranking (skeptic A14): the ranking held at both noise levels; the levels come from the noise rates, which are ASSUMPTION settings in leak1/spec.py.</t>
  </si>
  <si>
    <t xml:space="preserve">x1_noise1_rule_wrong_dealer_unlinked</t>
  </si>
  <si>
    <t xml:space="preserve">X1 stress test, noise level 1: real band claims with a wrong dealer code that the plain rule leaves without a car</t>
  </si>
  <si>
    <t xml:space="preserve">Synthetic: the X1 test harness in a world we built, not the group. The plain rule requires the same dealer, so it cannot survive a wrong dealer code. Quote only as a ranking (skeptic A14): the ranking held at both noise levels; the levels come from the noise rates, which are ASSUMPTION settings in leak1/spec.py.</t>
  </si>
  <si>
    <t xml:space="preserve">x1_rt2_blind_fleet_upcode</t>
  </si>
  <si>
    <t xml:space="preserve">X1 blind red team, round 2: fleet-upcoding claims the frozen pipeline flagged</t>
  </si>
  <si>
    <t xml:space="preserve">leak1/x1_scorecard_report.md leaks-by-type table</t>
  </si>
  <si>
    <t xml:space="preserve">Synthetic: the X1 test harness in a world we built, not the group. Built by an independent agent that never saw our detector code. Fleet status is reported only by the dealer, so no rule can check it without the fleet or lease contract. An adversarial lower bound. Quote only as a failure (skeptic A14), never as a detection rate.</t>
  </si>
  <si>
    <t xml:space="preserve">x1_rt2_blind_order_forward_date</t>
  </si>
  <si>
    <t xml:space="preserve">X1 blind red team, round 2: claims with order dates pushed into a programme year that the frozen pipeline flagged</t>
  </si>
  <si>
    <t xml:space="preserve">Synthetic: the X1 test harness in a world we built, not the group. Built by an independent agent that never saw our detector code. The order date is keyed by the dealer, so no rule can check it without the OEM order-system timestamp. An adversarial lower bound. Quote only as a failure (skeptic A14), never as a detection rate.</t>
  </si>
  <si>
    <t xml:space="preserve">x1_runtime_layer2_seconds</t>
  </si>
  <si>
    <t xml:space="preserve">X1, our world: layer 2 (Splink) runtime, median of three runs</t>
  </si>
  <si>
    <t xml:space="preserve">seconds</t>
  </si>
  <si>
    <t xml:space="preserve">leak1/x1_runtime_report.md runtime table</t>
  </si>
  <si>
    <t xml:space="preserve">Synthetic: the X1 test harness in a world we built, not the group. Measured on an Apple M1 laptop (8 cores, 8 GB); re-running leak1/runtime.py on another machine changes it. Layer 2 takes almost all the pipeline's time. Quote only as an engineering fact (skeptic A14), never as a detection rate.</t>
  </si>
  <si>
    <t xml:space="preserve">x2_nl_monthend_psa</t>
  </si>
  <si>
    <t xml:space="preserve">PSA brands (Peugeot, Citroen, DS): share of new Dutch cars first registered in a month's last 3 days, 2014-2025</t>
  </si>
  <si>
    <t xml:space="preserve">analysis/merger_composition_report.md pooled table</t>
  </si>
  <si>
    <t xml:space="preserve">Real RDW register (public domain): new Dutch passenger cars 2014-2025, share first registered in the last 3 calendar days of a month; about 10% would fall there if evenly spread. A proxy for tactical registrations at target deadlines, not proof of them; older cohorts are survivors. The level predates the 2021 merger.</t>
  </si>
  <si>
    <t xml:space="preserve">Context: leak 1 (X2, the merger's fingerprint)</t>
  </si>
  <si>
    <t xml:space="preserve">x2_nl_monthend_opel</t>
  </si>
  <si>
    <t xml:space="preserve">Opel: share of new Dutch cars first registered in a month's last 3 days, 2014-2025</t>
  </si>
  <si>
    <t xml:space="preserve">Real RDW register (public domain): new Dutch passenger cars 2014-2025, share first registered in the last 3 calendar days of a month; about 10% would fall there if evenly spread. A proxy for tactical registrations at target deadlines, not proof of them; older cohorts are survivors. The level predates the 2021 merger. Opel was GM until August 2017.</t>
  </si>
  <si>
    <t xml:space="preserve">x2_nl_monthend_fca</t>
  </si>
  <si>
    <t xml:space="preserve">FCA brands (Fiat, Abarth, Alfa Romeo, Jeep, Lancia): share of new Dutch cars first registered in a month's last 3 days, 2014-2025</t>
  </si>
  <si>
    <t xml:space="preserve">x2_nl_monthend_other</t>
  </si>
  <si>
    <t xml:space="preserve">Other brands: share of new Dutch cars first registered in a month's last 3 days, 2014-2025</t>
  </si>
  <si>
    <t xml:space="preserve">x2_nl_bodymix_psa</t>
  </si>
  <si>
    <t xml:space="preserve">PSA brands: points of their month-end gap to other brands explained by body-type mix</t>
  </si>
  <si>
    <t xml:space="preserve">Kitagawa split with other brands' month-end rate per RDW body type as the reference; the rest of the gap is within the same body type. Fuel type, buyer type and price are not in the data and could still be mixes. Real RDW register (public domain): new Dutch passenger cars 2014-2025, share first registered in the last 3 calendar days of a month; about 10% would fall there if evenly spread. A proxy for tactical registrations at target deadlines, not proof of them; older cohorts are survivors. The level predates the 2021 merger.</t>
  </si>
  <si>
    <t xml:space="preserve">x2_nl_merger_fca_vs_psa_24m</t>
  </si>
  <si>
    <t xml:space="preserve">Change in FCA's month-end share minus PSA's, 24 months either side of the merger (January 2021)</t>
  </si>
  <si>
    <t xml:space="preserve">analysis/merger_events_report.md main estimates</t>
  </si>
  <si>
    <t xml:space="preserve">Difference-in-differences on the RDW month-end share (Netherlands). Not a causal estimate: a product or distribution change at the same time would look the same. Read with x2_nl_merger_fca_vs_psa_p: the move is no larger than the gap's usual drift, so the merger left no detectable fingerprint.</t>
  </si>
  <si>
    <t xml:space="preserve">x2_nl_merger_fca_vs_psa_p</t>
  </si>
  <si>
    <t xml:space="preserve">Placebo p for the FCA-vs-PSA merger estimate (share of other break months with an estimate at least as large)</t>
  </si>
  <si>
    <t xml:space="preserve">Placebo-in-time test: the same 24-month difference-in-differences at every other month. A high value means the event moved the gap no more than the gap moves anyway. Replaces a month bootstrap whose placebos failed.</t>
  </si>
  <si>
    <t xml:space="preserve">x2_de_short_fca_2007_2020</t>
  </si>
  <si>
    <t xml:space="preserve">FCA brands in Germany: short-term registrations as a share of new cars, 2007-2020 pooled</t>
  </si>
  <si>
    <t xml:space="preserve">analysis/merger_kba_report.md pooled by era</t>
  </si>
  <si>
    <t xml:space="preserve">https://www.kba.de/DE/Statistik/Fahrzeuge/Neuzulassungen/Kurzzulassungen/kurzzulassungen_node.html</t>
  </si>
  <si>
    <t xml:space="preserve">KBA Kurzzulassungen (Germany, dl-de/by-2-0): new passenger cars deregistered within 30 days of first registration, as a share of new cars; a different measure from the Dutch month-end share. Abarth sits in KBA's other line; 'other' is KBA's total minus every group brand.</t>
  </si>
  <si>
    <t xml:space="preserve">x2_de_short_other_2007_2020</t>
  </si>
  <si>
    <t xml:space="preserve">Rest of the German market: short-term registrations as a share of new cars, 2007-2020 pooled</t>
  </si>
  <si>
    <t xml:space="preserve">x2_de_short_psa_2021_2022</t>
  </si>
  <si>
    <t xml:space="preserve">PSA brands in Germany: short-term registrations as a share of new cars, 2021-2022</t>
  </si>
  <si>
    <t xml:space="preserve">x2_de_short_psa_2023</t>
  </si>
  <si>
    <t xml:space="preserve">PSA brands in Germany: short-term registrations as a share of new cars, 2023</t>
  </si>
  <si>
    <t xml:space="preserve">KBA Kurzzulassungen (Germany, dl-de/by-2-0): new passenger cars deregistered within 30 days of first registration, as a share of new cars; a different measure from the Dutch month-end share. Abarth sits in KBA's other line; 'other' is KBA's total minus every group brand. Stellantis's European dealer contracts ended in June 2023. One year: consistent with an end-of-contract push, not proof of one.</t>
  </si>
  <si>
    <t xml:space="preserve">x3_nl_lease_spike_60m</t>
  </si>
  <si>
    <t xml:space="preserve">Dutch register: excess keeper changes at 60-62 months old against the local age trend</t>
  </si>
  <si>
    <t xml:space="preserve">analysis/lease_end_report.md spike test</t>
  </si>
  <si>
    <t xml:space="preserve">Real RDW register (public domain): passenger cars first put on Dutch plates when new, still on the road. Monthly keeper-change hazard by age in months, pooled over 12 calendar months; the excess compares ages k to k+2 with the local trend (k-6 to k-3, k+4 to k+7); the placebo p ranks it against every other age from 12 to 108 months. RDW shows only the current keeper, so older windows are censored. A keeper change is a car coming to market, not a customer's decision. The 60-month wave may be partly the end of the 60-month lock on Dutch company-car tax.</t>
  </si>
  <si>
    <t xml:space="preserve">Context: leak 2 (X3, lease-end timing)</t>
  </si>
  <si>
    <t xml:space="preserve">x3_nl_lease_spike_60m_p</t>
  </si>
  <si>
    <t xml:space="preserve">Placebo p for the 60-month excess (share of other ages with an excess at least as large)</t>
  </si>
  <si>
    <t xml:space="preserve">x3_nl_lease_spike_48m</t>
  </si>
  <si>
    <t xml:space="preserve">Dutch register: excess keeper changes at 48-50 months old against the local age trend</t>
  </si>
  <si>
    <t xml:space="preserve">x3_nl_lease_spike_48m_p</t>
  </si>
  <si>
    <t xml:space="preserve">Placebo p for the 48-month excess</t>
  </si>
  <si>
    <t xml:space="preserve">x3_nl_lease_spike_36m</t>
  </si>
  <si>
    <t xml:space="preserve">Dutch register: excess keeper changes at 36-38 months old against the local age trend (no spike)</t>
  </si>
  <si>
    <t xml:space="preserve">Real RDW register (public domain): passenger cars first put on Dutch plates when new, still on the road. Monthly keeper-change hazard by age in months, pooled over 12 calendar months; the excess compares ages k to k+2 with the local trend (k-6 to k-3, k+4 to k+7); the placebo p ranks it against every other age from 12 to 108 months. RDW shows only the current keeper, so older windows are censored. A keeper change is a car coming to market, not a customer's decision. The 60-month wave may be partly the end of the 60-month lock on Dutch company-car tax. At 36 months the register agrees with the adverts: no wave.</t>
  </si>
  <si>
    <t xml:space="preserve">x3_nl_lease_spike_60m_2023_24</t>
  </si>
  <si>
    <t xml:space="preserve">Dutch register: the 60-month excess in keeper changes of September 2023 to August 2024 (older cohorts)</t>
  </si>
  <si>
    <t xml:space="preserve">Real RDW register (public domain): passenger cars first put on Dutch plates when new, still on the road. Monthly keeper-change hazard by age in months, pooled over 12 calendar months; the excess compares ages k to k+2 with the local trend (k-6 to k-3, k+4 to k+7); the placebo p ranks it against every other age from 12 to 108 months. RDW shows only the current keeper, so older windows are censored. A keeper change is a car coming to market, not a customer's decision. The 60-month wave may be partly the end of the 60-month lock on Dutch company-car tax. These cars were registered in 2018-19, so the wave follows age, not one cohort.</t>
  </si>
  <si>
    <t xml:space="preserve">x3_nl_group_spike_48m</t>
  </si>
  <si>
    <t xml:space="preserve">Dutch register, the group's brands: excess keeper changes at 48-50 months old against the local age trend</t>
  </si>
  <si>
    <t xml:space="preserve">Real RDW register (public domain): passenger cars first put on Dutch plates when new, still on the road. Monthly keeper-change hazard by age in months, pooled over 12 calendar months; the excess compares ages k to k+2 with the local trend (k-6 to k-3, k+4 to k+7); the placebo p ranks it against every other age from 12 to 108 months. RDW shows only the current keeper, so older windows are censored. A keeper change is a car coming to market, not a customer's decision. The 60-month wave may be partly the end of the 60-month lock on Dutch company-car tax. Group brands only, as the project's brand list defines them. The X4 ledger's real returns for the group's 2021-22 Dutch cars (latest keeper change by age, ledger/x4_returns_report.md) show the same two waves: a consistency check on one cohort, not a second measurement.</t>
  </si>
  <si>
    <t xml:space="preserve">Context: leak 2 (X3 lease-end timing; X4 readiness queue)</t>
  </si>
  <si>
    <t xml:space="preserve">x3_nl_group_spike_48m_p</t>
  </si>
  <si>
    <t xml:space="preserve">Placebo p for the group's 48-month excess</t>
  </si>
  <si>
    <t xml:space="preserve">x3_nl_group_spike_60m</t>
  </si>
  <si>
    <t xml:space="preserve">Dutch register, the group's brands: excess keeper changes at 60-62 months old against the local age trend</t>
  </si>
  <si>
    <t xml:space="preserve">x3_nl_group_spike_60m_p</t>
  </si>
  <si>
    <t xml:space="preserve">Placebo p for the group's 60-month excess</t>
  </si>
  <si>
    <t xml:space="preserve">keeper_hidden_2021_group</t>
  </si>
  <si>
    <t xml:space="preserve">Group brands' new Dutch cars of 2021 whose current keeper arrived more than 30 days after registration (early history hidden)</t>
  </si>
  <si>
    <t xml:space="preserve">analysis/keeper_history_report.md late-read table</t>
  </si>
  <si>
    <t xml:space="preserve">Real RDW register (public domain). RDW keeps only the current keeper, so a quick keeper change after registration is hidden once the car changes keeper again. Read years later, a self-registration check misses these cars.</t>
  </si>
  <si>
    <t xml:space="preserve">Context: leak 1 (X1 part 7b, self-registration check)</t>
  </si>
  <si>
    <t xml:space="preserve">keeper_hidden_2022_group</t>
  </si>
  <si>
    <t xml:space="preserve">Group brands' new Dutch cars of 2022 whose current keeper arrived more than 30 days after registration (early history hidden)</t>
  </si>
  <si>
    <t xml:space="preserve">keeper_early_change_3m_group</t>
  </si>
  <si>
    <t xml:space="preserve">Group brands: chance of a keeper change in a car's first 3 months of age</t>
  </si>
  <si>
    <t xml:space="preserve">analysis/keeper_history_report.md prompt-read table</t>
  </si>
  <si>
    <t xml:space="preserve">Real RDW register (public domain). RDW keeps only the current keeper, so a quick keeper change after registration is hidden once the car changes keeper again. An upper bound on what a register read within a quarter loses; it includes the quick changes themselves. From lease_end.py's monthly hazard, latest 12 months.</t>
  </si>
  <si>
    <t xml:space="preserve">x1_7b_holdout_timing_flagged</t>
  </si>
  <si>
    <t xml:space="preserve">X1 part 7b holdout: dealer-quarters the timing rule flags</t>
  </si>
  <si>
    <t xml:space="preserve">leak1/x1_selfreg_report.md comparison table</t>
  </si>
  <si>
    <t xml:space="preserve">Synthetic: the X1 test harness in a world we built, not the group. A dealer-quarter check designed on our world and run once on a fresh-seed holdout world. The register keeper source is anchored on real RDW rates but follows the gaming mechanism we injected, so the levels partly hold by construction, and a dealer who registers a car straight into the buyer's name leaves no trace. Quote only as a ranking against the timing rule (skeptic A14).</t>
  </si>
  <si>
    <t xml:space="preserve">x1_7b_holdout_timing_gamed</t>
  </si>
  <si>
    <t xml:space="preserve">X1 part 7b holdout: gamed dealer-quarters the timing rule catches</t>
  </si>
  <si>
    <t xml:space="preserve">x1_7b_holdout_keeper_flagged</t>
  </si>
  <si>
    <t xml:space="preserve">X1 part 7b holdout: dealer-quarters the keeper check flags (register read promptly)</t>
  </si>
  <si>
    <t xml:space="preserve">x1_7b_holdout_keeper_gamed</t>
  </si>
  <si>
    <t xml:space="preserve">X1 part 7b holdout: gamed dealer-quarters the keeper check catches (register read promptly)</t>
  </si>
  <si>
    <t xml:space="preserve">x1_7b_holdout_keeper_late_gamed</t>
  </si>
  <si>
    <t xml:space="preserve">X1 part 7b holdout: gamed dealer-quarters the keeper check catches when the register is read years later</t>
  </si>
  <si>
    <t xml:space="preserve">x1_7b_holdout_gamed_total</t>
  </si>
  <si>
    <t xml:space="preserve">X1 part 7b holdout: gamed dealer-quarters in the world</t>
  </si>
  <si>
    <t xml:space="preserve">x1_p9_recall_keyed_hash</t>
  </si>
  <si>
    <t xml:space="preserve">X1 part 9: share of JV contracts linked to the right car by a keyed hash of the VIN (private, exact)</t>
  </si>
  <si>
    <t xml:space="preserve">leak1/x1_linkage_report.md linkage accuracy</t>
  </si>
  <si>
    <t xml:space="preserve">Synthetic: the X1 test harness in a world we built, not the group. The JV's VIN typo rate and contract dates are ASSUMPTION settings, and every fleet sale is assumed to go through the captive JV. Bloom-filter encodings resist casual reading but not a determined frequency attack; the key must sit with a trusted third party. Quote only as a ranking or an engineering fact (skeptic A14).</t>
  </si>
  <si>
    <t xml:space="preserve">x1_p9_recall_bloom</t>
  </si>
  <si>
    <t xml:space="preserve">X1 part 9: share of JV contracts linked to the right car by keyed Bloom-filter encodings (private, typo-tolerant)</t>
  </si>
  <si>
    <t xml:space="preserve">x1_p9_recall_clear_dice</t>
  </si>
  <si>
    <t xml:space="preserve">X1 part 9: share of JV contracts linked to the right car by clear bigram similarity (not private; the ceiling)</t>
  </si>
  <si>
    <t xml:space="preserve">x1_p9_wrong_bloom</t>
  </si>
  <si>
    <t xml:space="preserve">X1 part 9: JV contracts the Bloom-filter linkage links to the wrong car</t>
  </si>
  <si>
    <t xml:space="preserve">x1_p9_rt2_fleet_contradicted</t>
  </si>
  <si>
    <t xml:space="preserve">X1 part 9, round 2 world post hoc: leak fleet claims contradicted by a linked private finance contract</t>
  </si>
  <si>
    <t xml:space="preserve">leak1/x1_linkage_report.md fleet check</t>
  </si>
  <si>
    <t xml:space="preserve">x1_p9_rt2_fleet_unverified</t>
  </si>
  <si>
    <t xml:space="preserve">X1 part 9, round 2 world post hoc: leak fleet claims with no linked fleet lease</t>
  </si>
  <si>
    <t xml:space="preserve">x1_p9_ours_fleet_unverified_legit</t>
  </si>
  <si>
    <t xml:space="preserve">X1 part 9, our world: legitimate fleet claims left unverified (their contract did not link)</t>
  </si>
  <si>
    <t xml:space="preserve">x3_nl_spike60_tesla</t>
  </si>
  <si>
    <t xml:space="preserve">Dutch register: excess keeper changes at 60-62 months, Tesla (all-electric)</t>
  </si>
  <si>
    <t xml:space="preserve">analysis/lease_mechanism_report.md brand table</t>
  </si>
  <si>
    <t xml:space="preserve">Real RDW register (public domain): the lease_end.py spike test (ages 60-62 against the local age trend, latest 12 calendar months) for one brand's cars first put on Dutch plates when new. Brand is a proxy for fuel and buyer type; small brands are noisy. A wave in every brand points to contract ends (business and private lease), with the company-car tax lock adding to it for electric cars.</t>
  </si>
  <si>
    <t xml:space="preserve">x3_nl_spike60_dacia</t>
  </si>
  <si>
    <t xml:space="preserve">Dutch register: excess keeper changes at 60-62 months, Dacia</t>
  </si>
  <si>
    <t xml:space="preserve">x3_nl_spike60_suzuki</t>
  </si>
  <si>
    <t xml:space="preserve">Dutch register: excess keeper changes at 60-62 months, Suzuki</t>
  </si>
  <si>
    <t xml:space="preserve">x1_rt3_blind_euro_recall</t>
  </si>
  <si>
    <t xml:space="preserve">X1 blind red team, round 3: share of leak euros the frozen pipeline caught</t>
  </si>
  <si>
    <t xml:space="preserve">Synthetic: the X1 test harness in a world a blind red team built, not the group. An independent agent saw only the rulebook, the clean world and a paragraph describing our checks, and built six leaks to evade them; the detector code was frozen and hashed first. An adversarial lower bound, not a typical rate. Quote only as a failure (skeptic A14): an attacker who knows the rules beats checks built on incomplete sources.</t>
  </si>
  <si>
    <t xml:space="preserve">x1_rt3_blind_hard_flagged</t>
  </si>
  <si>
    <t xml:space="preserve">X1 blind red team, round 3: claims the hard rules flagged</t>
  </si>
  <si>
    <t xml:space="preserve">x1_rt4_blind_euro_recall</t>
  </si>
  <si>
    <t xml:space="preserve">X1 blind red team, round 4: share of leak euros the frozen pipeline caught</t>
  </si>
  <si>
    <t xml:space="preserve">Synthetic: the X1 test harness in a world a blind red team built, not the group. An independent agent saw only the rulebook, the clean world, every independent source and a paragraph describing our checks, and built five leaks to evade them; the detector code was frozen and hashed first. An adversarial lower bound, not a typical rate. Quote only as a failure (skeptic A14): with every source we had added, a knowing attacker moved to facts no source holds.</t>
  </si>
  <si>
    <t xml:space="preserve">x1_rt4_blind_hard_flagged</t>
  </si>
  <si>
    <t xml:space="preserve">X1 blind red team, round 4: claims the hard rules flagged</t>
  </si>
  <si>
    <t xml:space="preserve">x1_rt4_leak_eur_k</t>
  </si>
  <si>
    <t xml:space="preserve">X1 blind red team, round 4: leak euros in its world</t>
  </si>
  <si>
    <t xml:space="preserve">EUR thousand</t>
  </si>
  <si>
    <t xml:space="preserve">leak1/x1_scorecard_report.md runs table</t>
  </si>
  <si>
    <t xml:space="preserve">x1_rt4_blind_false_alarms</t>
  </si>
  <si>
    <t xml:space="preserve">X1 blind red team, round 4: false alarms, full pipeline</t>
  </si>
  <si>
    <t xml:space="preserve">per 1,000 legitimate claims</t>
  </si>
  <si>
    <t xml:space="preserve">Synthetic: the X1 test harness, not the group. The review rules' background false alarms on legitimate claims, about the same in every world; a property of the rules on this synthetic world, not a real-world rate.</t>
  </si>
  <si>
    <t xml:space="preserve">x1_ours_false_alarms_full</t>
  </si>
  <si>
    <t xml:space="preserve">X1, our world: false alarms, full pipeline</t>
  </si>
  <si>
    <t xml:space="preserve">x2_nl_fuelmix_psa</t>
  </si>
  <si>
    <t xml:space="preserve">PSA brands: points of the month-end gap to other brands explained by fuel mix, 2014-2025</t>
  </si>
  <si>
    <t xml:space="preserve">analysis/merger_fuel_report.md pooled table</t>
  </si>
  <si>
    <t xml:space="preserve">Real RDW register (public domain): new Dutch passenger cars 2014-2025 (part 1's population), each joined by plate to RDW's fuel table (petrol and other, diesel, hybrid, plug-in hybrid, electric). Kitagawa split of the family's month-end gap to other brands, other brands' rates as the reference; the mix part is what the family's fuel mix alone explains. Buyer type (lease, fleet) and price are not in the data and can still hide in the within part. A proxy for tactical registrations, not proof.</t>
  </si>
  <si>
    <t xml:space="preserve">x2_nl_fuelmix_opel</t>
  </si>
  <si>
    <t xml:space="preserve">Opel: points of the month-end gap to other brands explained by fuel mix, 2014-2025</t>
  </si>
  <si>
    <t xml:space="preserve">x2_nl_fuelmix_fca</t>
  </si>
  <si>
    <t xml:space="preserve">FCA brands: points of the month-end gap to other brands explained by fuel mix, 2014-2025</t>
  </si>
  <si>
    <t xml:space="preserve">x2_it_group_l3_share</t>
  </si>
  <si>
    <t xml:space="preserve">Italy, group brands: share of the month's new cars registered in its last 3 working days (Aug-Sep 2021)</t>
  </si>
  <si>
    <t xml:space="preserve">analysis/merger_italy_report.md pooled table</t>
  </si>
  <si>
    <t xml:space="preserve">Dataforce Italia's press-release tables (its processing of Ministry of Transport registrations), August and September 2021, transcribed by hand and checked by every row and column sum. Passenger cars; the last 3 working days (the Dutch x2 rows use calendar days: compare the direction, not the level). Both months follow the merger's close, so this is a level, not a merger effect. Self-registered means Dataforce's dealer-and-maker channel, which also holds demonstrators.</t>
  </si>
  <si>
    <t xml:space="preserve">x2_it_other_l3_share</t>
  </si>
  <si>
    <t xml:space="preserve">Italy, other named brands: share of the month's new cars registered in its last 3 working days (Aug-Sep 2021)</t>
  </si>
  <si>
    <t xml:space="preserve">x2_it_group_selfreg_share</t>
  </si>
  <si>
    <t xml:space="preserve">Italy, group brands: share of the month's new cars registered by dealers or makers (Aug-Sep 2021)</t>
  </si>
  <si>
    <t xml:space="preserve">x2_it_other_selfreg_share</t>
  </si>
  <si>
    <t xml:space="preserve">Italy, other named brands: share of the month's new cars registered by dealers or makers (Aug-Sep 2021)</t>
  </si>
  <si>
    <t xml:space="preserve">x2_it_group_l3_no_selfreg</t>
  </si>
  <si>
    <t xml:space="preserve">Italy, group brands: last-3-day share with self-registrations left out (Aug-Sep 2021)</t>
  </si>
  <si>
    <t xml:space="preserve">x2_it_other_l3_no_selfreg</t>
  </si>
  <si>
    <t xml:space="preserve">Italy, other named brands: last-3-day share with self-registrations left out (Aug-Sep 2021)</t>
  </si>
  <si>
    <t xml:space="preserve">x1_p8_ceiling</t>
  </si>
  <si>
    <t xml:space="preserve">X1 part 8: middle-band genuine claims whose true car is among Splink's five candidates (level 1)</t>
  </si>
  <si>
    <t xml:space="preserve">leak1/x1_llm_report.md decisions table</t>
  </si>
  <si>
    <t xml:space="preserve">Synthetic: the X1 harness in a world we built, under part 6b's level-1 noise (ASSUMPTION rates); the middle band is the broken-key claims Splink leaves unlinked with at least one candidate. The LLM was Claude Sonnet run as blind agents, each reading one batch file; only level 1 was completed (the usage limit stopped level 2 and the consistency repeat). Quote only as a ranking or a failure (skeptic A14): the LLM links genuine claims the plain rule cannot, but also links phantom orders to real cars, which pays claims that are not owed.</t>
  </si>
  <si>
    <t xml:space="preserve">x1_p8_llm_right_car</t>
  </si>
  <si>
    <t xml:space="preserve">X1 part 8: middle-band genuine claims the LLM links to their right car (level 1)</t>
  </si>
  <si>
    <t xml:space="preserve">x1_p8_rule_right_car</t>
  </si>
  <si>
    <t xml:space="preserve">X1 part 8: middle-band genuine claims the plain rule links to their right car (level 1)</t>
  </si>
  <si>
    <t xml:space="preserve">x1_p8_band_phantoms</t>
  </si>
  <si>
    <t xml:space="preserve">X1 part 8: phantom orders in the middle band (level 1)</t>
  </si>
  <si>
    <t xml:space="preserve">x1_p8_llm_phantoms_linked</t>
  </si>
  <si>
    <t xml:space="preserve">X1 part 8: phantom orders the LLM links to a real car (level 1): claims paid that are not owed</t>
  </si>
  <si>
    <t xml:space="preserve">x1_p8_llm_high_phantoms_linked</t>
  </si>
  <si>
    <t xml:space="preserve">X1 part 8: phantom orders the LLM links to a real car with high confidence (level 1)</t>
  </si>
  <si>
    <t xml:space="preserve">x1_p8_llm_wrong_car</t>
  </si>
  <si>
    <t xml:space="preserve">X1 part 8: middle-band genuine claims the LLM links to the wrong car (level 1)</t>
  </si>
  <si>
    <t xml:space="preserve">x1_full_review_units_per_1000</t>
  </si>
  <si>
    <t xml:space="preserve">X1: review units per 1,000 claims, full pipeline, our world</t>
  </si>
  <si>
    <t xml:space="preserve">per 1,000 claims</t>
  </si>
  <si>
    <t xml:space="preserve">leak1/x1_scorecard_report.md full-pipeline review table</t>
  </si>
  <si>
    <t xml:space="preserve">Synthetic: the X1 harness in our own world (ASSUMPTION rates). The full pipeline is layers 1-3 with every review rule; a dealer-quarter any dealer-quarter rule holds counts once, every other flag once per claim. Quote only as an engineering fact (skeptic A14).</t>
  </si>
  <si>
    <t xml:space="preserve">x1_contract_claims_ours</t>
  </si>
  <si>
    <t xml:space="preserve">X1: claims the fleet check holds for review in our world (contradicted or unverified)</t>
  </si>
  <si>
    <t xml:space="preserve">Synthetic: the X1 harness in our own world (ASSUMPTION rates). The full pipeline is layers 1-3 with every review rule; a dealer-quarter any dealer-quarter rule holds counts once, every other flag once per claim. Quote only as an engineering fact (skeptic A14). Every fleet sale is assumed to go through the captive JV, so real unverified queues would be larger.</t>
  </si>
  <si>
    <t xml:space="preserve">x3_engine_err_3m_without</t>
  </si>
  <si>
    <t xml:space="preserve">Readiness engine without layer 3: mean abs error of the 3-month forward chance on the holdout year</t>
  </si>
  <si>
    <t xml:space="preserve">analysis/lease_timing_report.md engine back-test</t>
  </si>
  <si>
    <t xml:space="preserve">Real RDW register (public domain): domestic passenger cars on the road. Each engine version is built from the training year (September 2024 to August 2025) only and scored against the holdout year's forward chance of a keeper change at each age from 13 to 96 months, weighted by the holdout's cars at that age. A keeper change is a car coming to market, not a customer's decision. The whole curve's level moved between the two years, which dominates the average error.</t>
  </si>
  <si>
    <t xml:space="preserve">x3_engine_err_3m_with</t>
  </si>
  <si>
    <t xml:space="preserve">Readiness engine with layer 3: mean abs error of the 3-month forward chance on the holdout year</t>
  </si>
  <si>
    <t xml:space="preserve">x3_engine_err_12m_without</t>
  </si>
  <si>
    <t xml:space="preserve">Readiness engine without layer 3: mean abs error of the 12-month forward chance on the holdout year</t>
  </si>
  <si>
    <t xml:space="preserve">x3_engine_err_12m_with</t>
  </si>
  <si>
    <t xml:space="preserve">Readiness engine with layer 3: mean abs error of the 12-month forward chance on the holdout year</t>
  </si>
  <si>
    <t xml:space="preserve">x4_upgrade_flagged_all</t>
  </si>
  <si>
    <t xml:space="preserve">X4 prototype, the age-only queue (from age one): returning retail customers flagged in the 3 months before they came back</t>
  </si>
  <si>
    <t xml:space="preserve">ledger/x4_pnl_report.md upgrade table</t>
  </si>
  <si>
    <t xml:space="preserve">Synthetic: the X4 ledger prototype on X1's world. Return dates are real (RDW's latest keeper change of the same Dutch cars after their first 3 months, a lower bound); the retail labels are X1's synthetic buyer types, a random share of real cars; the score is the readiness engine on age alone, and the queue flags the top tenth each month (an ASSUMPTION for contact capacity). It measures the queue rule's reach, not the group's customers. By year the share ran below the baseline while flags sat on young cars and above it once the book reached the 48- and 60-month waves.</t>
  </si>
  <si>
    <t xml:space="preserve">Context: X4 ledger prototype</t>
  </si>
  <si>
    <t xml:space="preserve">x4_upgrade_base_all</t>
  </si>
  <si>
    <t xml:space="preserve">X4 prototype, the age-only queue (from age one): any retail car flagged at a month end in a 3-month window, same period (baseline)</t>
  </si>
  <si>
    <t xml:space="preserve">x4_upgrade_flagged_2025</t>
  </si>
  <si>
    <t xml:space="preserve">X4 prototype, the age-only queue (from age one): returning retail customers flagged in the 3 months before, returns in 2025</t>
  </si>
  <si>
    <t xml:space="preserve">x4_upgrade_base_2025</t>
  </si>
  <si>
    <t xml:space="preserve">X4 prototype, the age-only queue (from age one): baseline for 2025 (any retail car, any 3-month window)</t>
  </si>
  <si>
    <t xml:space="preserve">x4_upgrade_window_flagged_all</t>
  </si>
  <si>
    <t xml:space="preserve">X4 prototype, the queue from the equity window: returning retail customers flagged in the 3 months before they came back</t>
  </si>
  <si>
    <t xml:space="preserve">Synthetic: the X4 ledger prototype on X1's world. The same check as x4_upgrade_flagged_all, on the queue as it runs now: retail customers enter at the equity window (window_nl_measured_m) and the top tenth of that queue is flagged each month (an ASSUMPTION for contact capacity). Return dates are real (RDW's latest keeper change, a lower bound); retail labels are X1's synthetic buyer types; the score is age alone. It measures the rule's reach, not the group's customers. Before the lease-end waves the queue sat on cars just past the window, and returning customers were flagged below the baseline there too: the window is the upgrade rule (equity), not a fix for the score.</t>
  </si>
  <si>
    <t xml:space="preserve">x4_upgrade_window_base_all</t>
  </si>
  <si>
    <t xml:space="preserve">X4 prototype, the queue from the equity window: any retail car flagged at a month end in a 3-month window, same period (baseline)</t>
  </si>
  <si>
    <t xml:space="preserve">x4_upgrade_window_flagged_2023</t>
  </si>
  <si>
    <t xml:space="preserve">X4 prototype, the queue from the equity window: returning retail customers flagged in the 3 months before, returns in 2023 (before the waves)</t>
  </si>
  <si>
    <t xml:space="preserve">x4_upgrade_window_base_2023</t>
  </si>
  <si>
    <t xml:space="preserve">X4 prototype, the queue from the equity window: baseline for 2023 (any retail car, any 3-month window)</t>
  </si>
  <si>
    <t xml:space="preserve">x4_level_part_per_car</t>
  </si>
  <si>
    <t xml:space="preserve">X4 prototype: residual result from the market level's move, mean per returned fleet lease</t>
  </si>
  <si>
    <t xml:space="preserve">EUR per car</t>
  </si>
  <si>
    <t xml:space="preserve">ledger/x4_pnl_report.md level table</t>
  </si>
  <si>
    <t xml:space="preserve">Synthetic: the X4 ledger prototype. Fleet contracts and their start dates are X1's (synthetic); return dates are real (RDW's latest keeper change, which may be a trader's later resale rather than the lease return); the car's value is the part-3 mark (RDW catalogue price x the Dutch value-retained curve x the NL HICP second-hand-car index, held at its last month for later returns). It illustrates the ledger splitting a residual result into the market level and the car; not a group figure.</t>
  </si>
  <si>
    <t xml:space="preserve">x5_elast_ch_avg</t>
  </si>
  <si>
    <t xml:space="preserve">New-car own-price elasticity, average buyer (Switzerland)</t>
  </si>
  <si>
    <t xml:space="preserve">% sales per 1% price</t>
  </si>
  <si>
    <t xml:space="preserve">Bigler P. and Radulescu D., 'Environmental, Redistributive and Revenue Effects of Policies Promoting Fuel Efficient and Electric Vehicles', CESifo Working Paper 9645 (2022), text on PDF pp. 5 and 25</t>
  </si>
  <si>
    <t xml:space="preserve">https://www.uni-goettingen.de/de/document/download/afa340fae477aec9ccfdb3ef4548656a.pdf/cesifo1_wp9645.pdf</t>
  </si>
  <si>
    <t xml:space="preserve">2017-2019</t>
  </si>
  <si>
    <t xml:space="preserve">Switzerland, not the EU: 23,074 households with a car newly registered in 2017-2019, mixed logit. A model-level elasticity: it counts buyers taken from other models, the group's sister brands included. With any sourced margin it fails the Lerner check (analysis/optimal_incentive_report.md), so use it for relative price sensitivity across buyers, not as a level.</t>
  </si>
  <si>
    <t xml:space="preserve">Context: leak 1 (X5, the optimal incentive)</t>
  </si>
  <si>
    <t xml:space="preserve">x5_elast_ch_lowinc</t>
  </si>
  <si>
    <t xml:space="preserve">New-car own-price elasticity, lowest income quartile (Switzerland)</t>
  </si>
  <si>
    <t xml:space="preserve">x5_elast_ch_highinc</t>
  </si>
  <si>
    <t xml:space="preserve">New-car own-price elasticity, highest income quartile (Switzerland)</t>
  </si>
  <si>
    <t xml:space="preserve">x5_scrap_nontargeted</t>
  </si>
  <si>
    <t xml:space="preserve">Sales response to a market-wide scrappage subsidy, all cars (non-targeted schemes)</t>
  </si>
  <si>
    <t xml:space="preserve">% sales per percentage point of price</t>
  </si>
  <si>
    <t xml:space="preserve">Leheyda N. and Verboven F., 'Scrapping Subsidies during the Financial Crisis - Evidence from Europe', ZEW Discussion Paper 13-079 (2013), p. 6 and Table 3 p. 21</t>
  </si>
  <si>
    <t xml:space="preserve">https://d.repec.org/n?u=RePEc:zbw:zewdip:13079&amp;r=</t>
  </si>
  <si>
    <t xml:space="preserve">2005-2011</t>
  </si>
  <si>
    <t xml:space="preserve">Nine European countries, monthly, 2005-2011, difference-in-differences. A market-wide, temporary subsidy, so it has no brand switching and sits below what one group's own incentive would move. The three months after a non-targeted scheme dip by only -0.034 per unit of incentive against +1.416 during it (Table 3). The published version (Grigolon, Leheyda and Verboven, IJIO 44, 2016) is not checked.</t>
  </si>
  <si>
    <t xml:space="preserve">x5_scrap_targeted</t>
  </si>
  <si>
    <t xml:space="preserve">Sales response to a targeted scrappage subsidy, eligible cars</t>
  </si>
  <si>
    <t xml:space="preserve">x5_markup_grv</t>
  </si>
  <si>
    <t xml:space="preserve">Price minus marginal cost, as a share of price: European average</t>
  </si>
  <si>
    <t xml:space="preserve">% of price</t>
  </si>
  <si>
    <t xml:space="preserve">Grigolon L., Reynaert M. and Verboven F., 'Consumer valuation of fuel costs and tax policy: Evidence from the European car market', TSE Working Paper 17-836 (2017), p. 25; published in AEJ: Economic Policy 2018</t>
  </si>
  <si>
    <t xml:space="preserve">https://www.tse-fr.eu/sites/default/files/TSE/documents/doc/wp/2017/wp_tse_836.pdf</t>
  </si>
  <si>
    <t xml:space="preserve">1998-2011</t>
  </si>
  <si>
    <t xml:space="preserve">Seven European countries, 1998-2011, implied by a BLP demand model with multi-product pricing ("on average around 26%"), so it is consistent with that model's own elasticities, which the text does not state. Older than the group, and a contribution margin, above the group's reported gross margin (pl_sale_margin_pct_list).</t>
  </si>
  <si>
    <t xml:space="preserve">rebate_passthrough</t>
  </si>
  <si>
    <t xml:space="preserve">Share of a customer rebate that reaches the buyer</t>
  </si>
  <si>
    <t xml:space="preserve">US data. The value is the low end, as in dealer_passthrough_low. A customer rebate passes through at 70-90%, a dealer discount at 30-40%. Finance offers (subsidised rates through the captive) are not covered.</t>
  </si>
  <si>
    <t xml:space="preserve">x5_group_share_eu</t>
  </si>
  <si>
    <t xml:space="preserve">Group brands' share of 2025 new-car registrations, EU + EFTA + UK</t>
  </si>
  <si>
    <t xml:space="preserve">ACEA, New car registrations: +1.8% in 2025, press release tables (December 2025), EU + EFTA + UK table p. 6</t>
  </si>
  <si>
    <t xml:space="preserve">https://www.acea.auto/files/Press_release_car_registrations_December_2025.pdf</t>
  </si>
  <si>
    <t xml:space="preserve">Stellantis, 1,892,556 cars; 15.3% in the EU alone. Stellantis is a same-scale proxy for the anonymous group. Under a plain logit, a buyer leaving one model goes to a sister brand with about this chance; buyers switch more within a segment, so it is a lower bound on the share of extra sales taken from sister brands.</t>
  </si>
  <si>
    <t xml:space="preserve">x5_pull_forward</t>
  </si>
  <si>
    <t xml:space="preserve">Share of an incentive's extra sales only pulled forward from later months</t>
  </si>
  <si>
    <t xml:space="preserve">No study gives this share for a manufacturer's own incentive. The 2009 European schemes show little (Leheyda and Verboven 2013, Table 3: a small three-month dip; Böckers, Heimeshoff and Müller, DICE DP 56: a small contraction). France's 1990s schemes show a lot (Adda and Cooper, JPE 2000), with no share in the abstract. The value leans to the European 2009 evidence; 50 is a stress value.</t>
  </si>
  <si>
    <t xml:space="preserve">x5_elast_ch_petrol_q1</t>
  </si>
  <si>
    <t xml:space="preserve">New-car own-price elasticity, petrol (gasoline) cars, income quartile 1 (Switzerland)</t>
  </si>
  <si>
    <t xml:space="preserve">Bigler P. and Radulescu D., 'Environmental, Redistributive and Revenue Effects of Policies Promoting Fuel Efficient and Electric Vehicles', CESifo Working Paper 9645 (2022), Appendix Table 14, PDF p. 47</t>
  </si>
  <si>
    <t xml:space="preserve">Switzerland, not the EU: households with a car newly registered in 2017-2019, mixed logit. Income quartiles of equal size (below 62.9, 62.9-93.67, 93.67-131.7, from 131.7 thousand francs); the four quartiles of each fuel average to that fuel's all-buyer figure in Table 5. A mean over the cars each group chose, so part of the gap is richer buyers choosing dearer cars. X5 uses only the ratio between quartiles, not the level (analysis/optimal_incentive_report.md).</t>
  </si>
  <si>
    <t xml:space="preserve">x5_elast_ch_petrol_q2</t>
  </si>
  <si>
    <t xml:space="preserve">New-car own-price elasticity, petrol (gasoline) cars, income quartile 2 (Switzerland)</t>
  </si>
  <si>
    <t xml:space="preserve">x5_elast_ch_petrol_q3</t>
  </si>
  <si>
    <t xml:space="preserve">New-car own-price elasticity, petrol (gasoline) cars, income quartile 3 (Switzerland)</t>
  </si>
  <si>
    <t xml:space="preserve">x5_elast_ch_petrol_q4</t>
  </si>
  <si>
    <t xml:space="preserve">New-car own-price elasticity, petrol (gasoline) cars, income quartile 4 (Switzerland)</t>
  </si>
  <si>
    <t xml:space="preserve">x5_elast_ch_diesel_q1</t>
  </si>
  <si>
    <t xml:space="preserve">New-car own-price elasticity, diesel cars, income quartile 1 (Switzerland)</t>
  </si>
  <si>
    <t xml:space="preserve">x5_elast_ch_diesel_q2</t>
  </si>
  <si>
    <t xml:space="preserve">New-car own-price elasticity, diesel cars, income quartile 2 (Switzerland)</t>
  </si>
  <si>
    <t xml:space="preserve">x5_elast_ch_diesel_q3</t>
  </si>
  <si>
    <t xml:space="preserve">New-car own-price elasticity, diesel cars, income quartile 3 (Switzerland)</t>
  </si>
  <si>
    <t xml:space="preserve">x5_elast_ch_diesel_q4</t>
  </si>
  <si>
    <t xml:space="preserve">New-car own-price elasticity, diesel cars, income quartile 4 (Switzerland)</t>
  </si>
  <si>
    <t xml:space="preserve">x5_elast_ch_electric_q1</t>
  </si>
  <si>
    <t xml:space="preserve">New-car own-price elasticity, electric cars, income quartile 1 (Switzerland)</t>
  </si>
  <si>
    <t xml:space="preserve">x5_elast_ch_electric_q2</t>
  </si>
  <si>
    <t xml:space="preserve">New-car own-price elasticity, electric cars, income quartile 2 (Switzerland)</t>
  </si>
  <si>
    <t xml:space="preserve">x5_elast_ch_electric_q3</t>
  </si>
  <si>
    <t xml:space="preserve">New-car own-price elasticity, electric cars, income quartile 3 (Switzerland)</t>
  </si>
  <si>
    <t xml:space="preserve">x5_elast_ch_electric_q4</t>
  </si>
  <si>
    <t xml:space="preserve">New-car own-price elasticity, electric cars, income quartile 4 (Switzerland)</t>
  </si>
  <si>
    <t xml:space="preserve">x5_elast_ch_hybrid_q1</t>
  </si>
  <si>
    <t xml:space="preserve">New-car own-price elasticity, hybrid cars, income quartile 1 (Switzerland)</t>
  </si>
  <si>
    <t xml:space="preserve">x5_elast_ch_hybrid_q2</t>
  </si>
  <si>
    <t xml:space="preserve">New-car own-price elasticity, hybrid cars, income quartile 2 (Switzerland)</t>
  </si>
  <si>
    <t xml:space="preserve">x5_elast_ch_hybrid_q3</t>
  </si>
  <si>
    <t xml:space="preserve">New-car own-price elasticity, hybrid cars, income quartile 3 (Switzerland)</t>
  </si>
  <si>
    <t xml:space="preserve">x5_elast_ch_hybrid_q4</t>
  </si>
  <si>
    <t xml:space="preserve">New-car own-price elasticity, hybrid cars, income quartile 4 (Switzerland)</t>
  </si>
  <si>
    <t xml:space="preserve">x5_acea25_bev</t>
  </si>
  <si>
    <t xml:space="preserve">New cars registered in 2025, battery electric, EU + EFTA + UK</t>
  </si>
  <si>
    <t xml:space="preserve">ACEA, New car registrations: +1.8% in 2025, press release tables (December 2025), registrations by power source, EU + EFTA + UK, p. 4</t>
  </si>
  <si>
    <t xml:space="preserve">January-December 2025. ACEA's hybrid electric count includes mild hybrids, which are close to petrol cars; X5 brackets that by counting them as hybrids and as petrol. 'Others' (352,937: gas, ethanol, fuel cell) is left out.</t>
  </si>
  <si>
    <t xml:space="preserve">x5_acea25_phev</t>
  </si>
  <si>
    <t xml:space="preserve">New cars registered in 2025, plug-in hybrid, EU + EFTA + UK</t>
  </si>
  <si>
    <t xml:space="preserve">x5_acea25_hev</t>
  </si>
  <si>
    <t xml:space="preserve">New cars registered in 2025, hybrid electric (full and mild), EU + EFTA + UK</t>
  </si>
  <si>
    <t xml:space="preserve">x5_acea25_petrol</t>
  </si>
  <si>
    <t xml:space="preserve">New cars registered in 2025, petrol, EU + EFTA + UK</t>
  </si>
  <si>
    <t xml:space="preserve">x5_acea25_diesel</t>
  </si>
  <si>
    <t xml:space="preserve">New cars registered in 2025, diesel, EU + EFTA + UK</t>
  </si>
  <si>
    <t xml:space="preserve">x5_targeting_gain_central</t>
  </si>
  <si>
    <t xml:space="preserve">Profit from giving each income quartile its own incentive, central case</t>
  </si>
  <si>
    <t xml:space="preserve">analysis/optimal_incentive_report.md</t>
  </si>
  <si>
    <t xml:space="preserve">Targeting on income alone, with income known exactly: Swiss income-quartile elasticity ratios (2017-2019) by fuel, weighted by the 2025 EU + EFTA + UK fuel mix, the 26% European margin, and the anchor that today's uniform incentive is the best uniform one. So the level of spend is not measured; only a randomised holdout can. Replaces targeting_leak_pct in leak 1 (26 September); the level of spend is a named line with no number, for the pilot's randomised holdout.</t>
  </si>
  <si>
    <t xml:space="preserve">x5_targeting_gain_low</t>
  </si>
  <si>
    <t xml:space="preserve">The same, lowest case of the one-at-a-time table</t>
  </si>
  <si>
    <t xml:space="preserve">Pull-forward at 50%. Targeting on income alone, with income known exactly: Swiss income-quartile elasticity ratios (2017-2019) by fuel, weighted by the 2025 EU + EFTA + UK fuel mix, the 26% European margin, and the anchor that today's uniform incentive is the best uniform one. So the level of spend is not measured; only a randomised holdout can. Replaces targeting_leak_pct in leak 1 (26 September); the level of spend is a named line with no number, for the pilot's randomised holdout.</t>
  </si>
  <si>
    <t xml:space="preserve">x5_targeting_gain_high</t>
  </si>
  <si>
    <t xml:space="preserve">The same, highest case of the one-at-a-time table</t>
  </si>
  <si>
    <t xml:space="preserve">All hybrid-electric cars, mild hybrids included, counted as petrol. Targeting on income alone, with income known exactly: Swiss income-quartile elasticity ratios (2017-2019) by fuel, weighted by the 2025 EU + EFTA + UK fuel mix, the 26% European margin, and the anchor that today's uniform incentive is the best uniform one. So the level of spend is not measured; only a randomised holdout can. Replaces targeting_leak_pct in leak 1 (26 September); the level of spend is a named line with no number, for the pilot's randomised holdout.</t>
  </si>
  <si>
    <t xml:space="preserve">x5_targeting_gain_pct_spend</t>
  </si>
  <si>
    <t xml:space="preserve">The central case as a share of today's incentive spend</t>
  </si>
  <si>
    <t xml:space="preserve">% of incentive spend</t>
  </si>
  <si>
    <t xml:space="preserve">Comparable with targeting_leak_pct (an ASSUMPTION of 10%). Divides by pl_incentive_pct_list, itself an ASSUMPTION. Targeting on income alone, with income known exactly: Swiss income-quartile elasticity ratios (2017-2019) by fuel, weighted by the 2025 EU + EFTA + UK fuel mix, the 26% European margin, and the anchor that today's uniform incentive is the best uniform one. So the level of spend is not measured; only a randomised holdout can. Not in the workbook: moving it there changes the headline and waits for the user (X5 part 5).</t>
  </si>
  <si>
    <t xml:space="preserve">x5_type_saving_low</t>
  </si>
  <si>
    <t xml:space="preserve">Spend saved per euro of dealer discount by a customer rebate with the same effect on the buyer's price, low end</t>
  </si>
  <si>
    <t xml:space="preserve">US pass-through data (Busse et al.): dealer discounts 30-40%, customer rebates 70-90%. An upper bound on the saving: what a dealer keeps may buy selling effort, which this doesn't value.</t>
  </si>
  <si>
    <t xml:space="preserve">x5_type_saving_high</t>
  </si>
  <si>
    <t xml:space="preserve">The same, high end</t>
  </si>
  <si>
    <t xml:space="preserve">US pass-through data (Busse et al.). An upper bound, as for x5_type_saving_low.</t>
  </si>
  <si>
    <t xml:space="preserve">ecb_deposit_rate</t>
  </si>
  <si>
    <t xml:space="preserve">ECB deposit facility rate</t>
  </si>
  <si>
    <t xml:space="preserve">European Central Bank, key ECB interest rates table, row with effect from 16 September 2026</t>
  </si>
  <si>
    <t xml:space="preserve">https://www.ecb.europa.eu/stats/policy_and_exchange_rates/key_ecb_interest_rates/html/index.en.html</t>
  </si>
  <si>
    <t xml:space="preserve">2026-09-16</t>
  </si>
  <si>
    <t xml:space="preserve">An overnight rate, used to discount a level-risk charge set aside over a 36- or 48-month contract. A three- or four-year rate would fit the term better; the charge moves little with it (X6 part 2).</t>
  </si>
  <si>
    <t xml:space="preserve">Context: leak 3 (X6, pricing the level)</t>
  </si>
  <si>
    <t xml:space="preserve">x6_el_share_core_36m_median</t>
  </si>
  <si>
    <t xml:space="preserve">Market-level expected loss on a 36-month residual, core markets</t>
  </si>
  <si>
    <t xml:space="preserve">% of residual</t>
  </si>
  <si>
    <t xml:space="preserve">analysis/level_charge_report.md</t>
  </si>
  <si>
    <t xml:space="preserve">Expected loss from the market level only, on Eurostat HICP used-car indices for the group's core markets (FR IT DE ES PL NL PT), 2016-12 to 2025-12, residual assumed right on average (the median move). Rests on two to five effective independent windows, one decade including the 2021-22 shortage, and retail rather than auction prices. No capital cost (X6 part 3).</t>
  </si>
  <si>
    <t xml:space="preserve">x6_el_share_core_48m_median</t>
  </si>
  <si>
    <t xml:space="preserve">Market-level expected loss on a 48-month residual, core markets</t>
  </si>
  <si>
    <t xml:space="preserve">x6_loss_contract_group_48m</t>
  </si>
  <si>
    <t xml:space="preserve">Market-level expected loss per 48-month contract, group car</t>
  </si>
  <si>
    <t xml:space="preserve">EUR per contract</t>
  </si>
  <si>
    <t xml:space="preserve">Expected loss from the market level only, on Eurostat HICP used-car indices for the group's core markets (FR IT DE ES PL NL PT), 2016-12 to 2025-12, residual assumed right on average (the median move). Rests on two to five effective independent windows, one decade including the 2021-22 shortage, and retail rather than auction prices. No capital cost (X6 part 3). Group car: Enlarged Europe net revenue per vehicle as the price (a scale, not a list price), UK value retained at the term (retained_3y_uk, retained_4y_uk).</t>
  </si>
  <si>
    <t xml:space="preserve">x6_charge_month_group_48m</t>
  </si>
  <si>
    <t xml:space="preserve">Market-level charge per month, 48-month contract, group car</t>
  </si>
  <si>
    <t xml:space="preserve">EUR per month</t>
  </si>
  <si>
    <t xml:space="preserve">Expected loss from the market level only, on Eurostat HICP used-car indices for the group's core markets (FR IT DE ES PL NL PT), 2016-12 to 2025-12, residual assumed right on average (the median move). Rests on two to five effective independent windows, one decade including the 2021-22 shortage, and retail rather than auction prices. No capital cost (X6 part 3). Group car: Enlarged Europe net revenue per vehicle as the price (a scale, not a list price), UK value retained at the term (retained_3y_uk, retained_4y_uk). Set aside at ecb_deposit_rate.</t>
  </si>
  <si>
    <t xml:space="preserve">x6_charge_month_group_36m</t>
  </si>
  <si>
    <t xml:space="preserve">Market-level charge per month, 36-month contract, group car</t>
  </si>
  <si>
    <t xml:space="preserve">x6_charge_month_group_48m_nochange</t>
  </si>
  <si>
    <t xml:space="preserve">The same with the residual set at today's level</t>
  </si>
  <si>
    <t xml:space="preserve">The level rose over the window, so a residual set at today's level carried a cushion: this shows the decade's drift, not a lower risk. Expected loss from the market level only, on Eurostat HICP used-car indices for the group's core markets (FR IT DE ES PL NL PT), 2016-12 to 2025-12, residual at today's level. Rests on two to five effective independent windows, one decade including the 2021-22 shortage, and retail rather than auction prices. No capital cost (X6 part 3). Group car: Enlarged Europe net revenue per vehicle as the price (a scale, not a list price), UK value retained at the term (retained_3y_uk, retained_4y_uk).</t>
  </si>
  <si>
    <t xml:space="preserve">x6_worst_tenth_group_48m</t>
  </si>
  <si>
    <t xml:space="preserve">Average market-level loss per 48-month contract in the worst tenth of windows, group car</t>
  </si>
  <si>
    <t xml:space="preserve">A tail measure, not a charge. Expected loss from the market level only, on Eurostat HICP used-car indices for the group's core markets (FR IT DE ES PL NL PT), 2016-12 to 2025-12, residual assumed right on average (the median move). Rests on two to five effective independent windows, one decade including the 2021-22 shortage, and retail rather than auction prices. No capital cost (X6 part 3). Group car: Enlarged Europe net revenue per vehicle as the price (a scale, not a list price), UK value retained at the term (retained_3y_uk, retained_4y_uk).</t>
  </si>
  <si>
    <t xml:space="preserve">x6_charge_month_corsa_48m</t>
  </si>
  <si>
    <t xml:space="preserve">Market-level charge per month, 48-month contract, the sample Corsa</t>
  </si>
  <si>
    <t xml:space="preserve">Expected loss from the market level only, on Eurostat HICP used-car indices for the group's core markets (FR IT DE ES PL NL PT), 2016-12 to 2025-12, residual assumed right on average (the median move). Rests on two to five effective independent windows, one decade including the 2021-22 shortage, and retail rather than auction prices. No capital cost (X6 part 3). The solution doc's sample car: new_car_price_eur (entry trim) x retained_4y_uk.</t>
  </si>
  <si>
    <t xml:space="preserve">crr_total_capital_ratio</t>
  </si>
  <si>
    <t xml:space="preserve">Minimum total own funds ratio for a bank</t>
  </si>
  <si>
    <t xml:space="preserve">% of risk-weighted exposure</t>
  </si>
  <si>
    <t xml:space="preserve">Regulation (EU) No 575/2013 (CRR), Article 92(1)(c), via the EBA interactive single rulebook</t>
  </si>
  <si>
    <t xml:space="preserve">https://www.eba.europa.eu/regulation-and-policy/single-rulebook/interactive-single-rulebook/16057</t>
  </si>
  <si>
    <t xml:space="preserve">2013</t>
  </si>
  <si>
    <t xml:space="preserve">The Pillar 1 minimum. Banks hold more: buffers (crd_conservation_buffer), Pillar 2 and management margins.</t>
  </si>
  <si>
    <t xml:space="preserve">crd_conservation_buffer</t>
  </si>
  <si>
    <t xml:space="preserve">Capital conservation buffer</t>
  </si>
  <si>
    <t xml:space="preserve">Directive 2013/36/EU (CRD), Article 129, via the EBA interactive single rulebook</t>
  </si>
  <si>
    <t xml:space="preserve">https://www.eba.europa.eu/regulation-and-policy/single-rulebook/interactive-single-rulebook/101341</t>
  </si>
  <si>
    <t xml:space="preserve">Common Equity Tier 1 on top of the Article 92 minimum. Other buffers (countercyclical, systemic) vary by bank and country and are left out.</t>
  </si>
  <si>
    <t xml:space="preserve">crr_residual_rwea_rule</t>
  </si>
  <si>
    <t xml:space="preserve">Risk-weighted amount of a leased asset's residual: (1/t) x 100% x residual, t = max(1, whole years left)</t>
  </si>
  <si>
    <t xml:space="preserve">CRR Article 134(7), as quoted and interpreted in EBA Q&amp;A 2014_1241</t>
  </si>
  <si>
    <t xml:space="preserve">https://www.eba.europa.eu/single-rule-book-qa/qna/view/publicId/2014_1241</t>
  </si>
  <si>
    <t xml:space="preserve">2014</t>
  </si>
  <si>
    <t xml:space="preserve">The residual is the undiscounted estimate at the lease end, reassessed periodically. Standardised approach; CRR3 changes not checked. It applies to a bank's leases, not to the manufacturer's own buy-back book.</t>
  </si>
  <si>
    <t xml:space="preserve">eba_bank_coe</t>
  </si>
  <si>
    <t xml:space="preserve">European banks' estimated cost of equity, most common bracket</t>
  </si>
  <si>
    <t xml:space="preserve">EBA Risk Assessment Questionnaire, Autumn 2024, Question 4 (p. 8)</t>
  </si>
  <si>
    <t xml:space="preserve">https://www.eba.europa.eu/sites/default/files/2024-11/76fd734f-e7fb-48ec-b833-f1d788350082/RAQ%20Booklet%20graphs%20Autumn%202024.pdf</t>
  </si>
  <si>
    <t xml:space="preserve">2024-09</t>
  </si>
  <si>
    <t xml:space="preserve">Share of banks: 10-12%: 38%; 12% or more: 28%; 8-10%: 25%. The value is the bracket's low end. A captive's own hurdle rate is not published.</t>
  </si>
  <si>
    <t xml:space="preserve">gh_rv_premium_low</t>
  </si>
  <si>
    <t xml:space="preserve">Modelled fair residual-value insurance premium, low end</t>
  </si>
  <si>
    <t xml:space="preserve">% of insured value</t>
  </si>
  <si>
    <t xml:space="preserve">Goldberg G. M. and Hegde S. P., 'Residual Value Risk and Insurance: Evidence from the Consumer Automobile Industry', EFMA 2009 annual meeting paper 64, abstract (PDF p. 2)</t>
  </si>
  <si>
    <t xml:space="preserve">https://www.efmaefm.org/0efmameetings/efma%20annual%20meetings/2009-Milan/papers/64.pdf</t>
  </si>
  <si>
    <t xml:space="preserve">1990-2006</t>
  </si>
  <si>
    <t xml:space="preserve">US data: a Black-Scholes put on wholesale prices of three models, 1990-2006, two- to five-year policies. A model's fair premium, not a market quote. The same abstract finds realised losses of 7-12% from inflated residuals, which 'would have imposed huge underwriting losses on residual value insurers'.</t>
  </si>
  <si>
    <t xml:space="preserve">gh_rv_premium_high</t>
  </si>
  <si>
    <t xml:space="preserve">Modelled fair residual-value insurance premium, high end</t>
  </si>
  <si>
    <t xml:space="preserve">sp_eu_rv_haircut_bbb</t>
  </si>
  <si>
    <t xml:space="preserve">S&amp;P initial haircut to base residuals, typical European auto ABS, BBB</t>
  </si>
  <si>
    <t xml:space="preserve">% of base residual</t>
  </si>
  <si>
    <t xml:space="preserve">S&amp;P Global Ratings, Global Auto ABS Methodology And Assumptions, 31 March 2022, Table 5 (initial haircuts to base residuals), case 2, 'the typical European auto ABS'</t>
  </si>
  <si>
    <t xml:space="preserve">https://www.maalot.co.il/Publications/MT20220405091436.PDF</t>
  </si>
  <si>
    <t xml:space="preserve">2022-03-31</t>
  </si>
  <si>
    <t xml:space="preserve">A rating-agency stress on the base residual, before pool-specific adjustments; not a probability. Case 2 has no third-party residual forecaster. Case 1, the typical US lease deal, is lower (AAA 26%, BBB 13%).</t>
  </si>
  <si>
    <t xml:space="preserve">sp_eu_rv_haircut_aaa</t>
  </si>
  <si>
    <t xml:space="preserve">S&amp;P initial haircut to base residuals, typical European auto ABS, AAA</t>
  </si>
  <si>
    <t xml:space="preserve">dbrs_sfse_rv_loss_aa</t>
  </si>
  <si>
    <t xml:space="preserve">DBRS residual-value loss estimate, the group's Spanish ABS, AA</t>
  </si>
  <si>
    <t xml:space="preserve">Morningstar DBRS, rating action of 22 April 2025 on Auto ABS Spanish Loans 2022-1 FT (originator Stellantis Financial Services Espana)</t>
  </si>
  <si>
    <t xml:space="preserve">https://dbrs.morningstar.com/research/452120</t>
  </si>
  <si>
    <t xml:space="preserve">2025-04-22</t>
  </si>
  <si>
    <t xml:space="preserve">The group's own Spanish balloon-loan securitisation: DBRS's residual-value loss estimate under its rating stress. One deal, one market, loans with balloon rather than leases.</t>
  </si>
  <si>
    <t xml:space="preserve">dbrs_sfse_rv_loss_bbbh</t>
  </si>
  <si>
    <t xml:space="preserve">DBRS residual-value loss estimate, the group's Spanish ABS, BBB (high)</t>
  </si>
  <si>
    <t xml:space="preserve">x6_capital_contract_group_48m</t>
  </si>
  <si>
    <t xml:space="preserve">Capital cost of holding the level risk, 48-month contract, group car</t>
  </si>
  <si>
    <t xml:space="preserve">Group car, 48-month bank lease: expected loss from the market level (core markets, residual right on average) plus the capital CRR 134(7) ties to the residual, at the 8% minimum plus the 2.5% conservation buffer, charged at the EBA survey's 10% cost of equity net of the ECB deposit rate. Not for the manufacturer's own buy-back book, which sits outside bank capital rules. Same data caveats as x6_loss_contract_group_48m.</t>
  </si>
  <si>
    <t xml:space="preserve">x6_price_contract_group_48m</t>
  </si>
  <si>
    <t xml:space="preserve">Price to hold the level risk (expected loss plus capital), 48-month contract, group car</t>
  </si>
  <si>
    <t xml:space="preserve">x6_price_share_group_48m</t>
  </si>
  <si>
    <t xml:space="preserve">The same as a share of the residual</t>
  </si>
  <si>
    <t xml:space="preserve">buyback_assets_2024_eur_m</t>
  </si>
  <si>
    <t xml:space="preserve">Assets sold with a buy-back commitment, 2024</t>
  </si>
  <si>
    <t xml:space="preserve">Stellantis Form 20-F FY2025 consolidated statement of financial position, 2024 comparative</t>
  </si>
  <si>
    <t xml:space="preserve">2024-12-31</t>
  </si>
  <si>
    <t xml:space="preserve">Year-end balance; the year's average book is not disclosed.</t>
  </si>
  <si>
    <t xml:space="preserve">x6_oos_coverage_36m</t>
  </si>
  <si>
    <t xml:space="preserve">Share of realised level shortfalls a charge set from past data would have covered, 36-month contracts</t>
  </si>
  <si>
    <t xml:space="preserve">Out-of-sample back-test of the median-strike charge: each contract's charge set from its own market's windows that had already ended (at least 24), residual at that history's median move. Charge collected over shortfall realised, all start years. Until 2014 the test is France alone; later start years add the other core markets and return into the 2021-22 shortage, which flatters the total.</t>
  </si>
  <si>
    <t xml:space="preserve">x6_oos_coverage_48m</t>
  </si>
  <si>
    <t xml:space="preserve">Share of realised level shortfalls a charge set from past data would have covered, 48-month contracts</t>
  </si>
  <si>
    <t xml:space="preserve">x6_charge_cold_36m</t>
  </si>
  <si>
    <t xml:space="preserve">Market-level expected loss, 36-month contracts started with the level below its 3-year average (bottom tercile)</t>
  </si>
  <si>
    <t xml:space="preserve">All 26 EU markets' full Eurostat HICP used-car histories (France from 1996), pooled; the shortfall of a residual set at the pooled median move. The gap is the log level against its average over the previous 36 months at the contract's start; terciles of the gap. Few independent episodes, overlapping windows, and the 2021-22 reversal only partly observed.</t>
  </si>
  <si>
    <t xml:space="preserve">x6_charge_middle_36m</t>
  </si>
  <si>
    <t xml:space="preserve">The same, middle tercile</t>
  </si>
  <si>
    <t xml:space="preserve">x6_charge_cold_48m</t>
  </si>
  <si>
    <t xml:space="preserve">Market-level expected loss, 48-month contracts started with the level below its 3-year average (bottom tercile)</t>
  </si>
  <si>
    <t xml:space="preserve">x6_charge_middle_48m</t>
  </si>
  <si>
    <t xml:space="preserve">x6_state_error_saved_36m</t>
  </si>
  <si>
    <t xml:space="preserve">Error saved by a charge that moves with the level, markets left out, 36 months</t>
  </si>
  <si>
    <t xml:space="preserve">x6_state_error_saved_48m</t>
  </si>
  <si>
    <t xml:space="preserve">The same, 48 months</t>
  </si>
  <si>
    <t xml:space="preserve">x6_state_peak_36m</t>
  </si>
  <si>
    <t xml:space="preserve">The same for 36-month contracts started in 2021-22 (negative: the moving charge did worse)</t>
  </si>
  <si>
    <t xml:space="preserve">ald_car_proceeds_2018</t>
  </si>
  <si>
    <t xml:space="preserve">ALD proceeds of cars sold, 2018</t>
  </si>
  <si>
    <t xml:space="preserve">ALD Universal Registration Document 2019, note 8c Car sales result (2018 comparative)</t>
  </si>
  <si>
    <t xml:space="preserve">https://dl.bourse.lu/dl?v=6Ny2mVkXyTm5znSIowf6r/PiW/epL4vfYZIFMqEQcyySNJd+LmbUp30l1h8ZEPC8d4XW9HHTAgO7B9D6HB/gjN1PicQ+W/QbjTq7RJQPcAtxw3598y+WiCha5SEzlfQP4Yc/AVCQ+vb4iRW+0O+vZ0cU7+I8PdEAxkBf9Z+BikrB3gI28NtxcaGDW3uf4hCF7VSqWLGiUVQA+o21bHEca3sjzqLXaLEuPTddPUwQ49apWON4xZJYFwyeDN8ciHqf</t>
  </si>
  <si>
    <t xml:space="preserve">2018-12-31</t>
  </si>
  <si>
    <t xml:space="preserve">ALD before the LeasePlan merger: the margin over book is its realised resale result against the depreciated residual set at contract start, which mixes the market level with the car's condition, mix, remarketing costs and policy (contract extensions, provisions).</t>
  </si>
  <si>
    <t xml:space="preserve">Context: X7 part 3 (a professional's residual error)</t>
  </si>
  <si>
    <t xml:space="preserve">ald_car_cost_2018</t>
  </si>
  <si>
    <t xml:space="preserve">ALD cost of cars sold (written-down value plus disposal costs), 2018</t>
  </si>
  <si>
    <t xml:space="preserve">ald_ucs_per_unit_2018</t>
  </si>
  <si>
    <t xml:space="preserve">ALD used car sales result per unit, 2018</t>
  </si>
  <si>
    <t xml:space="preserve">ALD Universal Registration Document 2019, management report (2018 comparative)</t>
  </si>
  <si>
    <t xml:space="preserve">Used to reconcile the per-car figure with proceeds less cost and the cars sold.</t>
  </si>
  <si>
    <t xml:space="preserve">ald_used_cars_sold_k_2018</t>
  </si>
  <si>
    <t xml:space="preserve">ALD used cars sold, 2018</t>
  </si>
  <si>
    <t xml:space="preserve">thousand cars</t>
  </si>
  <si>
    <t xml:space="preserve">Used to reconcile the per-car figure.</t>
  </si>
  <si>
    <t xml:space="preserve">ald_car_proceeds_2019</t>
  </si>
  <si>
    <t xml:space="preserve">ALD proceeds of cars sold, 2019</t>
  </si>
  <si>
    <t xml:space="preserve">ALD Universal Registration Document 2019, note 8c Car sales result</t>
  </si>
  <si>
    <t xml:space="preserve">2019-12-31</t>
  </si>
  <si>
    <t xml:space="preserve">ald_car_cost_2019</t>
  </si>
  <si>
    <t xml:space="preserve">ALD cost of cars sold (written-down value plus disposal costs), 2019</t>
  </si>
  <si>
    <t xml:space="preserve">ald_ucs_per_unit_2019</t>
  </si>
  <si>
    <t xml:space="preserve">ALD used car sales result per unit, 2019</t>
  </si>
  <si>
    <t xml:space="preserve">ALD Universal Registration Document 2019, management report</t>
  </si>
  <si>
    <t xml:space="preserve">ald_used_cars_sold_k_2019</t>
  </si>
  <si>
    <t xml:space="preserve">ALD used cars sold, 2019</t>
  </si>
  <si>
    <t xml:space="preserve">ald_car_proceeds_2020</t>
  </si>
  <si>
    <t xml:space="preserve">ALD proceeds of cars sold, 2020</t>
  </si>
  <si>
    <t xml:space="preserve">ALD Universal Registration Document 2021, note 8c Car sales result (2020 comparative)</t>
  </si>
  <si>
    <t xml:space="preserve">https://www.ayvens.com/-/media/ayvens/public/cp/files/leaseplan-documents-and-publication-archives/acquisition-documents/2021-universal-registration-document--pdf.pdf</t>
  </si>
  <si>
    <t xml:space="preserve">2020-12-31</t>
  </si>
  <si>
    <t xml:space="preserve">ald_car_cost_2020</t>
  </si>
  <si>
    <t xml:space="preserve">ALD cost of cars sold (written-down value plus disposal costs), 2020</t>
  </si>
  <si>
    <t xml:space="preserve">ald_ucs_per_unit_2020</t>
  </si>
  <si>
    <t xml:space="preserve">ALD used car sales result per unit, 2020</t>
  </si>
  <si>
    <t xml:space="preserve">ALD Universal Registration Document 2020, management report</t>
  </si>
  <si>
    <t xml:space="preserve">https://www.ayvens.com/-/media/ayvens/public/cp/files/events/annual-shareholders-meetings/assemblee-generale-mixte-2021/universal-registration-document-en.pdf</t>
  </si>
  <si>
    <t xml:space="preserve">ald_car_proceeds_2021</t>
  </si>
  <si>
    <t xml:space="preserve">ALD proceeds of cars sold, 2021</t>
  </si>
  <si>
    <t xml:space="preserve">ALD Universal Registration Document 2021, note 8c Car sales result</t>
  </si>
  <si>
    <t xml:space="preserve">2021-12-31</t>
  </si>
  <si>
    <t xml:space="preserve">ald_car_cost_2021</t>
  </si>
  <si>
    <t xml:space="preserve">ALD cost of cars sold (written-down value plus disposal costs), 2021</t>
  </si>
  <si>
    <t xml:space="preserve">ald_ucs_per_unit_2021</t>
  </si>
  <si>
    <t xml:space="preserve">ALD used car sales result per unit, 2021</t>
  </si>
  <si>
    <t xml:space="preserve">ALD Universal Registration Document 2021, management report</t>
  </si>
  <si>
    <t xml:space="preserve">ald_used_cars_sold_k_2021</t>
  </si>
  <si>
    <t xml:space="preserve">ALD used cars sold, 2021</t>
  </si>
  <si>
    <t xml:space="preserve">ald_car_proceeds_2022</t>
  </si>
  <si>
    <t xml:space="preserve">ALD proceeds of cars sold, 2022</t>
  </si>
  <si>
    <t xml:space="preserve">ALD Universal Registration Document 2022, note 9c Car sales result</t>
  </si>
  <si>
    <t xml:space="preserve">https://www.ayvens.com/-/media/ayvens/public/cp/files/newsroom-download-centre/pdfs-newco/sustainability/universal-registration-document/ald2022_urd_en_mel.pdf</t>
  </si>
  <si>
    <t xml:space="preserve">2022-12-31</t>
  </si>
  <si>
    <t xml:space="preserve">ald_car_cost_2022</t>
  </si>
  <si>
    <t xml:space="preserve">ALD cost of cars sold (written-down value plus disposal costs), 2022</t>
  </si>
  <si>
    <t xml:space="preserve">ald_ucs_per_unit_2022</t>
  </si>
  <si>
    <t xml:space="preserve">ALD used car sales result per unit, 2022</t>
  </si>
  <si>
    <t xml:space="preserve">ALD Universal Registration Document 2022, management report</t>
  </si>
  <si>
    <t xml:space="preserve">Used to reconcile the per-car figure with proceeds less cost and the cars sold. 2022: after the reduction in depreciation costs booked in earlier quarters.</t>
  </si>
  <si>
    <t xml:space="preserve">ald_used_cars_sold_k_2022</t>
  </si>
  <si>
    <t xml:space="preserve">ALD used cars sold, 2022</t>
  </si>
  <si>
    <t xml:space="preserve">ayvens_car_proceeds_2023</t>
  </si>
  <si>
    <t xml:space="preserve">Ayvens proceeds of cars sold, 2023</t>
  </si>
  <si>
    <t xml:space="preserve">Ayvens Universal Registration Document 2024, consolidated income statement (2023 restated)</t>
  </si>
  <si>
    <t xml:space="preserve">https://www.ayvens.com/-/media/ayvens/public/cp/files/events/annual-shareholders-meetings/assemblee-generale-2025/2024_ayvens_urd_en_mel_250411.pdf</t>
  </si>
  <si>
    <t xml:space="preserve">2023-12-31</t>
  </si>
  <si>
    <t xml:space="preserve">Ayvens after the LeasePlan merger (May 2023): LeasePlan cars were revalued to market at acquisition and depreciation was cut in 2022-23 and reversed in 2024-25, so the margin is not a residual forecast error. Information only.</t>
  </si>
  <si>
    <t xml:space="preserve">ayvens_car_cost_2023</t>
  </si>
  <si>
    <t xml:space="preserve">Ayvens cost of cars sold (written-down value plus disposal costs), 2023</t>
  </si>
  <si>
    <t xml:space="preserve">Ayvens after the LeasePlan merger (May 2023): LeasePlan cars were revalued to market at acquisition and depreciation was cut in 2022-23 and reversed in 2024-25, so the margin is not a residual forecast error. Information only. Restated in the 2024 document: EUR 748.6m moved out of cost of cars sold.</t>
  </si>
  <si>
    <t xml:space="preserve">ayvens_ucs_per_unit_2023</t>
  </si>
  <si>
    <t xml:space="preserve">Ayvens used car sales result per unit before depreciation adjustments, 2023</t>
  </si>
  <si>
    <t xml:space="preserve">Ayvens Universal Registration Document 2024, section 2 financial results (2023 comparative)</t>
  </si>
  <si>
    <t xml:space="preserve">ayvens_used_cars_sold_k_2023</t>
  </si>
  <si>
    <t xml:space="preserve">Ayvens used cars sold, 2023</t>
  </si>
  <si>
    <t xml:space="preserve">ayvens_car_proceeds_2024</t>
  </si>
  <si>
    <t xml:space="preserve">Ayvens proceeds of cars sold, 2024</t>
  </si>
  <si>
    <t xml:space="preserve">Ayvens Universal Registration Document 2025, note 8c Car sales result (2024 comparative)</t>
  </si>
  <si>
    <t xml:space="preserve">https://www.ayvens.com/-/media/ayvens/public/cp/files/regulated-information/2-annual-financial-reports-registration-documents-ammendments/2026/ayvens2025_urd_2025_en_mel_26_04_09.pdf</t>
  </si>
  <si>
    <t xml:space="preserve">ayvens_car_cost_2024</t>
  </si>
  <si>
    <t xml:space="preserve">Ayvens cost of cars sold (written-down value plus disposal costs), 2024</t>
  </si>
  <si>
    <t xml:space="preserve">ayvens_ucs_per_unit_2024</t>
  </si>
  <si>
    <t xml:space="preserve">Ayvens used car sales result per unit before depreciation adjustments, 2024</t>
  </si>
  <si>
    <t xml:space="preserve">Ayvens Universal Registration Document 2024, section 2 financial results</t>
  </si>
  <si>
    <t xml:space="preserve">ayvens_used_cars_sold_k_2024</t>
  </si>
  <si>
    <t xml:space="preserve">Ayvens used cars sold, 2024</t>
  </si>
  <si>
    <t xml:space="preserve">ayvens_car_proceeds_2025</t>
  </si>
  <si>
    <t xml:space="preserve">Ayvens proceeds of cars sold, 2025</t>
  </si>
  <si>
    <t xml:space="preserve">Ayvens Universal Registration Document 2025, note 8c Car sales result</t>
  </si>
  <si>
    <t xml:space="preserve">ayvens_car_cost_2025</t>
  </si>
  <si>
    <t xml:space="preserve">Ayvens cost of cars sold (written-down value plus disposal costs), 2025</t>
  </si>
  <si>
    <t xml:space="preserve">ayvens_ucs_per_unit_2025</t>
  </si>
  <si>
    <t xml:space="preserve">Ayvens used car sales result per unit before depreciation adjustments, 2025</t>
  </si>
  <si>
    <t xml:space="preserve">Ayvens Universal Registration Document 2025, section 2.1.3.1 financial performance</t>
  </si>
  <si>
    <t xml:space="preserve">ayvens_used_cars_sold_k_2025</t>
  </si>
  <si>
    <t xml:space="preserve">Ayvens used cars sold, 2025</t>
  </si>
  <si>
    <t xml:space="preserve">ald_ucs_per_unit_ex_depr_2022</t>
  </si>
  <si>
    <t xml:space="preserve">ALD used car sales result per unit had it booked no reduction in depreciation costs, 2022</t>
  </si>
  <si>
    <t xml:space="preserve">ALD cut depreciation in 2022 for cars expected to sell above book, moving part of the resale gain into the leasing margin; this per-car figure undoes that, so the 2022 margin is measured against the original residual.</t>
  </si>
  <si>
    <t xml:space="preserve">autoscout24_fr_avg_price_2021_pct</t>
  </si>
  <si>
    <t xml:space="preserve">AutoScout24 France barometer: average used-car price change, December 2020 to December 2021</t>
  </si>
  <si>
    <t xml:space="preserve">Caradisiac, 6 January 2022, citing the AutoScout24 barometer</t>
  </si>
  <si>
    <t xml:space="preserve">https://www.caradisiac.com/le-prix-moyen-des-voitures-d-occasion-a-grimpe-de-13-193921.htm</t>
  </si>
  <si>
    <t xml:space="preserve">The average asking price of all used cars advertised on AutoScout24 France: not constant age or mix, so a shift towards dearer cars inflates it. Used only to show that France's official used-car index (CP07112) missed the 2021 rise.</t>
  </si>
  <si>
    <t xml:space="preserve">Context: X7 part 3 (France's official index)</t>
  </si>
  <si>
    <t xml:space="preserve">x7_best_ratio_3m</t>
  </si>
  <si>
    <t xml:space="preserve">Lowest RMSE ratio against no change, 3 months ahead, 26 EU markets (damped trend)</t>
  </si>
  <si>
    <t xml:space="preserve">analysis/level_long_report.md</t>
  </si>
  <si>
    <t xml:space="preserve">Beats no change at 5% (DM-HLN): short-run momentum. Eurostat HICP used-car index (CP07112), 26 EU markets' full monthly histories (France from 1996, most from 2014-16); rolling origin, expanding window, each market weighted equally; reproduces part 1 (level_forecast_report.md) cell for cell. Retail, constant-age index prices, not the auction prices a lessor gets: a lessor's and a guide's prices moved more than the index (x7_ald_slope_*, x7_caphpi_slope_36m). Overlapping windows; from 36 months few independent ones, so not beating no change means not detectably better (x7_power_*).</t>
  </si>
  <si>
    <t xml:space="preserve">Context: X7 (can anyone forecast the level)</t>
  </si>
  <si>
    <t xml:space="preserve">x7_best_ratio_12m</t>
  </si>
  <si>
    <t xml:space="preserve">Lowest RMSE ratio against no change, 12 months ahead, 26 EU markets (damped trend)</t>
  </si>
  <si>
    <t xml:space="preserve">Not significant (x7_best_p_12m). Eurostat HICP used-car index (CP07112), 26 EU markets' full monthly histories (France from 1996, most from 2014-16); rolling origin, expanding window, each market weighted equally; reproduces part 1 (level_forecast_report.md) cell for cell. Retail, constant-age index prices, not the auction prices a lessor gets: a lessor's and a guide's prices moved more than the index (x7_ald_slope_*, x7_caphpi_slope_36m). Overlapping windows; from 36 months few independent ones, so not beating no change means not detectably better (x7_power_*).</t>
  </si>
  <si>
    <t xml:space="preserve">x7_best_p_12m</t>
  </si>
  <si>
    <t xml:space="preserve">Its DM-HLN p-value, two-sided</t>
  </si>
  <si>
    <t xml:space="preserve">p</t>
  </si>
  <si>
    <t xml:space="preserve">Eurostat HICP used-car index (CP07112), 26 EU markets' full monthly histories (France from 1996, most from 2014-16); rolling origin, expanding window, each market weighted equally; reproduces part 1 (level_forecast_report.md) cell for cell. Retail, constant-age index prices, not the auction prices a lessor gets: a lessor's and a guide's prices moved more than the index (x7_ald_slope_*, x7_caphpi_slope_36m). Overlapping windows; from 36 months few independent ones, so not beating no change means not detectably better (x7_power_*).</t>
  </si>
  <si>
    <t xml:space="preserve">x7_realterms_ratio_48m</t>
  </si>
  <si>
    <t xml:space="preserve">Real terms (2% a year): RMSE ratio against no change, 48 months ahead, 26 EU markets</t>
  </si>
  <si>
    <t xml:space="preserve">Real terms is no change after inflation: the level grows at the ECB's 2% target, fixed in advance; the same figures as part 2a (level_indicators_report.md). The lowest error from 36 months on, not significant, and a larger expected shortfall: the costlier strike for pricing (X6). Eurostat HICP used-car index (CP07112), 26 EU markets' full monthly histories (France from 1996, most from 2014-16); rolling origin, expanding window, each market weighted equally; reproduces part 1 (level_forecast_report.md) cell for cell. Retail, constant-age index prices, not the auction prices a lessor gets: a lessor's and a guide's prices moved more than the index (x7_ald_slope_*, x7_caphpi_slope_36m). Overlapping windows; from 36 months few independent ones, so not beating no change means not detectably better (x7_power_*).</t>
  </si>
  <si>
    <t xml:space="preserve">x7_realterms_p_48m</t>
  </si>
  <si>
    <t xml:space="preserve">x7_realterms_down_48m</t>
  </si>
  <si>
    <t xml:space="preserve">Its downside ratio: expected shortfall against no change's, 48 months</t>
  </si>
  <si>
    <t xml:space="preserve">x7_nofr_best_ratio_12m</t>
  </si>
  <si>
    <t xml:space="preserve">Without France: lowest RMSE ratio against no change, 12 months ahead, 25 EU markets</t>
  </si>
  <si>
    <t xml:space="preserve">Part 1's back-test without France, whose official index (INSEE: Argus guide values, smoothed since 2018) barely moves. The verdicts are unchanged at every horizon. Eurostat HICP used-car index (CP07112), 26 EU markets' full monthly histories (France from 1996, most from 2014-16); rolling origin, expanding window, each market weighted equally; reproduces part 1 (level_forecast_report.md) cell for cell. Retail, constant-age index prices, not the auction prices a lessor gets: a lessor's and a guide's prices moved more than the index (x7_ald_slope_*, x7_caphpi_slope_36m). Overlapping windows; from 36 months few independent ones, so not beating no change means not detectably better (x7_power_*).</t>
  </si>
  <si>
    <t xml:space="preserve">x7_nofr_best_p_12m</t>
  </si>
  <si>
    <t xml:space="preserve">x7_uk_best_ratio_12m</t>
  </si>
  <si>
    <t xml:space="preserve">UK, 1988-2026: lowest RMSE ratio against no change, 12 months ahead</t>
  </si>
  <si>
    <t xml:space="preserve">ONS CPI second-hand cars (D7E9), 1988-2026, UK: retail prices from a trade guide for 35 models aged 1-3 to January 2024, Auto Trader listings from February 2024 (not revised). Part 1's models; the lowest ratio is above 1, so every model did worse than no change. One series, not a panel.</t>
  </si>
  <si>
    <t xml:space="preserve">x7_uk_best_ratio_48m</t>
  </si>
  <si>
    <t xml:space="preserve">UK, 1988-2026: lowest RMSE ratio against no change, 48 months ahead</t>
  </si>
  <si>
    <t xml:space="preserve">x7_us1953_realterms_ratio_48m</t>
  </si>
  <si>
    <t xml:space="preserve">US, 1953-2026 (US data): real terms' RMSE ratio against no change, 48 months</t>
  </si>
  <si>
    <t xml:space="preserve">US data: US CPI used cars and trucks (BLS, seasonally adjusted; J.D. Power valuation prices, cars aged 2-7). From 1953 real terms beats no change significantly from 12 months on, but BLS did not adjust used-car prices for quality from 1952 to 1987 (Pashigian, BLS working paper 338, 2001), and from 1987 the gain vanishes. No 2% target existed for most of the history.</t>
  </si>
  <si>
    <t xml:space="preserve">x7_us1953_realterms_p_48m</t>
  </si>
  <si>
    <t xml:space="preserve">x7_us1987_realterms_ratio_48m</t>
  </si>
  <si>
    <t xml:space="preserve">US, 1987-2026 (US data, quality-adjusted years): real terms' RMSE ratio, 48 months</t>
  </si>
  <si>
    <t xml:space="preserve">x7_us1987_realterms_p_48m</t>
  </si>
  <si>
    <t xml:space="preserve">x7_power_48m_panel_market</t>
  </si>
  <si>
    <t xml:space="preserve">Chance of detecting a forecaster truly 10% better than no change at 48 months, one market of typical EU panel length</t>
  </si>
  <si>
    <t xml:space="preserve">A simulation, not data: a random walk plus a mean-reverting part (half-life 24 months), sized so an oracle with no estimation error is 10% better than no change at 48 months (RMSE ratio 0.90); the share of 200 worlds in which DM-HLN detects it at 5%. An upper bound for any real forecaster, for one shape of skill.</t>
  </si>
  <si>
    <t xml:space="preserve">x7_power_48m_uk</t>
  </si>
  <si>
    <t xml:space="preserve">The same at the UK's history length (1988-2026)</t>
  </si>
  <si>
    <t xml:space="preserve">x7_power_48m_us1953</t>
  </si>
  <si>
    <t xml:space="preserve">The same at the US history length (1953-2026)</t>
  </si>
  <si>
    <t xml:space="preserve">x7_caphpi_rmse_36m</t>
  </si>
  <si>
    <t xml:space="preserve">cap hpi's own 36-month new-car forecast misses: RMSE, 23 quarterly results falling due 2021-2026 (UK)</t>
  </si>
  <si>
    <t xml:space="preserve">pp</t>
  </si>
  <si>
    <t xml:space="preserve">analysis/level_guide_report.md</t>
  </si>
  <si>
    <t xml:space="preserve">cap hpi's gold book forecasts for new cars against its own black book values when due, as printed in 23 quarterly editions of its new-car Future car market overview (March 2021 to September 2026), beside no change on the ONS index over the same months; UK. cap hpi's miss includes the curve (a car's value at 36 months and 60,000 miles, or 12 and 20,000) and its truth is a guide value, not sale prices. Overlapping windows over one cycle: descriptive, not a test.</t>
  </si>
  <si>
    <t xml:space="preserve">x7_caphpi_nochange_rmse_36m</t>
  </si>
  <si>
    <t xml:space="preserve">No change on the ONS index over the same 36-month windows: RMSE</t>
  </si>
  <si>
    <t xml:space="preserve">x7_caphpi_rmse_12m</t>
  </si>
  <si>
    <t xml:space="preserve">cap hpi's own 12-month new-car forecast misses: RMSE, 23 quarterly results (UK)</t>
  </si>
  <si>
    <t xml:space="preserve">x7_caphpi_nochange_rmse_12m</t>
  </si>
  <si>
    <t xml:space="preserve">No change on the ONS index over the same 12-month windows: RMSE</t>
  </si>
  <si>
    <t xml:space="preserve">x7_caphpi_closer_rose_36m</t>
  </si>
  <si>
    <t xml:space="preserve">36-month windows in which cap hpi's miss was smaller than no change's, of those in which the level rose</t>
  </si>
  <si>
    <t xml:space="preserve">windows</t>
  </si>
  <si>
    <t xml:space="preserve">x7_caphpi_closer_fell_36m</t>
  </si>
  <si>
    <t xml:space="preserve">The same, of those in which the level fell</t>
  </si>
  <si>
    <t xml:space="preserve">x7_caphpi_intercept_36m</t>
  </si>
  <si>
    <t xml:space="preserve">cap hpi's 36-month miss when the level is flat (a line fitted on no change's miss)</t>
  </si>
  <si>
    <t xml:space="preserve">x7_caphpi_slope_36m</t>
  </si>
  <si>
    <t xml:space="preserve">Points of cap hpi's 36-month miss per point of no change's miss</t>
  </si>
  <si>
    <t xml:space="preserve">x7_ald_slope_36m</t>
  </si>
  <si>
    <t xml:space="preserve">ALD's resale margin per point of the index move over a 36-month contract (5-market mean, 2018-2022)</t>
  </si>
  <si>
    <t xml:space="preserve">analysis/level_professional_report.md</t>
  </si>
  <si>
    <t xml:space="preserve">ALD's realised resale margin (proceeds over written-down cost, less 1; 2022 against the original residual), clean years 2018-2022, against the 5-market mean index move over the contract; few points (years with data in the report). Above 1: no foresight, and the prices a lessor met moved more than the index.</t>
  </si>
  <si>
    <t xml:space="preserve">x7_ald_slope_48m</t>
  </si>
  <si>
    <t xml:space="preserve">The same over a 48-month contract</t>
  </si>
  <si>
    <t xml:space="preserve">caphpi_accuracy_target_pct</t>
  </si>
  <si>
    <t xml:space="preserve">cap hpi's forecast accuracy target, agreed with customers (plus or minus)</t>
  </si>
  <si>
    <t xml:space="preserve">cap hpi, Future new car market overview, September 2021, section 3 Historic Forecast Accuracy</t>
  </si>
  <si>
    <t xml:space="preserve">https://www.cap-hpi.com/wp-content/uploads/2024/06/20210825161947_CarNew_September2021.pdf</t>
  </si>
  <si>
    <t xml:space="preserve">2021-09</t>
  </si>
  <si>
    <t xml:space="preserve">cap hpi's own statement: accuracy 'generally' within it, though petrol missed it in 2017-18 and 2021 hit it 'severely'. Its own averages since measurement began are far outside it at 36 months (level_guide_report.md).</t>
  </si>
  <si>
    <t xml:space="preserve">kba_wohnmobile_2019</t>
  </si>
  <si>
    <t xml:space="preserve">German new registrations of motorhomes, 2019 (inside KBA's passenger-car total)</t>
  </si>
  <si>
    <t xml:space="preserve">KBA, Neuzulassungen von Personenkraftwagen im Jahr 2019 nach Segmenten (segment Wohnmobile)</t>
  </si>
  <si>
    <t xml:space="preserve">https://www.kba.de/DE/Statistik/Fahrzeuge/Neuzulassungen/Segmente/2019/2019_segmente_uebersicht.html</t>
  </si>
  <si>
    <t xml:space="preserve">KBA counts motorhomes inside its passenger-car totals, under the base vehicle's make. The EU CO2 register excludes them as special-purpose vehicles, so X8's German cross-check removes them from KBA's figures. Peugeot Boxer and Opel Movano motorhomes are not listed separately.</t>
  </si>
  <si>
    <t xml:space="preserve">Context: X8 (the merger's diversification dividend)</t>
  </si>
  <si>
    <t xml:space="preserve">kba_wohnmobile_fiat_ducato_2019</t>
  </si>
  <si>
    <t xml:space="preserve">German new motorhomes on the Fiat Ducato, 2019</t>
  </si>
  <si>
    <t xml:space="preserve">kba_wohnmobile_citroen_jumper_2019</t>
  </si>
  <si>
    <t xml:space="preserve">German new motorhomes on the Citroen Jumper, 2019</t>
  </si>
  <si>
    <t xml:space="preserve">x8_eff_markets_psa</t>
  </si>
  <si>
    <t xml:space="preserve">PSA's legacy book: effective number of markets (one over the Herfindahl index of its country shares, 2019)</t>
  </si>
  <si>
    <t xml:space="preserve">markets</t>
  </si>
  <si>
    <t xml:space="preserve">New passenger cars registered in 2019 by Member State and make, from the EU CO2 monitoring register (EEA DISCODATA, final data, duplicates removed); PSA includes Opel and Vauxhall. Registrations stand in for where each book's residuals sit; no finance arm publishes its residual exposure by country. Checked against RDW (Netherlands) and KBA less motorhomes (Germany).</t>
  </si>
  <si>
    <t xml:space="preserve">x8_eff_markets_fca</t>
  </si>
  <si>
    <t xml:space="preserve">FCA's legacy book: effective number of markets (2019)</t>
  </si>
  <si>
    <t xml:space="preserve">x8_eff_markets_merged</t>
  </si>
  <si>
    <t xml:space="preserve">The merged book: effective number of markets (2019)</t>
  </si>
  <si>
    <t xml:space="preserve">x8_fca_italy_share</t>
  </si>
  <si>
    <t xml:space="preserve">FCA's legacy book: share of its 2019 registrations in Italy</t>
  </si>
  <si>
    <t xml:space="preserve">x8_psa_france_share</t>
  </si>
  <si>
    <t xml:space="preserve">PSA's legacy book: share of its 2019 registrations in France</t>
  </si>
  <si>
    <t xml:space="preserve">x8_div_p10_1y_pct</t>
  </si>
  <si>
    <t xml:space="preserve">The merger's dividend on the one-in-ten-year one-year fall, % of the books apart</t>
  </si>
  <si>
    <t xml:space="preserve">The book's move is its markets' moves weighted by 2019 registrations, over X6's 26 Eurostat markets and the UK (ONS), December 2016 to December 2025, local currency; apart is PSA's and FCA's figures weighted by their shares of the merged cars. The expected loss cannot move (losses add); only the tail can. One window with one rise and one fall; overlapping windows; the index understates the level a lessor meets (X7). Sensitivities in the report (without France, France as EA20, Belgium, euros, 2018 weights).</t>
  </si>
  <si>
    <t xml:space="preserve">x8_div_worst_1y_pct</t>
  </si>
  <si>
    <t xml:space="preserve">The merger's dividend on the worst one-year fall, % of the books apart</t>
  </si>
  <si>
    <t xml:space="preserve">x8_div_36m_tail_pct</t>
  </si>
  <si>
    <t xml:space="preserve">The merger's dividend on the worst tenth of 36-month losses (median strike), % of the books apart</t>
  </si>
  <si>
    <t xml:space="preserve">x8_div_48m_tail_pct</t>
  </si>
  <si>
    <t xml:space="preserve">The merger's dividend on the worst tenth of 48-month losses (median strike), % of the books apart</t>
  </si>
  <si>
    <t xml:space="preserve">x8_books_corr_1y</t>
  </si>
  <si>
    <t xml:space="preserve">Correlation of the two legacy books' one-year level moves</t>
  </si>
  <si>
    <t xml:space="preserve">correlation</t>
  </si>
  <si>
    <t xml:space="preserve">x8_coincide_48m</t>
  </si>
  <si>
    <t xml:space="preserve">Share of the two books' worst-tenth 48-month windows that coincide</t>
  </si>
  <si>
    <t xml:space="preserve">x8_merged_p10_1y</t>
  </si>
  <si>
    <t xml:space="preserve">The merged book's one-in-ten-year one-year level fall, spread as its 2019 registrations</t>
  </si>
  <si>
    <t xml:space="preserve">x8_merged_worst_1y</t>
  </si>
  <si>
    <t xml:space="preserve">The merged book's worst one-year level fall</t>
  </si>
  <si>
    <t xml:space="preserve">x8_core_tail_pl_share</t>
  </si>
  <si>
    <t xml:space="preserve">Share of the workbook's pooled worst-tenth one-year windows (core markets) that are Poland's</t>
  </si>
  <si>
    <t xml:space="preserve">The windows behind level_1y_p10_core: the 7 core markets' one-year moves, pooled, December 2016 to December 2025. Poland is a few % of the merged book (x8 part 1). The book's move is its markets' moves weighted by 2019 registrations, over X6's 26 Eurostat markets and the UK (ONS), December 2016 to December 2025, local currency; apart is PSA's and FCA's figures weighted by their shares of the merged cars. The expected loss cannot move (losses add); only the tail can. One window with one rise and one fall; overlapping windows; the index understates the level a lessor meets (X7). Sensitivities in the report (without France, France as EA20, Belgium, euros, 2018 weights).</t>
  </si>
  <si>
    <t xml:space="preserve">x8_div_eur_base</t>
  </si>
  <si>
    <t xml:space="preserve">The merger's dividend on leak 3's base: each legacy book's own one-in-ten-year fall against the merged book's (main run)</t>
  </si>
  <si>
    <t xml:space="preserve">On leak 3's book, the buy-back payables due within a year (buyback_payables_current_eur_m), split by 2019 registrations, a proxy for the buy-back book's own country mix. Context only. The book's move is its markets' moves weighted by 2019 registrations, over X6's 26 Eurostat markets and the UK (ONS), December 2016 to December 2025, local currency; apart is PSA's and FCA's figures weighted by their shares of the merged cars. The expected loss cannot move (losses add); only the tail can. One window with one rise and one fall; overlapping windows; the index understates the level a lessor meets (X7). Sensitivities in the report (without France, France as EA20, Belgium, euros, 2018 weights).</t>
  </si>
  <si>
    <t xml:space="preserve">x8_div_eur_base_low</t>
  </si>
  <si>
    <t xml:space="preserve">The same, lowest across the sensitivities (negative: a p10 is not always subadditive)</t>
  </si>
  <si>
    <t xml:space="preserve">On leak 3's book, the buy-back payables due within a year (buyback_payables_current_eur_m), split by 2019 registrations, a proxy for the buy-back book's own country mix. Context only: never a value-at-risk input. The book's move is its markets' moves weighted by 2019 registrations, over X6's 26 Eurostat markets and the UK (ONS), December 2016 to December 2025, local currency; apart is PSA's and FCA's figures weighted by their shares of the merged cars. The expected loss cannot move (losses add); only the tail can. One window with one rise and one fall; overlapping windows; the index understates the level a lessor meets (X7). Sensitivities in the report (without France, France as EA20, Belgium, euros, 2018 weights).</t>
  </si>
  <si>
    <t xml:space="preserve">x8_div_eur_base_high</t>
  </si>
  <si>
    <t xml:space="preserve">The same, highest across the sensitivities</t>
  </si>
  <si>
    <t xml:space="preserve">x8_div_eur_stress</t>
  </si>
  <si>
    <t xml:space="preserve">The merger's dividend on each book's own worst year, on leak 3's book (main run)</t>
  </si>
  <si>
    <t xml:space="preserve">x8_leak3_base_book_eur</t>
  </si>
  <si>
    <t xml:space="preserve">Leak 3's base level shock with France's own index (the workbook carries France by the euro-area index)</t>
  </si>
  <si>
    <t xml:space="preserve">x8_leak3_base_book_nofr_eur</t>
  </si>
  <si>
    <t xml:space="preserve">Leak 3's base level shock without France</t>
  </si>
  <si>
    <t xml:space="preserve">x8_leak3_stress_book_eur</t>
  </si>
  <si>
    <t xml:space="preserve">The merged book's own worst one-year fall on leak 3's book (not the stress: its history holds no Europe-wide crash)</t>
  </si>
  <si>
    <t xml:space="preserve">x8_div_contract_48m</t>
  </si>
  <si>
    <t xml:space="preserve">The merger's dividend per 48-month contract in the worst tenth of windows, X6's group car (median strike)</t>
  </si>
  <si>
    <t xml:space="preserve">x8_div_contract_36m</t>
  </si>
  <si>
    <t xml:space="preserve">The same per 36-month contract</t>
  </si>
  <si>
    <t xml:space="preserve">x9_pl_ev_slump_gap</t>
  </si>
  <si>
    <t xml:space="preserve">Poland: the used-EV level less petrol's, May 2022 to summer 2023, same model and age</t>
  </si>
  <si>
    <t xml:space="preserve">analysis/ev_level_report.md</t>
  </si>
  <si>
    <t xml:space="preserve">Asking prices, Poland (four scrapes of the national classifieds, 2021-2023), PLN; the same make, model, fuel and whole year of age at each scrape, log mileage per fuel; make-model cluster bootstrap. Only the EV-less-petrol gap is used: the advert indices do not track the official index in level (later vintages, list-price inflation), and what is common to fuels cancels in the gap; newer EVs' longer range works against finding a fall. One slump, one market; not a distribution of EV shocks.</t>
  </si>
  <si>
    <t xml:space="preserve">x9_pl_ev_slump_gap_lo</t>
  </si>
  <si>
    <t xml:space="preserve">Its 95% range, low</t>
  </si>
  <si>
    <t xml:space="preserve">x9_pl_ev_slump_gap_hi</t>
  </si>
  <si>
    <t xml:space="preserve">Its 95% range, high</t>
  </si>
  <si>
    <t xml:space="preserve">x9_pl_ev_slump_gap_notesla</t>
  </si>
  <si>
    <t xml:space="preserve">The same without Tesla</t>
  </si>
  <si>
    <t xml:space="preserve">x9_pl_hybrid_slump_gap</t>
  </si>
  <si>
    <t xml:space="preserve">Poland: hybrids less petrol over the same months (a non-EV group, for scale)</t>
  </si>
  <si>
    <t xml:space="preserve">x9_curve_gap_pt</t>
  </si>
  <si>
    <t xml:space="preserve">EV depreciation a year less petrol's, Portugal 2023-24 adverts</t>
  </si>
  <si>
    <t xml:space="preserve">points a year</t>
  </si>
  <si>
    <t xml:space="preserve">Asking prices; one cross-section per source; a fixed effect per make, model and fuel, age and log mileage per fuel. A cross-section reads vintage list prices as depreciation: the two sources where EVs are steeper were scraped after the 2023 fall. Positive: EVs lose value faster a year.</t>
  </si>
  <si>
    <t xml:space="preserve">x9_curve_gap_nl</t>
  </si>
  <si>
    <t xml:space="preserve">The same, Netherlands November 2025</t>
  </si>
  <si>
    <t xml:space="preserve">x9_curve_gap_de</t>
  </si>
  <si>
    <t xml:space="preserve">The same, Germany June 2023</t>
  </si>
  <si>
    <t xml:space="preserve">x9_curve_gap_se</t>
  </si>
  <si>
    <t xml:space="preserve">The same, Sweden 2021-22</t>
  </si>
  <si>
    <t xml:space="preserve">x9_us_bev_p10_1y</t>
  </si>
  <si>
    <t xml:space="preserve">US: used battery-EV level, one-year move, p10</t>
  </si>
  <si>
    <t xml:space="preserve">analysis/ev_level_us_report.md</t>
  </si>
  <si>
    <t xml:space="preserve">US DATA. Washington State used EV and plug-in title transfers, 2017-2026 (self-reported prices), index per make, model and year of age, 3-month average; market = US CPI used cars and trucks (CUSR0000SETA02). US incentives and Tesla's weight differ from Europe's; one EV boom and bust. A scale, not a European figure; the European evidence is x9_pl_ev_slump_gap.</t>
  </si>
  <si>
    <t xml:space="preserve">x9_us_market_p10_1y</t>
  </si>
  <si>
    <t xml:space="preserve">US: whole used market (CPI), one-year move, p10, same months</t>
  </si>
  <si>
    <t xml:space="preserve">x9_us_bev_notesla_p10_1y</t>
  </si>
  <si>
    <t xml:space="preserve">US: battery EVs without Tesla, one-year move, p10</t>
  </si>
  <si>
    <t xml:space="preserve">x9_us_phev_p10_1y</t>
  </si>
  <si>
    <t xml:space="preserve">US: plug-in hybrids, one-year move, p10</t>
  </si>
  <si>
    <t xml:space="preserve">x9_us_bev_peak_fall</t>
  </si>
  <si>
    <t xml:space="preserve">US: battery-EV level, largest fall from a peak</t>
  </si>
  <si>
    <t xml:space="preserve">x9_us_ratio_p10_1y</t>
  </si>
  <si>
    <t xml:space="preserve">US: battery EVs' one-year p10 fall against the market's (ratio)</t>
  </si>
  <si>
    <t xml:space="preserve">x9_us_ratio_p10_1y_lo</t>
  </si>
  <si>
    <t xml:space="preserve">Its 90% range, low</t>
  </si>
  <si>
    <t xml:space="preserve">x9_us_ratio_p10_1y_hi</t>
  </si>
  <si>
    <t xml:space="preserve">Its 90% range, high</t>
  </si>
  <si>
    <t xml:space="preserve">x9_us_ratio_48m_median</t>
  </si>
  <si>
    <t xml:space="preserve">US: battery EVs' 48-month expected shortfall against the market's, median strike (X6's)</t>
  </si>
  <si>
    <t xml:space="preserve">x9_us_ratio_48m_median_lo</t>
  </si>
  <si>
    <t xml:space="preserve">x9_us_ratio_48m_median_hi</t>
  </si>
  <si>
    <t xml:space="preserve">x9_group_bev_share_2024</t>
  </si>
  <si>
    <t xml:space="preserve">The group's battery-EV share of its EU registrations, 2024 (final)</t>
  </si>
  <si>
    <t xml:space="preserve">analysis/ev_exposure_report.md</t>
  </si>
  <si>
    <t xml:space="preserve">New-car registrations, EU CO2 monitoring register (EEA; EU, Norway, Iceland, so no UK from 2021), the group's legacy makes (X8); battery EV = fuel mode E, plug-in = P. A proxy for the books: the buy-back book's buyers and mix are not published (most of it is due within a year, a rental fleet's term).</t>
  </si>
  <si>
    <t xml:space="preserve">x9_group_phev_share_2024</t>
  </si>
  <si>
    <t xml:space="preserve">The group's plug-in hybrid share, 2024</t>
  </si>
  <si>
    <t xml:space="preserve">x9_market_bev_share_2024</t>
  </si>
  <si>
    <t xml:space="preserve">The whole market's battery-EV share, 2024</t>
  </si>
  <si>
    <t xml:space="preserve">x9_group_bev_share_2025p</t>
  </si>
  <si>
    <t xml:space="preserve">The group's battery-EV share, 2025 (provisional)</t>
  </si>
  <si>
    <t xml:space="preserve">x9_ev_cov_asbuilt</t>
  </si>
  <si>
    <t xml:space="preserve">Battery EVs: coverage of the value engine's 80% band, as built, six markets</t>
  </si>
  <si>
    <t xml:space="preserve">analysis/ev_bands_report.md</t>
  </si>
  <si>
    <t xml:space="preserve">Held-out asking prices in six European markets (GB, NL, DE, SE, PL, PT), priced by the value engine fitted on the other half of each market's cars, models with 30 training cars; today's value only, not the level at return. Battery EV against petrol and diesel.</t>
  </si>
  <si>
    <t xml:space="preserve">x9_ice_cov_asbuilt</t>
  </si>
  <si>
    <t xml:space="preserve">Petrol and diesel cars: the same</t>
  </si>
  <si>
    <t xml:space="preserve">x9_ev_typical_err</t>
  </si>
  <si>
    <t xml:space="preserve">Battery EVs: the value engine's typical error on held-out cars</t>
  </si>
  <si>
    <t xml:space="preserve">x9_ice_typical_err</t>
  </si>
  <si>
    <t xml:space="preserve">x9_ev_excess_err</t>
  </si>
  <si>
    <t xml:space="preserve">Battery EVs' excess typical error over petrol and diesel: the ceiling on what battery health could explain</t>
  </si>
  <si>
    <t xml:space="preserve">x15_cov_all_asbuilt</t>
  </si>
  <si>
    <t xml:space="preserve">The value engine's 80% band: coverage of held-out cars, 8 markets, as built</t>
  </si>
  <si>
    <t xml:space="preserve">analysis/conformal_bands_report.md</t>
  </si>
  <si>
    <t xml:space="preserve">The value engine's own 80% band on held-out cars of 8 markets (GB, PL, SE, DE, PT, NL, FR, AT; models with 30+ training cars), calibrated by split conformal prediction on a separate held-out half. Advertised prices. The guarantee needs exchangeability: it fixes today's band, not the level three years out (engine_check, X7).</t>
  </si>
  <si>
    <t xml:space="preserve">Context: X15 (quick methods upgrades)</t>
  </si>
  <si>
    <t xml:space="preserve">x15_cov_old_asbuilt</t>
  </si>
  <si>
    <t xml:space="preserve">The same, cars 12 years and older, as built</t>
  </si>
  <si>
    <t xml:space="preserve">x15_cov_old_calibrated</t>
  </si>
  <si>
    <t xml:space="preserve">The same, cars 12 years and older, calibrated per market and age band</t>
  </si>
  <si>
    <t xml:space="preserve">x15_slices_below_asbuilt</t>
  </si>
  <si>
    <t xml:space="preserve">Market-and-age slices with coverage significantly below 80% (one-sided 5%), as built, of 40</t>
  </si>
  <si>
    <t xml:space="preserve">slices</t>
  </si>
  <si>
    <t xml:space="preserve">x15_slices_below_calibrated</t>
  </si>
  <si>
    <t xml:space="preserve">The same, calibrated per market and age band, of 40</t>
  </si>
  <si>
    <t xml:space="preserve">x15_pilot_customers_per_arm</t>
  </si>
  <si>
    <t xml:space="preserve">Customers per arm to detect the Phase 2 gate if customers could be randomised individually</t>
  </si>
  <si>
    <t xml:space="preserve">customers</t>
  </si>
  <si>
    <t xml:space="preserve">analysis/pilot_size_report.md</t>
  </si>
  <si>
    <t xml:space="preserve">A dealer-randomised pilot (skeptic A8's repair) sized to the programme's own Phase 2 gate (gate_uplift_pp at gate_uplift_significance_pct, TARGET rows): customers per arm times the design effect 1 + (m - 1) x ICC (CONSORT cluster extension). Base retention 50%, the largest size any base rate needs; power 80%. No automotive ICC is published; the grid spans the trial literature (consort_icc_*, jnci_icc_*).</t>
  </si>
  <si>
    <t xml:space="preserve">x15_pilot_dealers_icc001</t>
  </si>
  <si>
    <t xml:space="preserve">Dealers per arm for the Phase 2 gate, 100 customers per dealer, ICC 0.01</t>
  </si>
  <si>
    <t xml:space="preserve">dealers</t>
  </si>
  <si>
    <t xml:space="preserve">x15_pilot_dealers_icc005</t>
  </si>
  <si>
    <t xml:space="preserve">Dealers per arm for the Phase 2 gate, 100 customers per dealer, ICC 0.05</t>
  </si>
  <si>
    <t xml:space="preserve">x15_pilot_dealers_icc01</t>
  </si>
  <si>
    <t xml:space="preserve">Dealers per arm for the Phase 2 gate, 100 customers per dealer, ICC 0.10</t>
  </si>
  <si>
    <t xml:space="preserve">x15_pilot_mde_100_icc001</t>
  </si>
  <si>
    <t xml:space="preserve">Smallest uplift 100 dealers per arm (100 customers each) can detect, ICC 0.01</t>
  </si>
  <si>
    <t xml:space="preserve">x15_pilot_mde_100_icc005</t>
  </si>
  <si>
    <t xml:space="preserve">The same, ICC 0.05</t>
  </si>
  <si>
    <t xml:space="preserve">x15_pilot_mde_100_icc01</t>
  </si>
  <si>
    <t xml:space="preserve">The same, ICC 0.10</t>
  </si>
  <si>
    <t xml:space="preserve">x15_pilot_blocked_customers</t>
  </si>
  <si>
    <t xml:space="preserve">Customers per arm for the Phase 2 gate, the group's flag randomised within dealers, ICC 0.10</t>
  </si>
  <si>
    <t xml:space="preserve">The Phase 2 gate (gate_uplift_pp at gate_uplift_significance_pct, TARGET rows) tested by randomising the group's own flag customer by customer within each dealer (the design chosen 26 September): each dealer a block, so the dealer effect cancels; dealers contact whom they like in both halves, so the test measures what the programme adds over business as usual. Base retention 50% (the largest size), power 80%, ICC 0.1. Spillover to unflagged customers biases toward zero; a few wholly unflagged dealers measure it (two-stage randomised saturation, Baird, Bohren, McIntosh and Ozler, REStat 2018). Checked by simulation.</t>
  </si>
  <si>
    <t xml:space="preserve">x15_pilot_blocked_spill25_customers</t>
  </si>
  <si>
    <t xml:space="preserve">The same, with a quarter of the uplift spilling over to unflagged customers</t>
  </si>
  <si>
    <t xml:space="preserve">x15_pilot_blocked_share_pct</t>
  </si>
  <si>
    <t xml:space="preserve">Both arms of the within-dealer pilot as a share of one year's financed EU sales</t>
  </si>
  <si>
    <t xml:space="preserve">The Phase 2 gate (gate_uplift_pp at gate_uplift_significance_pct, TARGET rows) tested by randomising the group's own flag customer by customer within each dealer (the design chosen 26 September): each dealer a block, so the dealer effect cancels; dealers contact whom they like in both halves, so the test measures what the programme adds over business as usual. Base retention 50% (the largest size), power 80%, ICC 0.1. Spillover to unflagged customers biases toward zero; a few wholly unflagged dealers measure it (two-stage randomised saturation, Baird, Bohren, McIntosh and Ozler, REStat 2018). Checked by simulation. Rests on sfse_eu_nv_contracts_2025, a disclosed count (X14); the pilot's markets and window hold a fraction of it, sized per market in X14 part 3.</t>
  </si>
  <si>
    <t xml:space="preserve">x14_pilot_share_fr</t>
  </si>
  <si>
    <t xml:space="preserve">France: both arms of the Phase 2 pilot as a share of a year's financed contracts</t>
  </si>
  <si>
    <t xml:space="preserve">analysis/pilot_markets_report.md</t>
  </si>
  <si>
    <t xml:space="preserve">The chosen Phase 2 pilot (the group's flag randomised within dealers; X15's customers per arm at power 80%, base retention 50%, ICC 0.1) beside a year of the market's SFSE new-car contracts, which stand in for a year of its contract ends. France's count is disclosed (sfse_contracts_fr_2025). Every candidate market's contracts sit in a joint venture with a partner bank; whether a customer-level randomised flag is allowed under its contracts and privacy terms is not public (a Phase 1 task).</t>
  </si>
  <si>
    <t xml:space="preserve">x14_pilot_share_fr_spill</t>
  </si>
  <si>
    <t xml:space="preserve">The same with a quarter of the uplift spilling over</t>
  </si>
  <si>
    <t xml:space="preserve">x14_pilot_share_at_spill</t>
  </si>
  <si>
    <t xml:space="preserve">Austria: both arms with spillover as a share of a year's financed contracts</t>
  </si>
  <si>
    <t xml:space="preserve">The chosen Phase 2 pilot (the group's flag randomised within dealers; X15's customers per arm at power 80%, base retention 50%, ICC 0.1) beside a year of the market's SFSE new-car contracts, which stand in for a year of its contract ends. Austria's count is disclosed; it rose 60% in 2025, so the contract ends coming up are fewer. Every candidate market's contracts sit in a joint venture with a partner bank; whether a customer-level randomised flag is allowed under its contracts and privacy terms is not public (a Phase 1 task).</t>
  </si>
  <si>
    <t xml:space="preserve">x14_pilot_share_be_lu_spill</t>
  </si>
  <si>
    <t xml:space="preserve">Belgium-Luxembourg: both arms with spillover as a share of a year's financed contracts</t>
  </si>
  <si>
    <t xml:space="preserve">The chosen Phase 2 pilot (the group's flag randomised within dealers; X15's customers per arm at power 80%, base retention 50%, ICC 0.1) beside a year of the market's SFSE new-car contracts, which stand in for a year of its contract ends. The count is disclosed. Every candidate market's contracts sit in a joint venture with a partner bank; whether a customer-level randomised flag is allowed under its contracts and privacy terms is not public (a Phase 1 task).</t>
  </si>
  <si>
    <t xml:space="preserve">x14_pilot_markets_fit</t>
  </si>
  <si>
    <t xml:space="preserve">Markets where both arms with spillover take half a year's financed contracts or less (of seven)</t>
  </si>
  <si>
    <t xml:space="preserve">The chosen Phase 2 pilot (the group's flag randomised within dealers; X15's customers per arm at power 80%, base retention 50%, ICC 0.1) beside a year of the market's SFSE new-car contracts, which stand in for a year of its contract ends. France on its disclosed count; Italy and Germany on rate x car registrations, which leaves vans out and understates them. The UK, the Netherlands and Portugal are not assessed. Every candidate market's contracts sit in a joint venture with a partner bank; whether a customer-level randomised flag is allowed under its contracts and privacy terms is not public (a Phase 1 task).</t>
  </si>
  <si>
    <t xml:space="preserve">consort_icc_often_below</t>
  </si>
  <si>
    <t xml:space="preserve">Intracluster correlation in cluster randomised trials: 'often &lt;0.05' (CONSORT)</t>
  </si>
  <si>
    <t xml:space="preserve">ICC</t>
  </si>
  <si>
    <t xml:space="preserve">Campbell, Piaggio, Elbourne &amp; Altman, Consort 2010 statement: extension to cluster randomised trials, BMJ 2012;345:e5661 (design effect 1+(m-1)rho)</t>
  </si>
  <si>
    <t xml:space="preserve">https://aura.abdn.ac.uk/handle/2164/2742</t>
  </si>
  <si>
    <t xml:space="preserve">2012-09-04</t>
  </si>
  <si>
    <t xml:space="preserve">A typical value in health trials, not a bound; provider-dependent outcomes run higher (jnci_icc_provider_*).</t>
  </si>
  <si>
    <t xml:space="preserve">jnci_icc_provider_low</t>
  </si>
  <si>
    <t xml:space="preserve">ICC of provider-dependent (documentation) outcomes, NCORP cluster trials: low end</t>
  </si>
  <si>
    <t xml:space="preserve">Snavely et al., Intracluster correlation coefficients from cluster randomized trials conducted within the NCI Community Oncology Research Program, JNCI Monographs 2025(68):65</t>
  </si>
  <si>
    <t xml:space="preserve">https://academic.oup.com/jncimono/article/2025/68/65/8030354</t>
  </si>
  <si>
    <t xml:space="preserve">2025-03-01</t>
  </si>
  <si>
    <t xml:space="preserve">Nine health-care trials; ICCs from about 0 to 0.50 overall. A dealer-run retention outcome is provider-dependent, so X15 part 2's grid runs to 0.20.</t>
  </si>
  <si>
    <t xml:space="preserve">jnci_icc_provider_high</t>
  </si>
  <si>
    <t xml:space="preserve">The same: high end</t>
  </si>
  <si>
    <t xml:space="preserve">Snavely et al., JNCI Monographs 2025(68):65 (as above)</t>
  </si>
  <si>
    <t xml:space="preserve">As jnci_icc_provider_low.</t>
  </si>
  <si>
    <t xml:space="preserve">x15_uplift_gap_hillstrom</t>
  </si>
  <si>
    <t xml:space="preserve">Hillstrom, corrected: best uplift model against the response model, top decile</t>
  </si>
  <si>
    <t xml:space="preserve">analysis/uplift_second_report.md</t>
  </si>
  <si>
    <t xml:space="preserve">The uplift engine's machine (same gradient boosting settings, a held-out half, top-decile uplift, 400 bootstrap draws), corrected for unequal arms: class transformation and scoring weighted by the inverse of a cross-fitted propensity. Hillstrom e-mail (the engine's trial, clean), Criteo ads v2.1 (20% sample, nearly balanced: its pooled tests were subsampled to one ratio), Lenta SMS (fails the randomisation test; not evidence). Not cars; the question is methodological. Adjustment assumes no hidden selection.</t>
  </si>
  <si>
    <t xml:space="preserve">x15_uplift_gap_criteo</t>
  </si>
  <si>
    <t xml:space="preserve">Criteo ads (20% sample), adjusted: best uplift model against the response model, top decile</t>
  </si>
  <si>
    <t xml:space="preserve">x15_uplift_gap_criteo_lo</t>
  </si>
  <si>
    <t xml:space="preserve">x15_uplift_gap_criteo_hi</t>
  </si>
  <si>
    <t xml:space="preserve">x15_uplift_gap_lenta</t>
  </si>
  <si>
    <t xml:space="preserve">Lenta SMS, adjusted (not evidence: fails the randomisation test): best uplift model against the response model</t>
  </si>
  <si>
    <t xml:space="preserve">x15_auc_hillstrom</t>
  </si>
  <si>
    <t xml:space="preserve">Classifier two-sample test: AUC predicting treatment from the features, Hillstrom (0.5 = balanced)</t>
  </si>
  <si>
    <t xml:space="preserve">x15_auc_criteo</t>
  </si>
  <si>
    <t xml:space="preserve">The same, Criteo ads (20% sample)</t>
  </si>
  <si>
    <t xml:space="preserve">x15_auc_lenta</t>
  </si>
  <si>
    <t xml:space="preserve">The same, Lenta SMS</t>
  </si>
  <si>
    <t xml:space="preserve">x11_fi_exit_twice_10_20</t>
  </si>
  <si>
    <t xml:space="preserve">Finland: leaving traffic use per doubling of cohort mileage, ages 10-20</t>
  </si>
  <si>
    <t xml:space="preserve">analysis/fi_exit_report.md</t>
  </si>
  <si>
    <t xml:space="preserve">Traficom open vehicle file (CC BY 4.0), snapshots of 30 June 2024, 2025 and 2026 (the first two from Internet Archive captures, SHA-1 checked). Passenger cars followed on a key of fixed attributes plus colour, unique in each file; identical cars registered on one day are dropped. Leaving traffic use means absent from the next snapshot: scrapped, exported or laid up, with no reason per car. Main sample: cars whose reading changed in the year before the baseline (inspected then), whole years since first use, the UK's km band, the UK script's own decile and elasticity functions. Association, not a causal effect.</t>
  </si>
  <si>
    <t xml:space="preserve">Context: X11 (a second odometer register)</t>
  </si>
  <si>
    <t xml:space="preserve">x11_uk_exit_twice_10_20</t>
  </si>
  <si>
    <t xml:space="preserve">UK: leaving the tested fleet per doubling of cohort mileage, ages 10-20 (refitted)</t>
  </si>
  <si>
    <t xml:space="preserve">UK DVSA anonymised MOT extracts (OGL v3.0): readiness_mileage.py part 1's saved age-by-decile cells (cars tested in March 2024, not tested again by July 2025), refitted on ages 10-20 with its own elasticity function; the full refit reproduces its saved elasticity exactly. Not tested again is a proxy for leaving the fleet.</t>
  </si>
  <si>
    <t xml:space="preserve">x11_fi_exit_elast_10_20</t>
  </si>
  <si>
    <t xml:space="preserve">Finland: its elasticity, ages 10-20</t>
  </si>
  <si>
    <t xml:space="preserve">elasticity</t>
  </si>
  <si>
    <t xml:space="preserve">x11_uk_exit_elast_10_20</t>
  </si>
  <si>
    <t xml:space="preserve">UK: its elasticity, ages 10-20 (refitted)</t>
  </si>
  <si>
    <t xml:space="preserve">x11_fi_uk_gap_se</t>
  </si>
  <si>
    <t xml:space="preserve">Finland less UK, ages 10-20, in standard errors</t>
  </si>
  <si>
    <t xml:space="preserve">standard errors</t>
  </si>
  <si>
    <t xml:space="preserve">Traficom open vehicle file (CC BY 4.0), snapshots of 30 June 2024, 2025 and 2026 (the first two from Internet Archive captures, SHA-1 checked). Passenger cars followed on a key of fixed attributes plus colour, unique in each file; identical cars registered on one day are dropped. Leaving traffic use means absent from the next snapshot: scrapped, exported or laid up, with no reason per car. Main sample: cars whose reading changed in the year before the baseline (inspected then), whole years since first use, the UK's km band, the UK script's own decile and elasticity functions. Association, not a causal effect. The two standard errors combined in quadrature.</t>
  </si>
  <si>
    <t xml:space="preserve">x11_fi_exit_twice_main</t>
  </si>
  <si>
    <t xml:space="preserve">Finland: leaving traffic use per doubling of cohort mileage, ages 4-20</t>
  </si>
  <si>
    <t xml:space="preserve">Traficom open vehicle file (CC BY 4.0), snapshots of 30 June 2024, 2025 and 2026 (the first two from Internet Archive captures, SHA-1 checked). Passenger cars followed on a key of fixed attributes plus colour, unique in each file; identical cars registered on one day are dropped. Leaving traffic use means absent from the next snapshot: scrapped, exported or laid up, with no reason per car. Main sample: cars whose reading changed in the year before the baseline (inspected then), whole years since first use, the UK's km band, the UK script's own decile and elasticity functions. Association, not a causal effect. At 4-9 a fresh Finnish car is on a two-year cycle and not due in the follow-up year, unlike a UK car: compare the UK on ages 10-20 only.</t>
  </si>
  <si>
    <t xml:space="preserve">x11_fi_exit_rate_main</t>
  </si>
  <si>
    <t xml:space="preserve">Finland: share of the main sample gone a year later</t>
  </si>
  <si>
    <t xml:space="preserve">x11_fi_exit_twice_stale</t>
  </si>
  <si>
    <t xml:space="preserve">Finland: the same with every reading, fresh or not, ages 4-20</t>
  </si>
  <si>
    <t xml:space="preserve">Traficom open vehicle file (CC BY 4.0), snapshots of 30 June 2024, 2025 and 2026 (the first two from Internet Archive captures, SHA-1 checked). Passenger cars followed on a key of fixed attributes plus colour, unique in each file; identical cars registered on one day are dropped. Leaving traffic use means absent from the next snapshot: scrapped, exported or laid up, with no reason per car. Main sample: cars whose reading changed in the year before the baseline (inspected then), whole years since first use, the UK's km band, the UK script's own decile and elasticity functions. Association, not a causal effect. Stale readings rank a car below its true place in the cohort, which flattens the gradient.</t>
  </si>
  <si>
    <t xml:space="preserve">x11_fi_exit_twice_permanent</t>
  </si>
  <si>
    <t xml:space="preserve">Finland: per doubling, exits still gone a year later, ages 10-20</t>
  </si>
  <si>
    <t xml:space="preserve">Traficom open vehicle file (CC BY 4.0), snapshots of 30 June 2024, 2025 and 2026 (the first two from Internet Archive captures, SHA-1 checked). Passenger cars followed on a key of fixed attributes plus colour, unique in each file; identical cars registered on one day are dropped. Leaving traffic use means absent from the next snapshot: scrapped, exported or laid up, with no reason per car. Main sample: cars whose reading changed in the year before the baseline (inspected then), whole years since first use, the UK's km band, the UK script's own decile and elasticity functions. Association, not a causal effect. Baseline 2024, gone in 2025, looked for again in 2026 (ages 10-20, all readings; inspections are yearly there).</t>
  </si>
  <si>
    <t xml:space="preserve">x11_fi_exit_twice_laidup</t>
  </si>
  <si>
    <t xml:space="preserve">Finland: per doubling, exits back a year later (laid up), ages 10-20</t>
  </si>
  <si>
    <t xml:space="preserve">x11_fi_laidup_share</t>
  </si>
  <si>
    <t xml:space="preserve">Finland: share of a year's exits back in traffic use a year later, ages 10-20</t>
  </si>
  <si>
    <t xml:space="preserve">x11_fi_key_unique</t>
  </si>
  <si>
    <t xml:space="preserve">Finland: cars the key can follow (unique in 2025)</t>
  </si>
  <si>
    <t xml:space="preserve">analysis/fi_register_report.md</t>
  </si>
  <si>
    <t xml:space="preserve">Traficom open vehicle file (CC BY 4.0), snapshots of 30 June 2025 and 2026. A quality check of the key, not a finding about cars: `jarnro` is a row number, so cars are matched on fixed attributes plus colour.</t>
  </si>
  <si>
    <t xml:space="preserve">x11_fi_key_odo_fell</t>
  </si>
  <si>
    <t xml:space="preserve">Finland: followed cars whose reading fell a year later</t>
  </si>
  <si>
    <t xml:space="preserve">Traficom open vehicle file (CC BY 4.0), snapshots of 30 June 2025 and 2026. A quality check of the key, not a finding about cars: `jarnro` is a row number, so cars are matched on fixed attributes plus colour. A fall bounds wrong matches plus clocked or replaced odometers.</t>
  </si>
  <si>
    <t xml:space="preserve">dat_gw_paid_2023</t>
  </si>
  <si>
    <t xml:space="preserve">Germany: average price paid for a used car by private buyers, 2023</t>
  </si>
  <si>
    <t xml:space="preserve">DAT Report 2024 Kurzbericht, p10 (Anschaffungspreise)</t>
  </si>
  <si>
    <t xml:space="preserve">https://www.dat.de/fileadmin/de/images/produkte/DAT_Report/DAT_Report_NEW/2024/DAT_Report2024_Pressemitteilung.pdf</t>
  </si>
  <si>
    <t xml:space="preserve">DAT Report survey of private car buyers in Germany: a mean over used-car purchases from brand dealers, independent dealers and private sellers, as the buyer reported it. The mix of cars bought (age, mileage, segment) is in the paid report only.</t>
  </si>
  <si>
    <t xml:space="preserve">Context: X10 (realised European prices)</t>
  </si>
  <si>
    <t xml:space="preserve">dat_gw_private_share_2023</t>
  </si>
  <si>
    <t xml:space="preserve">Germany: share of used-car purchases from private sellers, 2023</t>
  </si>
  <si>
    <t xml:space="preserve">DAT Report 2024 Kurzbericht, p10, chart P14 (Marktanteile im Gebrauchtwagengeschäft)</t>
  </si>
  <si>
    <t xml:space="preserve">kba_pkw_transfers_2023</t>
  </si>
  <si>
    <t xml:space="preserve">Germany: passenger-car ownership changes, 2023</t>
  </si>
  <si>
    <t xml:space="preserve">KBA Jahresbilanz Besitzumschreibungen 2023, table by vehicle class</t>
  </si>
  <si>
    <t xml:space="preserve">https://www.kba.de/DE/Statistik/Fahrzeuge/Besitzumschreibungen/Jahresbilanz_Besitzumschreibungen/2023/2023_u_jahresbilanz_uebersicht.html</t>
  </si>
  <si>
    <t xml:space="preserve">KBA's count of Pkw ownership changes (Besitzumschreibungen) in 2023, all keepers, private and commercial. Used as the official mix of cars changing hands; DAT's buyers are private households, whose mix may differ.</t>
  </si>
  <si>
    <t xml:space="preserve">kba_pkw_transfer_age_2023</t>
  </si>
  <si>
    <t xml:space="preserve">Germany: average age of passenger cars changing owner, 2023</t>
  </si>
  <si>
    <t xml:space="preserve">KBA Jahresbilanz Besitzumschreibungen 2023, text</t>
  </si>
  <si>
    <t xml:space="preserve">kba_pkw_transfers_2023_audi</t>
  </si>
  <si>
    <t xml:space="preserve">Germany: passenger-car ownership changes, 2023, AUDI</t>
  </si>
  <si>
    <t xml:space="preserve">KBA Jahresbilanz Besitzumschreibungen 2023, top-5 German and top-5 import brands</t>
  </si>
  <si>
    <t xml:space="preserve">kba_pkw_transfers_2023_bmw</t>
  </si>
  <si>
    <t xml:space="preserve">Germany: passenger-car ownership changes, 2023, BMW</t>
  </si>
  <si>
    <t xml:space="preserve">kba_pkw_transfers_2023_mercedes</t>
  </si>
  <si>
    <t xml:space="preserve">Germany: passenger-car ownership changes, 2023, MERCEDES</t>
  </si>
  <si>
    <t xml:space="preserve">kba_pkw_transfers_2023_opel</t>
  </si>
  <si>
    <t xml:space="preserve">Germany: passenger-car ownership changes, 2023, OPEL</t>
  </si>
  <si>
    <t xml:space="preserve">kba_pkw_transfers_2023_vw</t>
  </si>
  <si>
    <t xml:space="preserve">Germany: passenger-car ownership changes, 2023, VW</t>
  </si>
  <si>
    <t xml:space="preserve">kba_pkw_transfers_2023_fiat</t>
  </si>
  <si>
    <t xml:space="preserve">Germany: passenger-car ownership changes, 2023, FIAT</t>
  </si>
  <si>
    <t xml:space="preserve">kba_pkw_transfers_2023_hyundai</t>
  </si>
  <si>
    <t xml:space="preserve">Germany: passenger-car ownership changes, 2023, HYUNDAI</t>
  </si>
  <si>
    <t xml:space="preserve">kba_pkw_transfers_2023_renault</t>
  </si>
  <si>
    <t xml:space="preserve">Germany: passenger-car ownership changes, 2023, RENAULT</t>
  </si>
  <si>
    <t xml:space="preserve">kba_pkw_transfers_2023_seat</t>
  </si>
  <si>
    <t xml:space="preserve">Germany: passenger-car ownership changes, 2023, SEAT</t>
  </si>
  <si>
    <t xml:space="preserve">kba_pkw_transfers_2023_skoda</t>
  </si>
  <si>
    <t xml:space="preserve">Germany: passenger-car ownership changes, 2023, SKODA</t>
  </si>
  <si>
    <t xml:space="preserve">dat_gw_paid_2016</t>
  </si>
  <si>
    <t xml:space="preserve">Germany: average price paid for a used car by private buyers, 2016</t>
  </si>
  <si>
    <t xml:space="preserve">DAT Report 2026 Kurzbericht, p15, chart P20 (Gebrauchtwagenpreise, Durchschnittspreise in Euro)</t>
  </si>
  <si>
    <t xml:space="preserve">https://www.dat.de/fileadmin/de/images/produkte/DAT_Report/DAT_Report_NEW/2026/DAT-Report-2026-Kurzbericht.pdf</t>
  </si>
  <si>
    <t xml:space="preserve">2016-12-31</t>
  </si>
  <si>
    <t xml:space="preserve">DAT Report survey of private car buyers in Germany: the mean price paid for a used car that year, over purchases from brand dealers, independent dealers and private sellers, as the buyer reported it. An average over whatever mix was bought, not a like-for-like price.</t>
  </si>
  <si>
    <t xml:space="preserve">dat_gw_paid_2017</t>
  </si>
  <si>
    <t xml:space="preserve">Germany: average price paid for a used car by private buyers, 2017</t>
  </si>
  <si>
    <t xml:space="preserve">2017-12-31</t>
  </si>
  <si>
    <t xml:space="preserve">dat_gw_paid_2018</t>
  </si>
  <si>
    <t xml:space="preserve">Germany: average price paid for a used car by private buyers, 2018</t>
  </si>
  <si>
    <t xml:space="preserve">dat_gw_paid_2019</t>
  </si>
  <si>
    <t xml:space="preserve">Germany: average price paid for a used car by private buyers, 2019</t>
  </si>
  <si>
    <t xml:space="preserve">dat_gw_paid_2020</t>
  </si>
  <si>
    <t xml:space="preserve">Germany: average price paid for a used car by private buyers, 2020</t>
  </si>
  <si>
    <t xml:space="preserve">dat_gw_paid_2021</t>
  </si>
  <si>
    <t xml:space="preserve">Germany: average price paid for a used car by private buyers, 2021</t>
  </si>
  <si>
    <t xml:space="preserve">dat_gw_paid_2022</t>
  </si>
  <si>
    <t xml:space="preserve">Germany: average price paid for a used car by private buyers, 2022</t>
  </si>
  <si>
    <t xml:space="preserve">dat_gw_paid_2024</t>
  </si>
  <si>
    <t xml:space="preserve">Germany: average price paid for a used car by private buyers, 2024</t>
  </si>
  <si>
    <t xml:space="preserve">dat_gw_paid_2025</t>
  </si>
  <si>
    <t xml:space="preserve">Germany: average price paid for a used car by private buyers, 2025</t>
  </si>
  <si>
    <t xml:space="preserve">agpi_change_2022</t>
  </si>
  <si>
    <t xml:space="preserve">Germany: AutoScout24 average asking price, change in 2022 on 2021</t>
  </si>
  <si>
    <t xml:space="preserve">AutoScout24 AGPI year review 2022, as reprinted by sparneuwagen.de (14 December 2022)</t>
  </si>
  <si>
    <t xml:space="preserve">https://www.sparneuwagen.de/news/gebrauchtwagenpreise-steigen-2022-um-19-prozent/</t>
  </si>
  <si>
    <t xml:space="preserve">2022-12-14</t>
  </si>
  <si>
    <t xml:space="preserve">AutoScout24 Gebrauchtwagen-Preis-Index (AGPI): the mean offer (asking) price of used cars listed on AutoScout24 Germany; AutoScout24's own releases call its figures Angebotspreise. An average over the listed mix, not quality-adjusted. Year figures come from AutoScout24's December year reviews.</t>
  </si>
  <si>
    <t xml:space="preserve">agpi_mean_2023</t>
  </si>
  <si>
    <t xml:space="preserve">Germany: AutoScout24 average asking price, 2023</t>
  </si>
  <si>
    <t xml:space="preserve">AutoScout24 AGPI year review 2023, as reprinted by motormobiles.de (11 December 2023)</t>
  </si>
  <si>
    <t xml:space="preserve">https://www.motormobiles.de/autoscout24-gebrauchtwagenpreise-legen-2023-um-4-prozent-zu/</t>
  </si>
  <si>
    <t xml:space="preserve">2023-12-11</t>
  </si>
  <si>
    <t xml:space="preserve">agpi_change_2023</t>
  </si>
  <si>
    <t xml:space="preserve">Germany: AutoScout24 average asking price, change in 2023 on 2022</t>
  </si>
  <si>
    <t xml:space="preserve">agpi_peak_2023_03</t>
  </si>
  <si>
    <t xml:space="preserve">Germany: AutoScout24 average asking price, record month (March 2023)</t>
  </si>
  <si>
    <t xml:space="preserve">2023-03-31</t>
  </si>
  <si>
    <t xml:space="preserve">agpi_mean_2024</t>
  </si>
  <si>
    <t xml:space="preserve">Germany: AutoScout24 average asking price, 2024</t>
  </si>
  <si>
    <t xml:space="preserve">AutoScout24 press release, Jahresrückblick 2024 (10 December 2024)</t>
  </si>
  <si>
    <t xml:space="preserve">https://www.presseportal.de/pm/13984/5927537</t>
  </si>
  <si>
    <t xml:space="preserve">2024-12-10</t>
  </si>
  <si>
    <t xml:space="preserve">agpi_change_2024</t>
  </si>
  <si>
    <t xml:space="preserve">Germany: AutoScout24 average asking price, change in 2024 on 2023</t>
  </si>
  <si>
    <t xml:space="preserve">AutoScout24 Gebrauchtwagen-Preis-Index (AGPI): the mean offer (asking) price of used cars listed on AutoScout24 Germany; AutoScout24's own releases call its figures Angebotspreise. An average over the listed mix, not quality-adjusted. Year figures come from AutoScout24's December year reviews. The stated change differs from the two year figures' ratio (about -5.8%); the year reviews' basis for the year isn't stated.</t>
  </si>
  <si>
    <t xml:space="preserve">agpi_nov_2024</t>
  </si>
  <si>
    <t xml:space="preserve">Germany: AutoScout24 average asking price, November 2024</t>
  </si>
  <si>
    <t xml:space="preserve">2024-11-30</t>
  </si>
  <si>
    <t xml:space="preserve">agpi_nov_2025</t>
  </si>
  <si>
    <t xml:space="preserve">Germany: AutoScout24 average asking price, November 2025</t>
  </si>
  <si>
    <t xml:space="preserve">AutoScout24 press release, AGPI November 2025 (27 November 2025)</t>
  </si>
  <si>
    <t xml:space="preserve">https://www.presseportal.de/pm/13984/6167286</t>
  </si>
  <si>
    <t xml:space="preserve">2025-11-30</t>
  </si>
  <si>
    <t xml:space="preserve">x10_de_ratio_official_mix</t>
  </si>
  <si>
    <t xml:space="preserve">Germany 2023: mean asking / DAT mean paid, adverts weighted to the official mix (KBA age and top brands)</t>
  </si>
  <si>
    <t xml:space="preserve">analysis/asking_vs_paid_de_report.md</t>
  </si>
  <si>
    <t xml:space="preserve">June 2023 AutoScout24 Germany adverts (de_2023, dated by their Kaggle upload), reweighted to a mix, against DAT's 2023 survey mean price paid. The ratio moves more with the mix than a negotiated discount could, so it is not a discount estimate; DAT's own mix is unpublished. Asking prices.</t>
  </si>
  <si>
    <t xml:space="preserve">x10_de_ratio_young_mix</t>
  </si>
  <si>
    <t xml:space="preserve">Germany 2023: the same, adverts weighted to a mean age of 6</t>
  </si>
  <si>
    <t xml:space="preserve">x10_de_ratio_trimmed</t>
  </si>
  <si>
    <t xml:space="preserve">Germany 2023: the same at the official mix, top 1% of asking prices dropped</t>
  </si>
  <si>
    <t xml:space="preserve">x10_de_gap_2023_pts</t>
  </si>
  <si>
    <t xml:space="preserve">Germany: asking-average change less paid-average change, 2023</t>
  </si>
  <si>
    <t xml:space="preserve">Annual plain averages: AutoScout24's AGPI (mean asking price of listings, largely dealers) against DAT's survey mean price paid (all purchases, private sales included). Different populations; the AGPI year reviews' basis isn't stated. Not like-for-like: Germany's official hedonic index kept rising meanwhile.</t>
  </si>
  <si>
    <t xml:space="preserve">x10_de_gap_2024_pts</t>
  </si>
  <si>
    <t xml:space="preserve">Germany: asking-average change less paid-average change, 2024</t>
  </si>
  <si>
    <t xml:space="preserve">x10_aramis_corr_same_q</t>
  </si>
  <si>
    <t xml:space="preserve">Aramis realised price vs official indices: correlation of year-on-year changes, same quarter</t>
  </si>
  <si>
    <t xml:space="preserve">analysis/aramis_prices_report.md</t>
  </si>
  <si>
    <t xml:space="preserve">Aramis Group (60.54% owned by Stellantis) public releases, FY2021 Q3 to FY2026 Q3: revenue per refurbished car sold, reported basis, as first reported (Q2, Q4 by difference); year-on-year against Eurostat HICP CP07112 (COICOP 2018) and ONS for the UK, weighted by Aramis's revenue by country. An average price, moving with Aramis's own mix (country, age, price range) as well as the market. 17 quarters: one boom, one normalisation.</t>
  </si>
  <si>
    <t xml:space="preserve">x10_aramis_corr_lag3</t>
  </si>
  <si>
    <t xml:space="preserve">The same, against the indices three quarters later</t>
  </si>
  <si>
    <t xml:space="preserve">Aramis Group (60.54% owned by Stellantis) public releases, FY2021 Q3 to FY2026 Q3: revenue per refurbished car sold, reported basis, as first reported (Q2, Q4 by difference); year-on-year against Eurostat HICP CP07112 (COICOP 2018) and ONS for the UK, weighted by Aramis's revenue by country. An average price, moving with Aramis's own mix (country, age, price range) as well as the market. 17 quarters: one boom, one normalisation. France's index prices smoothed Argus guide values.</t>
  </si>
  <si>
    <t xml:space="preserve">x10_aramis_corr_xfr</t>
  </si>
  <si>
    <t xml:space="preserve">The same without France, same quarter</t>
  </si>
  <si>
    <t xml:space="preserve">x10_aramis_boom_yoy</t>
  </si>
  <si>
    <t xml:space="preserve">Aramis realised price per refurbished car, change on a year, April-June 2022</t>
  </si>
  <si>
    <t xml:space="preserve">x10_aramis_boom_index_yoy</t>
  </si>
  <si>
    <t xml:space="preserve">Official indices at Aramis's country weights, change on a year, April-June 2022</t>
  </si>
  <si>
    <t xml:space="preserve">x10_aramis_effect_agree_pts</t>
  </si>
  <si>
    <t xml:space="preserve">Largest gap between Aramis's stated price effects and revenue per car computed from its tables</t>
  </si>
  <si>
    <t xml:space="preserve">Aramis Group (60.54% owned by Stellantis) public releases, FY2021 Q3 to FY2026 Q3: revenue per refurbished car sold, reported basis, as first reported (Q2, Q4 by difference); year-on-year against Eurostat HICP CP07112 (COICOP 2018) and ONS for the UK, weighted by Aramis's revenue by country. An average price, moving with Aramis's own mix (country, age, price range) as well as the market. 17 quarters: one boom, one normalisation. A check that Aramis's 'price effect' is its change in revenue per car.</t>
  </si>
  <si>
    <t xml:space="preserve">stellantis_aramis_interest_pct</t>
  </si>
  <si>
    <t xml:space="preserve">Stellantis's interest in Aramis Group (the group's used-car retailer)</t>
  </si>
  <si>
    <t xml:space="preserve">Stellantis N.V. Form 20-F FY2025, Exhibit 8.1 (list of subsidiaries)</t>
  </si>
  <si>
    <t xml:space="preserve">https://www.sec.gov/Archives/edgar/data/1605484/000160548426000021/exhibit8120251231-subsidia.htm</t>
  </si>
  <si>
    <t xml:space="preserve">Percentage interest held, as listed. A sale of the stake was reported by the press (L'Informé, September 2026), not announced by Stellantis.</t>
  </si>
  <si>
    <t xml:space="preserve">x13_dv_uptake_no_adjust</t>
  </si>
  <si>
    <t xml:space="preserve">Share choosing the model when it can't be adjusted (Dietvorst 2018, Study 2)</t>
  </si>
  <si>
    <t xml:space="preserve">analysis/band_replay_report.md</t>
  </si>
  <si>
    <t xml:space="preserve">Recomputed from Dietvorst, Simmons &amp; Massey's public file (Management Science 2018, 64(3); OSF 5nz9c), matching the paper. People forecast students' test percentiles with a model (Wharton lab and online samples) and had no information the model lacked.</t>
  </si>
  <si>
    <t xml:space="preserve">Context: X13 (override band)</t>
  </si>
  <si>
    <t xml:space="preserve">x13_dv_uptake_adjust5</t>
  </si>
  <si>
    <t xml:space="preserve">The same, when it can be adjusted by up to 5 percentiles</t>
  </si>
  <si>
    <t xml:space="preserve">x13_dv_uptake_adjust2</t>
  </si>
  <si>
    <t xml:space="preserve">The same, by up to 2 percentiles</t>
  </si>
  <si>
    <t xml:space="preserve">x13_dv_band_used_10</t>
  </si>
  <si>
    <t xml:space="preserve">Share of a ±10 band that model users used, on average (Study 2)</t>
  </si>
  <si>
    <t xml:space="preserve">x13_dv_band_used_5</t>
  </si>
  <si>
    <t xml:space="preserve">The same, ±5 band</t>
  </si>
  <si>
    <t xml:space="preserve">x13_dv_band_used_2</t>
  </si>
  <si>
    <t xml:space="preserve">The same, ±2 band</t>
  </si>
  <si>
    <t xml:space="preserve">x13_ps_woa_typical</t>
  </si>
  <si>
    <t xml:space="preserve">Median weight on the model's price, typical apartments</t>
  </si>
  <si>
    <t xml:space="preserve">weight</t>
  </si>
  <si>
    <t xml:space="preserve">US data: Poursabzi-Sangdeh et al. (CHI 2021), lay online participants pricing New York apartments from a listing; public trial-level data (GitHub). Eleven apartments, one of them unusual; prices entered in $0.1m steps. Weight = (final - own first) / (model - own first), clipped 0-1 (experiment 3).</t>
  </si>
  <si>
    <t xml:space="preserve">x13_ps_woa_unusual</t>
  </si>
  <si>
    <t xml:space="preserve">The same, the apartment the model overpriced badly</t>
  </si>
  <si>
    <t xml:space="preserve">US data: Poursabzi-Sangdeh et al. (CHI 2021), lay online participants pricing New York apartments from a listing; public trial-level data (GitHub). Eleven apartments, one of them unusual; prices entered in $0.1m steps. Weight as x13_ps_woa_typical. Naive advice weighting on real price estimates.</t>
  </si>
  <si>
    <t xml:space="preserve">x13_ps_own_closer_typical</t>
  </si>
  <si>
    <t xml:space="preserve">Share of people's own first prices closer to the sale price than the model's, typical apartments</t>
  </si>
  <si>
    <t xml:space="preserve">US data: Poursabzi-Sangdeh et al. (CHI 2021), lay online participants pricing New York apartments from a listing; public trial-level data (GitHub). Eleven apartments, one of them unusual; prices entered in $0.1m steps.</t>
  </si>
  <si>
    <t xml:space="preserve">x13_ps_own_closer_unusual</t>
  </si>
  <si>
    <t xml:space="preserve">x13_ps_signal_r2</t>
  </si>
  <si>
    <t xml:space="preserve">Share of the model's error carried by people's own first prices (R²), all eleven apartments</t>
  </si>
  <si>
    <t xml:space="preserve">R²</t>
  </si>
  <si>
    <t xml:space="preserve">US data: Poursabzi-Sangdeh et al. (CHI 2021), lay online participants pricing New York apartments from a listing; public trial-level data (GitHub). Eleven apartments, one of them unusual; prices entered in $0.1m steps. Lay people who saw only the listing; a pricer who inspects the car is unmeasured.</t>
  </si>
  <si>
    <t xml:space="preserve">x13_ps_err_model_typical</t>
  </si>
  <si>
    <t xml:space="preserve">Mean absolute error of the model's price alone, typical apartments</t>
  </si>
  <si>
    <t xml:space="preserve">x13_ps_err_free_typical</t>
  </si>
  <si>
    <t xml:space="preserve">The same, people free to adjust the model's price</t>
  </si>
  <si>
    <t xml:space="preserve">x13_ps_err_model_unusual</t>
  </si>
  <si>
    <t xml:space="preserve">Mean absolute error of the model's price alone, the unusual apartment</t>
  </si>
  <si>
    <t xml:space="preserve">x13_ps_err_free_unusual</t>
  </si>
  <si>
    <t xml:space="preserve">x13_ps_unusual_uncertainty_rank</t>
  </si>
  <si>
    <t xml:space="preserve">Rank of the unusual apartment by its local uncertainty (1 = widest), of 11</t>
  </si>
  <si>
    <t xml:space="preserve">rank</t>
  </si>
  <si>
    <t xml:space="preserve">US data: Poursabzi-Sangdeh et al. (CHI 2021), lay online participants pricing New York apartments from a listing; public trial-level data (GitHub). Eleven apartments, one of them unusual; prices entered in $0.1m steps. The uncertainty was fixed before the replay (25 nearest listings' out-of-fold residuals); it did not flag the model's big error, so the tied band bought nothing there.</t>
  </si>
  <si>
    <t xml:space="preserve">x13_band_half_all</t>
  </si>
  <si>
    <t xml:space="preserve">Value engine's calibrated 80% band: median half-width, all held-out cars</t>
  </si>
  <si>
    <t xml:space="preserve">analysis/override_band_report.md</t>
  </si>
  <si>
    <t xml:space="preserve">Held-out cars in GB, PL, SE, DE, PT, NL, FR and AT (models with 30+ training cars), priced and calibrated per market and age as in conformal_bands.py. Advertised prices; today's market, not a moved level (X7).</t>
  </si>
  <si>
    <t xml:space="preserve">x13_band_half_old</t>
  </si>
  <si>
    <t xml:space="preserve">The same, cars 12 years and older</t>
  </si>
  <si>
    <t xml:space="preserve">x13_outside5_all</t>
  </si>
  <si>
    <t xml:space="preserve">Share of advert prices more than 5% from the engine's price</t>
  </si>
  <si>
    <t xml:space="preserve">x13_width_error_corr</t>
  </si>
  <si>
    <t xml:space="preserve">Rank correlation of the calibrated band's half-width with the engine's absolute error</t>
  </si>
  <si>
    <t xml:space="preserve">rho</t>
  </si>
  <si>
    <t xml:space="preserve">Held-out cars in GB, PL, SE, DE, PT, NL, FR and AT (models with 30+ training cars), priced and calibrated per market and age as in conformal_bands.py. Advertised prices; today's market, not a moved level (X7). The precondition for a tied band: the engine's band flags its large errors.</t>
  </si>
  <si>
    <t xml:space="preserve">x13_widest_fifth_error_share</t>
  </si>
  <si>
    <t xml:space="preserve">Share of all the engine's error in the widest fifth of bands</t>
  </si>
  <si>
    <t xml:space="preserve">x13_oracle_fixed5</t>
  </si>
  <si>
    <t xml:space="preserve">Share of the engine's error a pricer who knew the price could remove within ±5%</t>
  </si>
  <si>
    <t xml:space="preserve">Held-out cars in GB, PL, SE, DE, PT, NL, FR and AT (models with 30+ training cars), priced and calibrated per market and age as in conformal_bands.py. Advertised prices; today's market, not a moved level (X7). An upper bound: a pricer who knows the true price.</t>
  </si>
  <si>
    <t xml:space="preserve">x13_oracle_full_band</t>
  </si>
  <si>
    <t xml:space="preserve">The same, within the full calibrated 80% band</t>
  </si>
  <si>
    <t xml:space="preserve">x13_oracle_old_left_fixed5</t>
  </si>
  <si>
    <t xml:space="preserve">Cars 12+ years: mean error left after such a pricer within ±5%</t>
  </si>
  <si>
    <t xml:space="preserve">x13_oracle_old_left_tied5</t>
  </si>
  <si>
    <t xml:space="preserve">The same, within a tied band of the same average width as ±5%</t>
  </si>
  <si>
    <t xml:space="preserve">x13_tied_cap_young</t>
  </si>
  <si>
    <t xml:space="preserve">Tied band at the same average width as ±5%: median cap, cars 2-4 years</t>
  </si>
  <si>
    <t xml:space="preserve">Held-out cars in GB, PL, SE, DE, PT, NL, FR and AT (models with 30+ training cars), priced and calibrated per market and age as in conformal_bands.py. Advertised prices; today's market, not a moved level (X7). The cap is the calibrated band's half-width scaled so the average over held-out cars is ±5%.</t>
  </si>
  <si>
    <t xml:space="preserve">x13_tied_cap_old</t>
  </si>
  <si>
    <t xml:space="preserve">x13_be_tied_vs_fixed</t>
  </si>
  <si>
    <t xml:space="preserve">Pricer information (rho²) from which the tied band at the same average width beats ±5%</t>
  </si>
  <si>
    <t xml:space="preserve">rho²</t>
  </si>
  <si>
    <t xml:space="preserve">Held-out cars in GB, PL, SE, DE, PT, NL, FR and AT (models with 30+ training cars), priced and calibrated per market and age as in conformal_bands.py. Advertised prices; today's market, not a moved level (X7). Modelled pricer: one weight on their own view on every car (naive advice weighting; one minus the median weight on the model in band_replay), the move capped by the band. The share of the engine's error the pricer sees (rho²) is unmeasured for cars and swept on a grid; lay people on apartments carried x13_ps_signal_r2. 0.00 under all four readings of the pricer's noise: never worse on the grid.</t>
  </si>
  <si>
    <t xml:space="preserve">x13_be_full_vs_fixed</t>
  </si>
  <si>
    <t xml:space="preserve">Pricer information from which the full calibrated band beats ±5%</t>
  </si>
  <si>
    <t xml:space="preserve">Held-out cars in GB, PL, SE, DE, PT, NL, FR and AT (models with 30+ training cars), priced and calibrated per market and age as in conformal_bands.py. Advertised prices; today's market, not a moved level (X7). Modelled pricer: one weight on their own view on every car (naive advice weighting; one minus the median weight on the model in band_replay), the move capped by the band. The share of the engine's error the pricer sees (rho²) is unmeasured for cars and swept on a grid; lay people on apartments carried x13_ps_signal_r2.</t>
  </si>
  <si>
    <t xml:space="preserve">x13_be_full_vs_fixed_lay</t>
  </si>
  <si>
    <t xml:space="preserve">The same, the pricer's noise spread as lay people's</t>
  </si>
  <si>
    <t xml:space="preserve">x13_be_fixed_vs_engine</t>
  </si>
  <si>
    <t xml:space="preserve">Pricer information from which ±5% beats the engine's price alone</t>
  </si>
  <si>
    <t xml:space="preserve">bft_naw_error_low</t>
  </si>
  <si>
    <t xml:space="preserve">Naive advice weighting: rise in prediction error when valuable and worthless private information are mixed, low end</t>
  </si>
  <si>
    <t xml:space="preserve">Balakrishnan, Ferreira &amp; Tong, Human-Algorithm Collaboration with Private Information: Naive Advice Weighting Behavior and Mitigation, HBS working paper, 8 July 2024, abstract and p. 3</t>
  </si>
  <si>
    <t xml:space="preserve">https://www.hbs.edu/ris/Publication%20Files/Human-Algorithm%20Collaboration%20with%20Private%20Information_14b8d3ac-7e23-4a41-8877-8de26238431d.pdf</t>
  </si>
  <si>
    <t xml:space="preserve">2024-07-08</t>
  </si>
  <si>
    <t xml:space="preserve">US online experiments (MTurk, Prolific) predicting product demand with an algorithm. Measured against people who faced one kind of case only, not against an optimal benchmark.</t>
  </si>
  <si>
    <t xml:space="preserve">bft_naw_error_high</t>
  </si>
  <si>
    <t xml:space="preserve">As bft_naw_error_low.</t>
  </si>
  <si>
    <t xml:space="preserve">bft_transparency_error_cut</t>
  </si>
  <si>
    <t xml:space="preserve">Prediction error cut by showing the algorithm's features</t>
  </si>
  <si>
    <t xml:space="preserve">Balakrishnan, Ferreira &amp; Tong, Human-Algorithm Collaboration with Private Information: Naive Advice Weighting Behavior and Mitigation, HBS working paper, 8 July 2024, abstract (Study 2)</t>
  </si>
  <si>
    <t xml:space="preserve">US online experiment; helps people tell when their private information warrants a deviation.</t>
  </si>
  <si>
    <t xml:space="preserve">bft_private_only_error_cut</t>
  </si>
  <si>
    <t xml:space="preserve">Prediction error cut by a nudge to deviate only on private information</t>
  </si>
  <si>
    <t xml:space="preserve">Balakrishnan, Ferreira &amp; Tong, Human-Algorithm Collaboration with Private Information: Naive Advice Weighting Behavior and Mitigation, HBS working paper, 8 July 2024, abstract (Study 3)</t>
  </si>
  <si>
    <t xml:space="preserve">US online experiment; the basis for taking a pricer's knowledge as inputs rather than a free price.</t>
  </si>
  <si>
    <t xml:space="preserve">bailey_woa_pooled</t>
  </si>
  <si>
    <t xml:space="preserve">Pooled weight of advice across judge-advisor experiments</t>
  </si>
  <si>
    <t xml:space="preserve">Bailey et al., A meta-analysis of the weight of advice in decision-making, Current Psychology 42:24516-24541 (2023)</t>
  </si>
  <si>
    <t xml:space="preserve">https://pmc.ncbi.nlm.nih.gov/articles/PMC11661855/</t>
  </si>
  <si>
    <t xml:space="preserve">2022-08-11</t>
  </si>
  <si>
    <t xml:space="preserve">346 effect sizes, 129 datasets, N = 17,296; 32%, 37% and 48% for advisors framed as low, neutral or high quality. Mostly lay participants.</t>
  </si>
  <si>
    <t xml:space="preserve">logg_experts_advice_d</t>
  </si>
  <si>
    <t xml:space="preserve">Experts took less advice than lay people (effect size)</t>
  </si>
  <si>
    <t xml:space="preserve">d</t>
  </si>
  <si>
    <t xml:space="preserve">Logg, Minson &amp; Moore, Algorithm appreciation, OBHDP 151 (2019), Experiment 4, p. 9</t>
  </si>
  <si>
    <t xml:space="preserve">https://www.jennlogg.com/uploads/2/8/9/2/2892148/algorithm_appreciation__logg_minson_moore_2019_.pdf</t>
  </si>
  <si>
    <t xml:space="preserve">2019-03-01</t>
  </si>
  <si>
    <t xml:space="preserve">61 US national-security professionals against lay people; experts discounted all advice, algorithmic or human, which hurt their accuracy.</t>
  </si>
  <si>
    <t xml:space="preserve">ksn_profit_gain_pct</t>
  </si>
  <si>
    <t xml:space="preserve">Profit gain per treated quote from showing salespeople the model's price</t>
  </si>
  <si>
    <t xml:space="preserve">Karlinsky-Shichor &amp; Netzer, Automating the B2B Salesperson Pricing Decisions: A Human-Machine Hybrid Approach, Marketing Science 43(1) (2024), p. 4</t>
  </si>
  <si>
    <t xml:space="preserve">https://business.columbia.edu/sites/default/files-efs/citation_file_upload/Automating_the_B2B_Salesperson1_0.pdf</t>
  </si>
  <si>
    <t xml:space="preserve">2024-01-01</t>
  </si>
  <si>
    <t xml:space="preserve">US B2B aluminium retailer, 8-day field experiment, 4,142 pricing decisions, intention to treat. Salespeople beat the model on special, complex quotes.</t>
  </si>
  <si>
    <t xml:space="preserve">ksn_compliance_pct</t>
  </si>
  <si>
    <t xml:space="preserve">Share of quotes where salespeople followed or moved toward the model's price</t>
  </si>
  <si>
    <t xml:space="preserve">Karlinsky-Shichor &amp; Netzer, Marketing Science 43(1) (2024), p. 20</t>
  </si>
  <si>
    <t xml:space="preserve">As ksn_profit_gain_pct: free adjustment, professionals.</t>
  </si>
  <si>
    <t xml:space="preserve">kesavan_override_profit_loss_pct</t>
  </si>
  <si>
    <t xml:space="preserve">Profit shortfall of stores that honoured merchants' overrides of a decision tool</t>
  </si>
  <si>
    <t xml:space="preserve">Kesavan &amp; Kushwaha, Field Experiment on the Profit Implications of Merchants' Discretionary Power to Override Data-Driven Decision-Making Tools, Management Science 66(11):5182-5190 (2020), as reported by George Mason University</t>
  </si>
  <si>
    <t xml:space="preserve">https://www.gmu.edu/news/2021-12/algorithmic-workplace-how-can-humans-excel</t>
  </si>
  <si>
    <t xml:space="preserve">2020-11-01</t>
  </si>
  <si>
    <t xml:space="preserve">Automobile spare-parts retailer, 12 months, 30,000+ products. The figure is from the university's report; the paper's abstract confirms the direction.</t>
  </si>
  <si>
    <t xml:space="preserve">kesavan_growth_override_gain_pct</t>
  </si>
  <si>
    <t xml:space="preserve">Profit gain from merchants' overrides on growth-stage products</t>
  </si>
  <si>
    <t xml:space="preserve">'More than 23%', where the tool had little history; the tool won on mature and declining products. From the university's report; the abstract confirms the direction.</t>
  </si>
  <si>
    <t xml:space="preserve">kesavan2026_input_adjust_gain_pct</t>
  </si>
  <si>
    <t xml:space="preserve">Profit gain from merchants adjusting a tool's forecast inputs, against full automation</t>
  </si>
  <si>
    <t xml:space="preserve">Kesavan, Kushwaha &amp; Steele, Profit Implications of Judgmental Adjustments to Forecast Inputs, Management Science 72(1):119-127 (2026), abstract</t>
  </si>
  <si>
    <t xml:space="preserve">https://ideas.repec.org/a/inm/ormnsc/v72y2026i1p119-127.html</t>
  </si>
  <si>
    <t xml:space="preserve">2026-01-01</t>
  </si>
  <si>
    <t xml:space="preserve">Spare-parts retail chain, large field experiment. Adjusting inputs, not overriding decisions.</t>
  </si>
  <si>
    <t xml:space="preserve">aubry_ml_r2_pct</t>
  </si>
  <si>
    <t xml:space="preserve">Out-of-sample share of art auction price variation explained by a neural network</t>
  </si>
  <si>
    <t xml:space="preserve">Aubry, Kräussl, Manso &amp; Spaenjers, Biased Auctioneers, Journal of Finance 78(2):795-833 (2023), pp. 3-4</t>
  </si>
  <si>
    <t xml:space="preserve">https://openaccess.city.ac.uk/id/eprint/35368/1/Biased%20Auctioneers%20JF.pdf</t>
  </si>
  <si>
    <t xml:space="preserve">2023-04-01</t>
  </si>
  <si>
    <t xml:space="preserve">Art, not cars. The auction house's experts' estimates exceed 90%, confounded by buyers anchoring on them; the model adds most for artists with less dispersed prices.</t>
  </si>
  <si>
    <t xml:space="preserve">dat_standing_day_cost_eur</t>
  </si>
  <si>
    <t xml:space="preserve">Cost of one standing day for a used car at a German dealer</t>
  </si>
  <si>
    <t xml:space="preserve">EUR a day</t>
  </si>
  <si>
    <t xml:space="preserve">kfz-betrieb (Vogel Communications), 'Standkosten von Gebrauchtwagen steigen deutlich an', reporting the DAT Barometer for October 2024</t>
  </si>
  <si>
    <t xml:space="preserve">https://www.kfz-betrieb.vogel.de/dat-barometer-standtage-a-a1968a8a0e4cd2f5d153fe7df75b3e7d/</t>
  </si>
  <si>
    <t xml:space="preserve">2024-10-31</t>
  </si>
  <si>
    <t xml:space="preserve">German franchised and independent dealers, a survey average. Covers marketplace fees, photography and marketing, standing damage and financing where applicable; not the car's own loss of value (X17 part 2 measures that). It was EUR 23 in October 2023.</t>
  </si>
  <si>
    <t xml:space="preserve">Context: X17 (value recovered)</t>
  </si>
  <si>
    <t xml:space="preserve">dat_standing_days_petrol</t>
  </si>
  <si>
    <t xml:space="preserve">Average standing days of a used petrol car at a German dealer</t>
  </si>
  <si>
    <t xml:space="preserve">days</t>
  </si>
  <si>
    <t xml:space="preserve">German dealers, October 2024. Days from intake to sale at the dealer; diesel 86, battery-electric nearly 100.</t>
  </si>
  <si>
    <t xml:space="preserve">dat_standing_days_diesel</t>
  </si>
  <si>
    <t xml:space="preserve">The same, used diesel car</t>
  </si>
  <si>
    <t xml:space="preserve">As dat_standing_days_petrol.</t>
  </si>
  <si>
    <t xml:space="preserve">aramis_fy25_b2c_units</t>
  </si>
  <si>
    <t xml:space="preserve">Aramis Group: retail (B2C) cars sold, FY2025</t>
  </si>
  <si>
    <t xml:space="preserve">Aramis Group, FY2025 annual results press release (26 November 2025; year to 30 September 2025), GPU reconciliation table</t>
  </si>
  <si>
    <t xml:space="preserve">https://aramis.group/wp-content/uploads/2025/11/press-release-aramis-group-2025-annual-results.pdf</t>
  </si>
  <si>
    <t xml:space="preserve">2025-09-30</t>
  </si>
  <si>
    <t xml:space="preserve">Aramis Group, 60.54% owned by Stellantis (stellantis_aramis_interest_pct), sells used cars to consumers in six countries. Its cars are bought mostly from private sellers, so its mix is not a like-for-like returned buy-back car.</t>
  </si>
  <si>
    <t xml:space="preserve">aramis_fy25_b2c_revenue_eur_m</t>
  </si>
  <si>
    <t xml:space="preserve">Aramis Group: retail (B2C) revenue, FY2025</t>
  </si>
  <si>
    <t xml:space="preserve">Aramis Group, FY2025 annual results press release (26 November 2025; year to 30 September 2025), revenue by segment</t>
  </si>
  <si>
    <t xml:space="preserve">Aramis Group, 60.54% owned by Stellantis (stellantis_aramis_interest_pct), sells used cars to consumers in six countries. Its cars are bought mostly from private sellers, so its mix is not a like-for-like returned buy-back car. Refurbished and pre-registered cars.</t>
  </si>
  <si>
    <t xml:space="preserve">aramis_fy25_gross_before_refurb_eur_m</t>
  </si>
  <si>
    <t xml:space="preserve">Aramis Group: gross profit before transport and refurbishing, FY2025</t>
  </si>
  <si>
    <t xml:space="preserve">Aramis Group, FY2025 annual results press release (26 November 2025; year to 30 September 2025), GPU reconciliation table (EUR 414,403 thousand)</t>
  </si>
  <si>
    <t xml:space="preserve">aramis_fy25_transport_refurb_eur_m</t>
  </si>
  <si>
    <t xml:space="preserve">Aramis Group: cost of transport and refurbishing, FY2025</t>
  </si>
  <si>
    <t xml:space="preserve">Aramis Group, FY2025 annual results press release (26 November 2025; year to 30 September 2025), GPU reconciliation table (EUR 133,446 thousand)</t>
  </si>
  <si>
    <t xml:space="preserve">aramis_fy25_gpu_eur</t>
  </si>
  <si>
    <t xml:space="preserve">Aramis Group: gross profit per retail car sold (GPU), FY2025</t>
  </si>
  <si>
    <t xml:space="preserve">EUR a car</t>
  </si>
  <si>
    <t xml:space="preserve">Aramis Group, FY2025 annual results press release (26 November 2025; year to 30 September 2025), key figures</t>
  </si>
  <si>
    <t xml:space="preserve">Aramis Group, 60.54% owned by Stellantis (stellantis_aramis_interest_pct), sells used cars to consumers in six countries. Its cars are bought mostly from private sellers, so its mix is not a like-for-like returned buy-back car. Before operating costs.</t>
  </si>
  <si>
    <t xml:space="preserve">aramis_fy25_adj_ebitda_eur_m</t>
  </si>
  <si>
    <t xml:space="preserve">Aramis Group: adjusted EBITDA, FY2025</t>
  </si>
  <si>
    <t xml:space="preserve">Aramis Group, 60.54% owned by Stellantis (stellantis_aramis_interest_pct), sells used cars to consumers in six countries. Its cars are bought mostly from private sellers, so its mix is not a like-for-like returned buy-back car. After operating costs; includes B2B and services.</t>
  </si>
  <si>
    <t xml:space="preserve">tz_sold_no_report_late_pct</t>
  </si>
  <si>
    <t xml:space="preserve">Share of cars sold at a weekly US wholesale auction without a condition report, weeks 31-39</t>
  </si>
  <si>
    <t xml:space="preserve">Tadelis &amp; Zettelmeyer, Information Disclosure as a Matching Mechanism (AER 105(2) 2015), seminar slides, p. 5</t>
  </si>
  <si>
    <t xml:space="preserve">http://www.chaire-eppp.org/files_chaire/tadelis.pdf</t>
  </si>
  <si>
    <t xml:space="preserve">2015-03-01</t>
  </si>
  <si>
    <t xml:space="preserve">US data: a large US wholesale auction, one sale a week; condition reports published by the VIN's last digit, randomised. The authors: 'The effect of SCRs is mostly on proportion sold, not prices'.</t>
  </si>
  <si>
    <t xml:space="preserve">tz_sold_report_late_pct</t>
  </si>
  <si>
    <t xml:space="preserve">The same, with a condition report published</t>
  </si>
  <si>
    <t xml:space="preserve">US data: a large US wholesale auction, one sale a week; condition reports published by the VIN's last digit, randomised. The authors: 'The effect of SCRs is mostly on proportion sold, not prices'. 6.3 points, p &lt; 0.01.</t>
  </si>
  <si>
    <t xml:space="preserve">tz_sold_no_report_early_pct</t>
  </si>
  <si>
    <t xml:space="preserve">The same without a report, weeks 21-30</t>
  </si>
  <si>
    <t xml:space="preserve">tz_sold_report_early_pct</t>
  </si>
  <si>
    <t xml:space="preserve">The same with a report, weeks 21-30</t>
  </si>
  <si>
    <t xml:space="preserve">US data: a large US wholesale auction, one sale a week; condition reports published by the VIN's last digit, randomised. The authors: 'The effect of SCRs is mostly on proportion sold, not prices'. 0.5 points, p 0.68: no effect in this period.</t>
  </si>
  <si>
    <t xml:space="preserve">x17_day_cost_low</t>
  </si>
  <si>
    <t xml:space="preserve">A day in stock, per EUR 10,000 of young car: low (ageing net of the full-window drift, ECB rate)</t>
  </si>
  <si>
    <t xml:space="preserve">EUR per EUR 10,000 a day</t>
  </si>
  <si>
    <t xml:space="preserve">analysis/time_in_stock_report.md</t>
  </si>
  <si>
    <t xml:space="preserve">Advert prices; the value engine's age curve at fixed mileage (a waiting car isn't driven), cars 0-2 years in eight markets, net of the core markets' average index drift where stated, plus financing at the ECB deposit rate (ecb_deposit_rate) or banks' cost of equity (eba_bank_coe). An expected daily cost, not a forecast of any month (X7).</t>
  </si>
  <si>
    <t xml:space="preserve">x17_day_cost_central</t>
  </si>
  <si>
    <t xml:space="preserve">The same: central (ageing, ECB rate)</t>
  </si>
  <si>
    <t xml:space="preserve">x17_day_cost_high</t>
  </si>
  <si>
    <t xml:space="preserve">The same: high (ageing net of the pre-shortage drift, banks' cost of equity)</t>
  </si>
  <si>
    <t xml:space="preserve">x17_age_cost_young</t>
  </si>
  <si>
    <t xml:space="preserve">Yearly loss of value from age alone at fixed mileage, cars 0-2 years (median of eight markets)</t>
  </si>
  <si>
    <t xml:space="preserve">Advert prices; the value engine's age curve at fixed mileage (a waiting car isn't driven), cars 0-2 years in eight markets, net of the core markets' average index drift where stated, plus financing at the ECB deposit rate (ecb_deposit_rate) or banks' cost of equity (eba_bank_coe). An expected daily cost, not a forecast of any month (X7). Inside dep_pooled's range over all ages.</t>
  </si>
  <si>
    <t xml:space="preserve">x17_channel_gain_after_costs</t>
  </si>
  <si>
    <t xml:space="preserve">Retailing a car in-house over selling it to the trade: Aramis's EBITDA per retail car, share of the price</t>
  </si>
  <si>
    <t xml:space="preserve">analysis/recovery_levers_report.md</t>
  </si>
  <si>
    <t xml:space="preserve">Aramis Group FY2025 (aramis_fy25_*), the group's own used-car retailer: its margin per retail car as a share of its average retail price. Aramis buys mostly from private sellers, so its mix is not a returned buy-back car's; the marginal gain on extra cars routed through existing sites lies between the after-costs and before-operating-costs ends.</t>
  </si>
  <si>
    <t xml:space="preserve">x17_channel_gain_before_opex</t>
  </si>
  <si>
    <t xml:space="preserve">The same: Aramis's gross profit per retail car (GPU), before operating costs</t>
  </si>
  <si>
    <t xml:space="preserve">x17_channel_breakeven_days</t>
  </si>
  <si>
    <t xml:space="preserve">Extra days in stock that would eat the in-house margin after all costs, central daily cost</t>
  </si>
  <si>
    <t xml:space="preserve">x17_condition_days_saved</t>
  </si>
  <si>
    <t xml:space="preserve">Days to sale saved by publishing a condition report, weekly auction (the period with an effect)</t>
  </si>
  <si>
    <t xml:space="preserve">US data: Tadelis &amp; Zettelmeyer's randomised experiment (tz_*), 7 / p with a weekly re-run until sold; 0.2 days in the other period. One way to cut days, not a lever on top of x17_days_cut.</t>
  </si>
  <si>
    <t xml:space="preserve">x17_seasonal_spread_eu</t>
  </si>
  <si>
    <t xml:space="preserve">Seasonal spread of used-car prices, weakest to best month, median of 24 EU markets' profiles, 2015-12 to 2019-12</t>
  </si>
  <si>
    <t xml:space="preserve">Eurostat CP07112, each series against its centred 2x12 moving average. Markets' profiles barely correlate, so timing within the year is not a workbook lever.</t>
  </si>
  <si>
    <t xml:space="preserve">x17_seasonal_spread_uk</t>
  </si>
  <si>
    <t xml:space="preserve">The same, the UK's ONS index, 1988-2019</t>
  </si>
  <si>
    <t xml:space="preserve">ONS CPI D7E9, not seasonally adjusted; its shape changed between windows.</t>
  </si>
  <si>
    <t xml:space="preserve">x17_left_digit_jump</t>
  </si>
  <si>
    <t xml:space="preserve">Asking-price jump at 10,000-km odometer marks, continental adverts, exact readings</t>
  </si>
  <si>
    <t xml:space="preserve">Advert prices, eight continental sources in km, cars within 2,000 km of a mark, local lines in source x make x model x age x mark cells; s.e. by cell 0.30. Sellers bunch below the marks (x17_left_digit_bunching), so not a clean causal estimate. A ledger flag, not a euro lever.</t>
  </si>
  <si>
    <t xml:space="preserve">x17_left_digit_placebo</t>
  </si>
  <si>
    <t xml:space="preserve">The same at a placebo mark halfway between</t>
  </si>
  <si>
    <t xml:space="preserve">As x17_left_digit_jump; within two standard errors of zero.</t>
  </si>
  <si>
    <t xml:space="preserve">x17_left_digit_bunching</t>
  </si>
  <si>
    <t xml:space="preserve">Exact readings in the 500 km below a 10,000-km mark over the 500 km above</t>
  </si>
  <si>
    <t xml:space="preserve">About 1 at the placebo mark; sellers bunch below the mark.</t>
  </si>
  <si>
    <t xml:space="preserve">indicata_mds_corsa_2024_12</t>
  </si>
  <si>
    <t xml:space="preserve">Market days supply of used Opel/Vauxhall Corsa up to 4 years old, the markets INDICATA observes</t>
  </si>
  <si>
    <t xml:space="preserve">INDICATA Market Watch, Edition 58 (December 2024), p. 4, 'Market Days Supply and Top Sellers'</t>
  </si>
  <si>
    <t xml:space="preserve">https://autorolasolutions.com/wp-content/uploads/2025/01/INDICATA_Market_Watch_58_EN.pdf</t>
  </si>
  <si>
    <t xml:space="preserve">Advert stock over the daily sales rate (INDICATA's 'marketability'), not the days one car takes. Among the fastest-selling models; the group's own.</t>
  </si>
  <si>
    <t xml:space="preserve">indicata_mds_golf_2024_12</t>
  </si>
  <si>
    <t xml:space="preserve">The same, Volkswagen Golf, the best-selling model</t>
  </si>
  <si>
    <t xml:space="preserve">As indicata_mds_corsa_2024_12; best-selling models ran at about 61-67 days.</t>
  </si>
  <si>
    <t xml:space="preserve">autotrader_days_to_sell_2025</t>
  </si>
  <si>
    <t xml:space="preserve">Average days to sell a used car on Auto Trader UK, 2025</t>
  </si>
  <si>
    <t xml:space="preserve">Autotrader plc, Monthly Market Intelligence, December 2025, '2025 Wrapped'</t>
  </si>
  <si>
    <t xml:space="preserve">https://plc.autotrader.co.uk/media/npyiwbl0/autotrader-monthly-market-intelligence-december-2025-updated.pdf</t>
  </si>
  <si>
    <t xml:space="preserve">UK data: advert days from listing to removal on the largest UK platform; 28 in September 2025, 35 in December 2025.</t>
  </si>
  <si>
    <t xml:space="preserve">lps_left_digit_usd_low</t>
  </si>
  <si>
    <t xml:space="preserve">Wholesale price drop at each 10,000-mile odometer threshold, low end</t>
  </si>
  <si>
    <t xml:space="preserve">USD</t>
  </si>
  <si>
    <t xml:space="preserve">Lacetera, Pope &amp; Sydnor, Heuristic Thinking and Limited Attention in the Car Market, NBER w17030 (AER 102(5) 2012), p. 3</t>
  </si>
  <si>
    <t xml:space="preserve">https://www.nber.org/system/files/working_papers/w17030/w17030.pdf</t>
  </si>
  <si>
    <t xml:space="preserve">2012-08-01</t>
  </si>
  <si>
    <t xml:space="preserve">US data: over 22 million wholesale used-car sales; smaller drops at 1,000-mile thresholds.</t>
  </si>
  <si>
    <t xml:space="preserve">lps_left_digit_usd_high</t>
  </si>
  <si>
    <t xml:space="preserve">Lacetera, Pope &amp; Sydnor, NBER w17030 (AER 2012), p. 3</t>
  </si>
  <si>
    <t xml:space="preserve">As lps_left_digit_usd_low.</t>
  </si>
  <si>
    <t xml:space="preserve">ec2014_used_imports_from_de_pct</t>
  </si>
  <si>
    <t xml:space="preserve">Share of imported used cars in the EU that come from Germany</t>
  </si>
  <si>
    <t xml:space="preserve">European Commission, Study on the second hand cars market (1 October 2014), summary</t>
  </si>
  <si>
    <t xml:space="preserve">https://commission.europa.eu/publications/study-second-hand-cars-market_en</t>
  </si>
  <si>
    <t xml:space="preserve">2014-10-01</t>
  </si>
  <si>
    <t xml:space="preserve">Flows only: the study gives no margin net of VAT, registration tax and transport, so cross-border remarketing stays unsized (X17).</t>
  </si>
  <si>
    <t xml:space="preserve">x17_days_cut</t>
  </si>
  <si>
    <t xml:space="preserve">Days cut from the average time to sale of a year's buy-back returns</t>
  </si>
  <si>
    <t xml:space="preserve">The group discloses no days to sell. The anchors: German dealers hold used petrol and diesel cars 82-86 days (dat_standing_days_*); best-selling young models run at 61-67 days of supply and the fastest, the group's own Corsa among them, near 40 (indicata_mds_*); UK adverts sell in about a month (autotrader_days_to_sell_2025). A remarketing programme (condition reports, x17_condition_days_saved; direct digital sale; intake-to-listing speed) cutting 5-20 days is the judgement; the pilot measures it on the ledger's own intake and sale dates.</t>
  </si>
  <si>
    <t xml:space="preserve">x17_share_routed</t>
  </si>
  <si>
    <t xml:space="preserve">Share of a year's buy-back returns routed to the group's own retail instead of the trade</t>
  </si>
  <si>
    <t xml:space="preserve">Aramis's retail volume (aramis_fy25_b2c_units) is a fraction of a year's returns, and routing more is limited by its sites, refurbishing capacity and mix. Routing pays unless retail adds more than about x17_channel_breakeven_days days in stock. A judgement; the ledger records each car's channel and result.</t>
  </si>
  <si>
    <t xml:space="preserve">stellantis_buyback_forms</t>
  </si>
  <si>
    <t xml:space="preserve">The group's buy-back contracts are repurchase obligations or customer puts expected to be exercised, both booked as operating leases, with gains and losses at disposal</t>
  </si>
  <si>
    <t xml:space="preserve">Stellantis Form 20-F FY2025, Note 2 revenue recognition: "Vehicle sales to customers can include a repurchase obligation, whereby the Company is required to repurchase the vehicles at a given point in time. The Company accounts for such sales as an operating lease"; a customer put is a lease where "a significant economic incentive exists for the customer to exercise its put option"; "The Company records gains and losses upon the disposal of a leased vehicle by comparing the net proceeds at disposition to the carrying value"</t>
  </si>
  <si>
    <t xml:space="preserve">Why the expected column treats the buy-back book as two-sided (X18): the cars come back, so the group gains in a rising market what it loses in a falling one, around its estimated residual. Where the customer holds a put, the upside is capped at the repurchase price (the cap's cost is not disclosed). The split between the two forms is not published.</t>
  </si>
  <si>
    <t xml:space="preserve">Context: X18 (the headline in two measures)</t>
  </si>
  <si>
    <t xml:space="preserve">bcbs_el_provisions</t>
  </si>
  <si>
    <t xml:space="preserve">Basel: expected losses are a cost covered by provisions and write-offs; capital is for unexpected losses</t>
  </si>
  <si>
    <t xml:space="preserve">BCBS, An Explanatory Note on the Basel II IRB Risk Weight Functions (July 2005), section 4.4: "banks are expected in general to cover their Expected Losses on an ongoing basis, e.g. by provisions and write-offs, because it represents another cost component"; capital "would only be needed for absorbing Unexpected Losses"</t>
  </si>
  <si>
    <t xml:space="preserve">https://www.bis.org/publications/explanatory-note-basel-ii-irb-risk-weight-functions.pdf</t>
  </si>
  <si>
    <t xml:space="preserve">2005-07</t>
  </si>
  <si>
    <t xml:space="preserve">Written for banks' credit risk; used as the convention for the headline's two measures (X18): an expected figure is budgeted, a tail is held by capital or a price, and the two are shown side by side, not added.</t>
  </si>
  <si>
    <t xml:space="preserve">bcbs_irb_confidence_pct</t>
  </si>
  <si>
    <t xml:space="preserve">Basel IRB capital confidence level, one year</t>
  </si>
  <si>
    <t xml:space="preserve">BCBS, An Explanatory Note on the Basel II IRB Risk Weight Functions (July 2005), section 5.1: "The confidence level is fixed at 99.9%, i.e. an institution is expected to suffer losses that exceed its level of tier 1 and tier 2 capital on average once in a thousand years"</t>
  </si>
  <si>
    <t xml:space="preserve">Credit risk. Beside it, the headline's one-in-ten-year market is a 90% level: a bad year to plan for, not a capital standard. Nothing here says what level a carmaker's buy-back book should hold (X18).</t>
  </si>
  <si>
    <t xml:space="preserve">vw_rv_risk_provisions</t>
  </si>
  <si>
    <t xml:space="preserve">Volkswagen: direct residual value risk is compared against the provisions recognised for it</t>
  </si>
  <si>
    <t xml:space="preserve">Volkswagen Group Annual Report 2024, report on risks and opportunities, financial risks: "the level of existing direct residual value risk is compared against the level of the provisions recognized for risks"; direct risk is borne by the financial services companies, indirect when transferred to a third party such as a dealer</t>
  </si>
  <si>
    <t xml:space="preserve">https://annualreport2024.volkswagen-group.com/group-management-report/report-on-risks-and-opportunities/risks-and-opportunities/financial-risks.html</t>
  </si>
  <si>
    <t xml:space="preserve">A captive's practice: the expected part of residual value risk is provisioned. No confidence level or expected-unexpected split is stated on that page (X18).</t>
  </si>
  <si>
    <t xml:space="preserve">x18_exp_twosided_book</t>
  </si>
  <si>
    <t xml:space="preserve">Leak 3's level and curve: expected loss a year, both sides counted, on the book's own record (negative is a gain)</t>
  </si>
  <si>
    <t xml:space="preserve">% of the book</t>
  </si>
  <si>
    <t xml:space="preserve">analysis/headline_measures_report.md</t>
  </si>
  <si>
    <t xml:space="preserve">The 20-F's buy-back contracts bring the cars back (stellantis_buyback_forms), so a rising market's gains count against a falling one's losses. The book's 12-month level moves 2016-2025 (level_1y_p10_book's data) plus the curve's refit errors, residual at no change (X7's best forecast). Negative because one boom lifts the decade's mean: the expected column counts it floored at zero, since a gain is not a leak. A decade's drift, not a long-run expectation (x18_exp_twosided_uk_long is the long check).</t>
  </si>
  <si>
    <t xml:space="preserve">x18_exp_twosided_uk_long</t>
  </si>
  <si>
    <t xml:space="preserve">The same, on the UK's 1988-2026 record (the longest we hold)</t>
  </si>
  <si>
    <t xml:space="preserve">UK data (ONS D7E9, the series behind level_1y_p10_uk_long) with the same curve errors. A reference line beside the expected column, in no total: over several cycles a residual set at no change lost a fraction of a percent a year.</t>
  </si>
  <si>
    <t xml:space="preserve">x18_exp_onesided_book</t>
  </si>
  <si>
    <t xml:space="preserve">Leak 3's level and curve: expected loss a year if only losses counted, per contract (upper end)</t>
  </si>
  <si>
    <t xml:space="preserve">As if every contract were a customer's put struck at the residual (X6's case): each car in its own market's move, each slice with its own curve error, only losses count. The 20-F's contracts are not this, but where a customer's put caps the group's upside the truth lies between zero and this. Shown beside the expected column, in no total. X6's median strike gives the same at 12 months.</t>
  </si>
  <si>
    <t xml:space="preserve">x18_joint_share_book</t>
  </si>
  <si>
    <t xml:space="preserve">Leak 3's level and curve one year in ten: the joint p10 as a share of the sum of their separate p10s, base</t>
  </si>
  <si>
    <t xml:space="preserve">% of the sum</t>
  </si>
  <si>
    <t xml:space="preserve">The book's 12-month level moves and the curve's refit errors, independent, every combination. The sum of p10s assumes both go wrong at once, a year rarer than one in ten; in Latvia the curve moved against the level (x18_lv_curve_level_corr_12m), so independence is cautious there. Measured at the central thin_share_of_book; across its range the share moves a few points (report, thin share table), so the workbook's line is off by a few percent of itself at the extremes.</t>
  </si>
  <si>
    <t xml:space="preserve">x18_joint_share_stress</t>
  </si>
  <si>
    <t xml:space="preserve">The same for the stress (the core markets' pooled 12-month moves)</t>
  </si>
  <si>
    <t xml:space="preserve">As x18_joint_share_book, with the level at the core markets' pooled 12-month moves (level_1y_p10_core's data). A larger share: the level dominates a core market's bad year.</t>
  </si>
  <si>
    <t xml:space="preserve">x18_joint_p10_book</t>
  </si>
  <si>
    <t xml:space="preserve">Leak 3's level and curve: joint p10 loss a year, base (exact)</t>
  </si>
  <si>
    <t xml:space="preserve">The exact figure behind x18_joint_share_book, computed on the report's own curve distributions (their spreads round to the register's curve_1y_p80_*).</t>
  </si>
  <si>
    <t xml:space="preserve">x18_joint_p10_stress</t>
  </si>
  <si>
    <t xml:space="preserve">Leak 3's level and curve: joint p10 loss a year, stress (exact)</t>
  </si>
  <si>
    <t xml:space="preserve">The exact figure behind x18_joint_share_stress.</t>
  </si>
  <si>
    <t xml:space="preserve">x18_book_mean_12m</t>
  </si>
  <si>
    <t xml:space="preserve">The book's 12-month level move, mean, 2016-2025</t>
  </si>
  <si>
    <t xml:space="preserve">Local currency, 2019 registration weights, France on the euro-area index (level_1y_p10_book's data). Lifted by the 2021-22 boom; the median (x18_book_median_12m) is a small fall.</t>
  </si>
  <si>
    <t xml:space="preserve">x18_book_median_12m</t>
  </si>
  <si>
    <t xml:space="preserve">The book's 12-month level move, median, 2016-2025</t>
  </si>
  <si>
    <t xml:space="preserve">As x18_book_mean_12m.</t>
  </si>
  <si>
    <t xml:space="preserve">x18_lv_curve_level_corr_12m</t>
  </si>
  <si>
    <t xml:space="preserve">Latvia: correlation of the year's change in the refitted curve with the year's level move, overlapping</t>
  </si>
  <si>
    <t xml:space="preserve">The 52 monthly Latvian refits (latvia_time.py), 2019-2023; overlapping windows. Negative: the curve steepened when the level rose, so the two partly offset. One country; on the advert index the correlation is also negative, weaker (report).</t>
  </si>
  <si>
    <t xml:space="preserve">x18_lv_curve_level_corr_12m_indep</t>
  </si>
  <si>
    <t xml:space="preserve">The same over non-overlapping years</t>
  </si>
  <si>
    <t xml:space="preserve">Four independent years only: a sign, not a measurement.</t>
  </si>
  <si>
    <t xml:space="preserve">stellantis_subvention_residual</t>
  </si>
  <si>
    <t xml:space="preserve">The group pays subvention to support its leasing programmes, and says a fall in residual values raises it</t>
  </si>
  <si>
    <t xml:space="preserve">Stellantis Form 20-F FY2025, risk factors: "A deterioration in residual value could increase the cost that consumers pay to lease our vehicles, increase the amount of subvention payments that we make to support our leasing programs and negatively impact our captive finance companies"</t>
  </si>
  <si>
    <t xml:space="preserve">The existing internal price across the sales-finance line, and the group's own statement of the leak 1 to leak 3 link. No amount is disclosed (X19).</t>
  </si>
  <si>
    <t xml:space="preserve">Context: X19 (internal prices)</t>
  </si>
  <si>
    <t xml:space="preserve">stellantis_subvention_incentive</t>
  </si>
  <si>
    <t xml:space="preserve">Subvention and lease subsidies are part of the group's sales incentives</t>
  </si>
  <si>
    <t xml:space="preserve">Stellantis Form 20-F FY2025, Note 2, sales incentives: "subvention programs offered to customers, or lease subsidies, which reduce the retail customer's monthly lease payment or cash due at the inception of the financing arrangement, or both"</t>
  </si>
  <si>
    <t xml:space="preserve">So subvention sits inside the incentive provision that is leak 1's claims base (x14_incentive_claims_*); a transfer price for the discount's resale cost must not charge it twice (X19).</t>
  </si>
  <si>
    <t xml:space="preserve">weinberg_margin_commission</t>
  </si>
  <si>
    <t xml:space="preserve">A salesperson paid on gross margin and given control over price sets the price that maximises the firm's profit</t>
  </si>
  <si>
    <t xml:space="preserve">Weinberg, C. B. (1975), An Optimal Commission Plan for Salesmen's Control Over Price, Management Science 21(8): 937-943, abstract: "If marginal costs are constant, salesman who are paid a commission based on gross margin and who are given control over price will set prices so as to maximize simultaneously their own income and the company's profits"</t>
  </si>
  <si>
    <t xml:space="preserve">https://ideas.repec.org/a/inm/ormnsc/v21y1975i8p937-943.html</t>
  </si>
  <si>
    <t xml:space="preserve">1975</t>
  </si>
  <si>
    <t xml:space="preserve">A theorem, not a measurement. It is why the discount's resale cost belongs in the margin the sales side is paid on: then its own best discount is the group's (X19). Holds with constant marginal costs.</t>
  </si>
  <si>
    <t xml:space="preserve">misra_nair_revenue_gain_pct</t>
  </si>
  <si>
    <t xml:space="preserve">Revenue gain after a firm removed its salespeople's quotas, field implementation</t>
  </si>
  <si>
    <t xml:space="preserve">Misra, S. and Nair, H. (2011), A structural model of sales-force compensation dynamics: estimation and field implementation, Quantitative Marketing and Economics 9(3): 211-257, abstract: "The new plan resulted in a 9% improvement in overall revenues" (about $12m a year)</t>
  </si>
  <si>
    <t xml:space="preserve">https://ideas.repec.org/a/kap/qmktec/v9y2011i3p211-257.html</t>
  </si>
  <si>
    <t xml:space="preserve">2011</t>
  </si>
  <si>
    <t xml:space="preserve">US data: one contact-lens maker, 87 salespeople. The plan removed quotas, which agents gamed by timing sales; it was not margin-based pay (the user's research report misread it). Evidence that pay design moves a sales force's behaviour a lot, not a forecast for the group (X19).</t>
  </si>
  <si>
    <t xml:space="preserve">ccd2_early_repayment_cap_pct</t>
  </si>
  <si>
    <t xml:space="preserve">Consumer credit: the most a creditor may charge for early repayment, more than a year before the agreed end</t>
  </si>
  <si>
    <t xml:space="preserve">% of the amount repaid early</t>
  </si>
  <si>
    <t xml:space="preserve">Directive (EU) 2023/2225, Art. 29(2): "shall not exceed 1 % of the amount of credit subject to early repayment where the period of time between the early repayment and the agreed date of termination of the credit agreement exceeds one year"; Art. 29(5): never more than the interest the consumer would have paid to the agreed end</t>
  </si>
  <si>
    <t xml:space="preserve">Applies from 20 November 2026 (Art. 48). Covers credit sales and leases with an option or obligation to purchase (Art. 2(2)(g) excludes the rest), so LOA is in and long-term rental is out. Only while the borrowing rate is fixed. Member States may allow more where the creditor proves a larger loss (Art. 29(4)(b)).</t>
  </si>
  <si>
    <t xml:space="preserve">ccd2_early_repayment_cap_last_year_pct</t>
  </si>
  <si>
    <t xml:space="preserve">The same, within the last year of the agreement</t>
  </si>
  <si>
    <t xml:space="preserve">Directive (EU) 2023/2225, Art. 29(2): "Where that period does not exceed one year, the compensation shall not exceed 0,5 % of the amount of credit subject to early repayment"</t>
  </si>
  <si>
    <t xml:space="preserve">As ccd2_early_repayment_cap_pct.</t>
  </si>
  <si>
    <t xml:space="preserve">sfse_pnb_ifrs8_2025_eur_m</t>
  </si>
  <si>
    <t xml:space="preserve">Stellantis Financial Services Europe: net banking income, IFRS 8 view, 2025</t>
  </si>
  <si>
    <t xml:space="preserve">Stellantis Financial Services Europe, Rapport Annuel 2025, p. 19: "Le produit net bancaire au format IFRS 8 est en augmentation de 13,2% à 2 125 millions d'euros"</t>
  </si>
  <si>
    <t xml:space="preserve">The IFRS 8 view manages the partner joint ventures in full; Europe and Brazil. Net interest on loans and leases plus insurance and services income (X19).</t>
  </si>
  <si>
    <t xml:space="preserve">sfse_opex_ifrs8_2025_eur_m</t>
  </si>
  <si>
    <t xml:space="preserve">The same: operating expenses, 2025</t>
  </si>
  <si>
    <t xml:space="preserve">Stellantis Financial Services Europe, Rapport Annuel 2025, p. 19: "Au format IFRS 8, les charges générales d'exploitation s'établissent à - 708 millions d'euros"</t>
  </si>
  <si>
    <t xml:space="preserve">As sfse_pnb_ifrs8_2025_eur_m.</t>
  </si>
  <si>
    <t xml:space="preserve">sfse_cor_ifrs8_2025_eur_m</t>
  </si>
  <si>
    <t xml:space="preserve">The same: cost of risk, 2025 (a cost)</t>
  </si>
  <si>
    <t xml:space="preserve">Stellantis Financial Services Europe, Rapport Annuel 2025, p. 20: "Au format IFRS 8, le coût du risque s'établit à - 227 millions d'euros soit - 0,43% des encours nets moyens"</t>
  </si>
  <si>
    <t xml:space="preserve">As sfse_pnb_ifrs8_2025_eur_m. With sfse_cor_pct_outstanding_2025 it gives the average net outstanding (the share is rounded to two decimals, so the outstanding is good to about 1%).</t>
  </si>
  <si>
    <t xml:space="preserve">sfse_cor_pct_outstanding_2025</t>
  </si>
  <si>
    <t xml:space="preserve">The same: cost of risk as a share of average net outstanding, 2025</t>
  </si>
  <si>
    <t xml:space="preserve">Stellantis Financial Services Europe, Rapport Annuel 2025, p. 20: "soit - 0,43% des encours nets moyens"</t>
  </si>
  <si>
    <t xml:space="preserve">As sfse_cor_ifrs8_2025_eur_m. The outstanding itself is shown only in charts.</t>
  </si>
  <si>
    <t xml:space="preserve">x19_core_cold_premium_12m</t>
  </si>
  <si>
    <t xml:space="preserve">Buy-back book: extra level cost of a 12-month contract started with the level in its cold third, both sides counted, core markets</t>
  </si>
  <si>
    <t xml:space="preserve">points of residual</t>
  </si>
  <si>
    <t xml:space="preserve">analysis/level_price_book_report.md</t>
  </si>
  <si>
    <t xml:space="preserve">Eurostat HICP CP07112, the core markets (FR IT DE ES PL NL PT) with their full series (France from 1996), 12-month contracts, residual at the panel's median move, overlapping windows. The buy-back book's state premium (X19): cold minus the unconditional cost. The UK's long record agrees (x19_uk_cold_premium_12m); every Eurostat market gives more (x19_all_cold_premium_12m). A cold contract is about break-even two-sided in the core markets (x19_core_cold_two_12m): the premium is relative, not a loss on average.</t>
  </si>
  <si>
    <t xml:space="preserve">x19_core_cold_two_12m</t>
  </si>
  <si>
    <t xml:space="preserve">The same: level cost of a 12-month contract started cold, both sides counted, core markets</t>
  </si>
  <si>
    <t xml:space="preserve">Eurostat HICP CP07112, the core markets (FR IT DE ES PL NL PT) with their full series (France from 1996), 12-month contracts, residual at the panel's median move, overlapping windows. Negative is a gain.</t>
  </si>
  <si>
    <t xml:space="preserve">x19_core_all_two_12m</t>
  </si>
  <si>
    <t xml:space="preserve">The same: level cost of any 12-month contract, both sides counted, core markets</t>
  </si>
  <si>
    <t xml:space="preserve">Eurostat HICP CP07112, the core markets (FR IT DE ES PL NL PT) with their full series (France from 1996), 12-month contracts, residual at the panel's median move, overlapping windows. Negative is a gain: at the median strike, a right-skewed move (one boom) makes the average a gain. X18's zero, per contract.</t>
  </si>
  <si>
    <t xml:space="preserve">x19_core_all_one_12m</t>
  </si>
  <si>
    <t xml:space="preserve">The same, only losses counted (X6's put at 12 months), core markets</t>
  </si>
  <si>
    <t xml:space="preserve">Eurostat HICP CP07112, the core markets (FR IT DE ES PL NL PT) with their full series (France from 1996), 12-month contracts, residual at the panel's median move, overlapping windows. The price where a customer holds an option at the residual, at the buy-back book's horizon; for comparison with the two-sided figures.</t>
  </si>
  <si>
    <t xml:space="preserve">x19_uk_cold_premium_12m</t>
  </si>
  <si>
    <t xml:space="preserve">Buy-back book's state premium on the UK's 1988-2026 record</t>
  </si>
  <si>
    <t xml:space="preserve">UK data (ONS D7E9), several cycles, 12-month contracts, both sides counted. A check on x19_core_cold_premium_12m.</t>
  </si>
  <si>
    <t xml:space="preserve">x19_all_cold_premium_12m</t>
  </si>
  <si>
    <t xml:space="preserve">Buy-back book's state premium across every Eurostat market</t>
  </si>
  <si>
    <t xml:space="preserve">All 26+ Eurostat markets with their full series, pooled. Higher than the core markets': smaller and more volatile markets carry it. A reference, not the price.</t>
  </si>
  <si>
    <t xml:space="preserve">x19_all_cold_two_12m</t>
  </si>
  <si>
    <t xml:space="preserve">Level cost of a 12-month contract started cold, both sides counted, every Eurostat market</t>
  </si>
  <si>
    <t xml:space="preserve">The only panel in which a cold contract is a loss on average both sides counted. A reference.</t>
  </si>
  <si>
    <t xml:space="preserve">x19_pull_forward_months</t>
  </si>
  <si>
    <t xml:space="preserve">Worked trade-off: months an upgrade is pulled forward from the contract's end</t>
  </si>
  <si>
    <t xml:space="preserve">Our choice of example</t>
  </si>
  <si>
    <t xml:space="preserve">A scenario for the worked trade-off, not an estimate of anything: the Internal prices sheet shows it at this value and at its low and high. It feeds no value-at-risk formula. Past a year the early-repayment cap is 1%, within a year 0.5% (ccd2_early_repayment_cap_*).</t>
  </si>
  <si>
    <t xml:space="preserve">eprivacy_soft_optin</t>
  </si>
  <si>
    <t xml:space="preserve">Marketing to existing customers without consent is open only to the seller, for its own similar products</t>
  </si>
  <si>
    <t xml:space="preserve">Directive 2002/58/EC, Art 13(2): "the same natural or legal person may use these electronic contact details for direct marketing of its own similar products or services"</t>
  </si>
  <si>
    <t xml:space="preserve">https://eur-lex.europa.eu/legal-content/EN/TXT/HTML/?uri=CELEX:02002L0058-20091219</t>
  </si>
  <si>
    <t xml:space="preserve">2009-12-19</t>
  </si>
  <si>
    <t xml:space="preserve">So a joint venture's opt-in never passes to the carmaker; the joint venture may offer its own customer a new finance contract (X20).</t>
  </si>
  <si>
    <t xml:space="preserve">Context: X20 (data rights)</t>
  </si>
  <si>
    <t xml:space="preserve">eprivacy_terminal_consent</t>
  </si>
  <si>
    <t xml:space="preserve">Reading data stored in a user's terminal equipment needs consent, unless strictly necessary for a service the user asked for</t>
  </si>
  <si>
    <t xml:space="preserve">Directive 2002/58/EC as amended by 2009/136/EC, Art 5(3): "only allowed on condition that the subscriber or user concerned has given his or her consent"</t>
  </si>
  <si>
    <t xml:space="preserve">With edpb_connected_vehicle_terminal: reading a car's data needs the user's consent or a service the user requested (X20).</t>
  </si>
  <si>
    <t xml:space="preserve">edpb_connected_vehicle_terminal</t>
  </si>
  <si>
    <t xml:space="preserve">EDPB: a connected vehicle is terminal equipment, so ePrivacy Art 5(3) applies</t>
  </si>
  <si>
    <t xml:space="preserve">EDPB Guidelines 01/2020 on processing personal data in the context of connected vehicles and mobility related applications, v2.0 (adopted 9 March 2021), para 13: "the connected vehicle and device connected to it should be considered as a 'terminal equipment' (just like a computer, a smartphone or a smart TV) and provisions of art. 5(3) ePrivacy directive apply where relevant"</t>
  </si>
  <si>
    <t xml:space="preserve">https://www.edpb.europa.eu/system/files/documents/2021-03/edpb_guidelines_202001_connected_vehicles_v2.0_adopted_en.pdf</t>
  </si>
  <si>
    <t xml:space="preserve">2021-03-09</t>
  </si>
  <si>
    <t xml:space="preserve">Guidance, not law. The ledger reads odometer and battery at a car's return under the user's contract or consent (X20).</t>
  </si>
  <si>
    <t xml:space="preserve">edpb_pseudonymised_personal</t>
  </si>
  <si>
    <t xml:space="preserve">EDPB: pseudonymised data remain personal data even when the key is held by another party</t>
  </si>
  <si>
    <t xml:space="preserve">EDPB Guidelines 01/2025 on Pseudonymisation: pseudonymised data "is to be considered information on an identifiable natural person ... This statement also holds true if pseudonymised data and additional information are not in the hands of the same person"; the risk reduction "may enable controllers to rely on legitimate interests under Art. 6(1)(f) GDPR"</t>
  </si>
  <si>
    <t xml:space="preserve">https://www.edpb.europa.eu/system/files/2025-01/edpb_guidelines_202501_pseudonymisation_en.pdf</t>
  </si>
  <si>
    <t xml:space="preserve">2025-01</t>
  </si>
  <si>
    <t xml:space="preserve">Adopted for consultation January 2025. Backs X1's design rule (the customer link held apart) and keyed matching with a joint venture; a hashed VIN is still personal data (X20).</t>
  </si>
  <si>
    <t xml:space="preserve">gdpr_fraud_legitimate_interest</t>
  </si>
  <si>
    <t xml:space="preserve">GDPR: processing strictly necessary to prevent fraud is a legitimate interest</t>
  </si>
  <si>
    <t xml:space="preserve">Regulation (EU) 2016/679, Recital 47: "The processing of personal data strictly necessary for the purposes of preventing fraud also constitutes a legitimate interest of the data controller concerned"</t>
  </si>
  <si>
    <t xml:space="preserve">https://eur-lex.europa.eu/legal-content/EN/TXT/HTML/?uri=CELEX:32016R0679</t>
  </si>
  <si>
    <t xml:space="preserve">2016-04-27</t>
  </si>
  <si>
    <t xml:space="preserve">The basis for checking a dealer's incentive claim against independent sources (Art 6(1)(f)); still needs a balancing test (X20).</t>
  </si>
  <si>
    <t xml:space="preserve">gdpr_joint_controllers</t>
  </si>
  <si>
    <t xml:space="preserve">GDPR: joint controllers must set their responsibilities in an arrangement</t>
  </si>
  <si>
    <t xml:space="preserve">Regulation (EU) 2016/679, Art 26(1): "Where two or more controllers jointly determine the purposes and means of processing, they shall be joint controllers. They shall in a transparent manner determine their respective responsibilities ... by means of an arrangement between them"</t>
  </si>
  <si>
    <t xml:space="preserve">A shared upgrade programme with a joint venture (the group's timing, the partner's contact) needs one (X20).</t>
  </si>
  <si>
    <t xml:space="preserve">data_act_design_duty_date</t>
  </si>
  <si>
    <t xml:space="preserve">Data Act: connected products must make their data accessible to the user by design, for products placed on the market after 12 September 2026</t>
  </si>
  <si>
    <t xml:space="preserve">Regulation (EU) 2023/2854, Art 3(1) and Art 50: "The obligation resulting from Article 3(1) shall apply to connected products and the services related to them placed on the market after 12 September 2026"</t>
  </si>
  <si>
    <t xml:space="preserve">Cars sold before then have no design duty; the rest of the Act applies from 12 September 2025 (data_act_rules).</t>
  </si>
  <si>
    <t xml:space="preserve">data_act_user_owner_lessee</t>
  </si>
  <si>
    <t xml:space="preserve">Data Act: the owner and anyone with contracted rights to use the car (a lessee or renter) are users</t>
  </si>
  <si>
    <t xml:space="preserve">Regulation (EU) 2023/2854, Art 2(12): "'user' means a natural or legal person that owns a connected product or to whom temporary rights to use that connected product have been contractually transferred"; Art 4(13): the data holder uses non-personal data "on the basis of a contract with the user"</t>
  </si>
  <si>
    <t xml:space="preserve">So a leasing company or rental firm is a user of the cars it holds: a data clause in the group's own lease and buy-back contracts is a route to returned cars' data. A private driver's personal data still needs a GDPR basis (X20).</t>
  </si>
  <si>
    <t xml:space="preserve">vber_info_exchange_dual</t>
  </si>
  <si>
    <t xml:space="preserve">Block exemption: supplier-dealer information exchange in dual distribution is exempt only if it implements the agreement and improves distribution</t>
  </si>
  <si>
    <t xml:space="preserve">Regulation (EU) 2022/720, Art 2(5): the dual-distribution exceptions "shall not apply to the exchange of information between the supplier and the buyer that is either not directly related to the implementation of the vertical agreement or is not necessary to improve the production or distribution of the contract goods"</t>
  </si>
  <si>
    <t xml:space="preserve">2022-05-10</t>
  </si>
  <si>
    <t xml:space="preserve">VIN-level proof of sale for an incentive claim implements the incentive programme; dealers' transaction prices must not be used to steer resale prices (vber_art4a_rpm) (X20).</t>
  </si>
  <si>
    <t xml:space="preserve">kba_register_private_access</t>
  </si>
  <si>
    <t xml:space="preserve">Germany's central vehicle register answers private requests only for legal claims tied to road traffic, theft or loss</t>
  </si>
  <si>
    <t xml:space="preserve">Kraftfahrt-Bundesamt, Auskunft aus dem ZFZR: private recipients may get information under § 39 StVG to assert or defend "Rechtsansprüchen im Zusammenhang mit der Teilnahme am Straßenverkehr" (extended: also theft or loss); written request by post; "Die Gebühr für eine Auskunft beträgt je Kraftfahrzeug oder Anhänger derzeit 5,10 Euro"</t>
  </si>
  <si>
    <t xml:space="preserve">https://www.kba.de/DE/Themen/ZentraleRegister/ZFZR/Auskunft/zfzr_auskunft_inhalt.html</t>
  </si>
  <si>
    <t xml:space="preserve">No route for an incentive-claim check (not a road-traffic claim) (X20).</t>
  </si>
  <si>
    <t xml:space="preserve">histovec_holder_only</t>
  </si>
  <si>
    <t xml:space="preserve">France's vehicle history report can be generated only by the current registration holder</t>
  </si>
  <si>
    <t xml:space="preserve">HistoVec FAQ (Ministère de l'Intérieur): "Seul le titulaire du certificat d'immatriculation en cours de validité peut générer le rapport HistoVec de son véhicule, qu'il choisit de transmettre à des tiers"</t>
  </si>
  <si>
    <t xml:space="preserve">https://histovec.interieur.gouv.fr/histovec/faq-comment-utiliser-histovec</t>
  </si>
  <si>
    <t xml:space="preserve">No independent per-car route for the group in France, except for cars it or its partners hold (X20).</t>
  </si>
  <si>
    <t xml:space="preserve">dgt_reports_open</t>
  </si>
  <si>
    <t xml:space="preserve">Spain's vehicle reports are open to anyone, the detailed one with inspection mileage and keeper count, for a fee</t>
  </si>
  <si>
    <t xml:space="preserve">DGT, Informe de un vehículo: "Salvo el caso del informe de 'vehículos a mi nombre' ... el resto de informes están disponibles para cualquier persona, sea o no el titular del vehículo"; the detailed report includes "historial de ITV, kilometraje, número de titulares"; fee tasa 4.1</t>
  </si>
  <si>
    <t xml:space="preserve">https://www.dgt.es/nuestros-servicios/tu-vehiculo/tus-vehiculos/informe-de-un-vehiculo/</t>
  </si>
  <si>
    <t xml:space="preserve">A per-car, paid route for claim checks in Spain; the fee's amount is not shown on the page (X20).</t>
  </si>
  <si>
    <t xml:space="preserve">cnil_ubeeqo_fine_eur</t>
  </si>
  <si>
    <t xml:space="preserve">CNIL fine on a car-sharing firm for near-permanent vehicle geolocation</t>
  </si>
  <si>
    <t xml:space="preserve">CNIL, délibération SAN-2022-015 du 7 juillet 2022 (Légifrance): "une amende administrative d'un montant de 175 000 ... euros"; location collected "tous les 500 mètres, lorsque le moteur s'allume et se coupe ou encore lorsque les portes s'ouvrent et se ferment"; kept three years after the last activity (GDPR Art 5.1.c, 5.1.e, 12)</t>
  </si>
  <si>
    <t xml:space="preserve">https://www.legifrance.gouv.fr/cnil/id/CNILTEXT000046070924</t>
  </si>
  <si>
    <t xml:space="preserve">2022-07-07</t>
  </si>
  <si>
    <t xml:space="preserve">The design rule: read odometer and battery at return, events not streams, never location (X20).</t>
  </si>
  <si>
    <t xml:space="preserve">aci_visura_open</t>
  </si>
  <si>
    <t xml:space="preserve">Italy's vehicle register answers anyone per car, for a fee, three a day per tax code</t>
  </si>
  <si>
    <t xml:space="preserve">ACI, Visurenet: visura della banca dati del PRA: available "A chiunque ne faccia richiesta" by plate with SPID, CIE, CNS or eIDAS; "le informazioni sullo stato giuridico attuale del veicolo (intestatario, vincoli/gravami)"; €6.00 via pagoPA; "Sono consentite solamente tre visure nello stesso giorno con lo stesso codice fiscale"</t>
  </si>
  <si>
    <t xml:space="preserve">https://aci.gov.it/servizio/visurenet-visura-della-banca-dati-del-pubblico-registro-automobilistico-pra/</t>
  </si>
  <si>
    <t xml:space="preserve">A per-car route for sampled spot checks of incentive claims in Italy, not bulk; current status only (the chronological extract is a separate product). Bulk access for companies is not described on the page (X20).</t>
  </si>
  <si>
    <t xml:space="preserve">x20_reg_route_any_2024</t>
  </si>
  <si>
    <t xml:space="preserve">Share of the group's EU registrations in markets whose register lets anyone check a car per car (NL, ES, IT)</t>
  </si>
  <si>
    <t xml:space="preserve">% of the group's EU registrations</t>
  </si>
  <si>
    <t xml:space="preserve">analysis/data_reach_report.md</t>
  </si>
  <si>
    <t xml:space="preserve">The group's 2024 new-car registrations by Member State (EU CO2 monitoring register, EEA, final; the UK is not in it), its brands as merger_diversification.py tags them; routes from X20 part 1's sources. Spain and Italy per car for a fee (Italy three a day per tax code): sampled spot checks, not bulk. Six markets were checked; the rest are 'not checked', not closed. The 2025 provisional share agrees (report).</t>
  </si>
  <si>
    <t xml:space="preserve">x20_reg_route_bulk_2024</t>
  </si>
  <si>
    <t xml:space="preserve">The same, in bulk (the Netherlands' open data)</t>
  </si>
  <si>
    <t xml:space="preserve">The group's 2024 new-car registrations by Member State (EU CO2 monitoring register, EEA, final; the UK is not in it), its brands as merger_diversification.py tags them; routes from X20 part 1's sources. Current keeper only (the RDW trap in STATE).</t>
  </si>
  <si>
    <t xml:space="preserve">x20_reg_no_route_2024</t>
  </si>
  <si>
    <t xml:space="preserve">Share in markets whose register gives the group no route for a claim check (DE, FR, FI)</t>
  </si>
  <si>
    <t xml:space="preserve">The group's 2024 new-car registrations by Member State (EU CO2 monitoring register, EEA, final; the UK is not in it), its brands as merger_diversification.py tags them; routes from X20 part 1's sources. Germany answers only road-traffic claims (kba_register_private_access); France's history only its holder (histovec_holder_only); Finland's open data are anonymised.</t>
  </si>
  <si>
    <t xml:space="preserve">x20_reg_not_checked_2024</t>
  </si>
  <si>
    <t xml:space="preserve">Share in markets whose register route was not checked</t>
  </si>
  <si>
    <t xml:space="preserve">The group's 2024 new-car registrations by Member State (EU CO2 monitoring register, EEA, final; the UK is not in it), its brands as merger_diversification.py tags them; routes from X20 part 1's sources. Belgium, Portugal, Poland, Greece, Austria and the rest.</t>
  </si>
  <si>
    <t xml:space="preserve">mckox_sw_cost_overrun_pct</t>
  </si>
  <si>
    <t xml:space="preserve">Large IT projects, software: average cost overrun</t>
  </si>
  <si>
    <t xml:space="preserve">McKinsey-Oxford study (Bloch, Blumberg &amp; Laartz, McKinsey, 1 October 2012), Exhibit 1, software row</t>
  </si>
  <si>
    <t xml:space="preserve">https://www.mckinsey.com/capabilities/mckinsey-digital/our-insights/delivering-large-scale-it-projects-on-time-on-budget-and-on-value</t>
  </si>
  <si>
    <t xml:space="preserve">2012</t>
  </si>
  <si>
    <t xml:space="preserve">A reference class, not an estimate of this programme: IT projects with budgets above $15m (2010 dollars), over 5,400 of them, across industries. Software projects: cost +66%, schedule +33%, benefits short 17%; non-software IT: +43%, +3.6%, 133%; all: +45%, +7%, 56%. The ledger is a software and data programme, so the software row is its class. Averages hide a fat tail: 17% of IT projects 'go so bad that they can threaten the very existence of the company'.</t>
  </si>
  <si>
    <t xml:space="preserve">Benefits (X21)</t>
  </si>
  <si>
    <t xml:space="preserve">mckox_sw_schedule_overrun_pct</t>
  </si>
  <si>
    <t xml:space="preserve">Large IT projects, software: average schedule overrun</t>
  </si>
  <si>
    <t xml:space="preserve">mckox_sw_benefit_shortfall_pct</t>
  </si>
  <si>
    <t xml:space="preserve">Large IT projects, software: average benefits shortfall</t>
  </si>
  <si>
    <t xml:space="preserve">mckox_all_benefit_shortfall_pct</t>
  </si>
  <si>
    <t xml:space="preserve">Large IT projects, all types: average benefits shortfall ("56 percent less value than predicted")</t>
  </si>
  <si>
    <t xml:space="preserve">McKinsey-Oxford study (Bloch, Blumberg &amp; Laartz, McKinsey, 1 October 2012), Exhibit 1, total row, and the article's text</t>
  </si>
  <si>
    <t xml:space="preserve">A reference class, not an estimate of this programme: IT projects with budgets above $15m (2010 dollars), over 5,400 of them, across industries. Software projects: cost +66%, schedule +33%, benefits short 17%; non-software IT: +43%, +3.6%, 133%; all: +45%, +7%, 56%. The ledger is a software and data programme, so the software row is its class. Averages hide a fat tail: 17% of IT projects 'go so bad that they can threaten the very existence of the company'. The all-type 56% is driven by non-software IT: using it for a software programme takes the wrong row (the user's X21 research report did).</t>
  </si>
  <si>
    <t xml:space="preserve">Context: X21 (the wrong row, rejected)</t>
  </si>
  <si>
    <t xml:space="preserve">fb_stress_cost_overrun_pct</t>
  </si>
  <si>
    <t xml:space="preserve">Flyvbjerg-Budzier stress test: cost overrun of the biggest project</t>
  </si>
  <si>
    <t xml:space="preserve">Flyvbjerg &amp; Budzier, "Why your IT project may be riskier than you think", Harvard Business Review 89(9), September 2011 (authors' copy): "is the company strong enough to absorb the hit if its biggest technology project goes over budget by 400% or more and if only 25% to 50% of the projected benefits are realized?"</t>
  </si>
  <si>
    <t xml:space="preserve">https://arxiv.org/abs/1304.0265</t>
  </si>
  <si>
    <t xml:space="preserve">A stress test the authors propose, not an average or a forecast. In their 1,471 IT projects the average cost overrun was 27%, and one in six was a black swan (a cost overrun of 200% on average and a schedule overrun of almost 70%). They advise breaking big projects into ones of limited size, complexity and duration.</t>
  </si>
  <si>
    <t xml:space="preserve">fb_stress_benefit_low_pct</t>
  </si>
  <si>
    <t xml:space="preserve">Flyvbjerg-Budzier stress test: share of projected benefits realised, low end</t>
  </si>
  <si>
    <t xml:space="preserve">fb_stress_benefit_high_pct</t>
  </si>
  <si>
    <t xml:space="preserve">Flyvbjerg-Budzier stress test: share of projected benefits realised, high end</t>
  </si>
  <si>
    <t xml:space="preserve">bf_public_it_outlier_pct</t>
  </si>
  <si>
    <t xml:space="preserve">Public-sector IT projects with a cost overrun above 25% (black swans)</t>
  </si>
  <si>
    <t xml:space="preserve">Budzier &amp; Flyvbjerg, "Overspend? Late? Failure? What the data say about IT project risk in the public sector", Commonwealth Governance Handbook 2012/13 (authors' copy), abstract and Exhibit 2</t>
  </si>
  <si>
    <t xml:space="preserve">https://arxiv.org/abs/1304.4525</t>
  </si>
  <si>
    <t xml:space="preserve">1,355 public-sector IT projects (average spend $130m, 35 months). The median project had no cost overrun and ran 24% late; a typical black swan overran its cost by 130% (median) and ran 41% late. Every extra year of duration added 4.2 points of cost risk. Public sector, not a carmaker.</t>
  </si>
  <si>
    <t xml:space="preserve">Context: X21 and X22 (the tail and the stop)</t>
  </si>
  <si>
    <t xml:space="preserve">bf_public_datamgmt_outlier_pct</t>
  </si>
  <si>
    <t xml:space="preserve">The same, data-management projects</t>
  </si>
  <si>
    <t xml:space="preserve">Budzier &amp; Flyvbjerg, "Overspend? Late? Failure? What the data say about IT project risk in the public sector", Commonwealth Governance Handbook 2012/13 (authors' copy), abstract and Exhibit 2 (abstract: 'data management (41%)')</t>
  </si>
  <si>
    <t xml:space="preserve">The project type closest to the ledger carries more than twice the average outlier risk (bf_public_it_outlier_pct). Public sector; a type-level rate from one database. The reason X22's gates must be readable inside each phase and carry a stop.</t>
  </si>
  <si>
    <t xml:space="preserve">gb_ob_capex_upper_ict_pct</t>
  </si>
  <si>
    <t xml:space="preserve">Green Book optimism bias, capital cost, equipment/development (incl. ICT): upper bound</t>
  </si>
  <si>
    <t xml:space="preserve">HM Treasury, Supplementary Green Book guidance: optimism bias (published 21 April 2013, not withdrawn), Table 1, equipment/development projects, which it defines to include ICT development (3.10)</t>
  </si>
  <si>
    <t xml:space="preserve">https://assets.publishing.service.gov.uk/media/5a74dae740f0b65f61322c72/Optimism_bias.pdf</t>
  </si>
  <si>
    <t xml:space="preserve">UK public procurement, from Mott MacDonald's 2002 study of past projects. The upper bound is the starting value at outline business case (3.11); it is reduced only as the contributory factors are mitigated, with clear and independently verified evidence (3.12-3.17), towards the lower bound of 10%. It covers capital cost and works duration only: there are no sound levels for benefits shortfall, and appraisers are told to use switching values instead (4.1). A convention, not a measurement of this programme.</t>
  </si>
  <si>
    <t xml:space="preserve">gb_ob_capex_lower_ict_pct</t>
  </si>
  <si>
    <t xml:space="preserve">The same: lower bound, after mitigation</t>
  </si>
  <si>
    <t xml:space="preserve">gb_ob_duration_upper_ict_pct</t>
  </si>
  <si>
    <t xml:space="preserve">The same: works duration, upper bound</t>
  </si>
  <si>
    <t xml:space="preserve">Context: X21 (the duration convention)</t>
  </si>
  <si>
    <t xml:space="preserve">gb_appraisal_default_years</t>
  </si>
  <si>
    <t xml:space="preserve">Green Book 2026: standard appraisal period for proposals other than infrastructure, buildings and regulation</t>
  </si>
  <si>
    <t xml:space="preserve">HM Treasury, The Green Book (2026), published 5 February 2026: "10 years as a standard measure for all other proposals"</t>
  </si>
  <si>
    <t xml:space="preserve">https://www.gov.uk/government/publications/the-green-book-appraisal-and-evaluation-in-central-government/the-green-book-2026</t>
  </si>
  <si>
    <t xml:space="preserve">2026</t>
  </si>
  <si>
    <t xml:space="preserve">Public-sector convention; its own example of an IT-services proposal runs five years (gb_appraisal_it_example_years). Used as the long horizon.</t>
  </si>
  <si>
    <t xml:space="preserve">gb_appraisal_it_example_years</t>
  </si>
  <si>
    <t xml:space="preserve">Green Book 2026: its example of an IT-services proposal's period</t>
  </si>
  <si>
    <t xml:space="preserve">HM Treasury, The Green Book (2026): "a proposal to provide an organisation with IT services over a five-year period"</t>
  </si>
  <si>
    <t xml:space="preserve">An example, not a rule. Used as the short, cautious horizon: the build's two years count inside it. The Green Book also says to cut estimated benefits for optimism, with no percentage, and defines switching values as the value an assumption must reach to stop an option being value for money.</t>
  </si>
  <si>
    <t xml:space="preserve">stla_wacc_pretax_low_pct</t>
  </si>
  <si>
    <t xml:space="preserve">The group's pre-tax WACC in its impairment tests, 2025: lowest</t>
  </si>
  <si>
    <t xml:space="preserve">Stellantis N.V. 2025 Annual Report and Form 20-F (filed 26 February 2026), goodwill and CGU impairment testing: "The pre-tax Weighted Average Cost of Capital ('WACC') discount rate applied ranged from 9.5 percent to 19 percent"</t>
  </si>
  <si>
    <t xml:space="preserve">The range across the group's cash-generating units; the rate for Enlarged Europe is not disclosed. Pre-tax, applied to pre-tax cash flows. 2023's range was 11.3-25.8%.</t>
  </si>
  <si>
    <t xml:space="preserve">stla_wacc_pretax_high_pct</t>
  </si>
  <si>
    <t xml:space="preserve">The same: highest</t>
  </si>
  <si>
    <t xml:space="preserve">Stellantis N.V. 2025 Annual Report and Form 20-F, as stla_wacc_pretax_low_pct</t>
  </si>
  <si>
    <t xml:space="preserve">The dearest money the group applies to any unit. The benefits case is judged at this end (decided on quality: Europe's own rate is not disclosed), and shown at the low end.</t>
  </si>
  <si>
    <t xml:space="preserve">stla_synergies_2023_eur_bn</t>
  </si>
  <si>
    <t xml:space="preserve">The group's net cash merger synergies, 2023</t>
  </si>
  <si>
    <t xml:space="preserve">EUR bn</t>
  </si>
  <si>
    <t xml:space="preserve">Stellantis N.V. 2023 Annual Report and Form 20-F, Merger Synergies: "achieved EUR 8.4 billion of net cash synergies ... exceeding the EUR 5 billion annual steady state target established at the time of the merger ... more than two years earlier than planned"</t>
  </si>
  <si>
    <t xml:space="preserve">https://www.sec.gov/Archives/edgar/data/1605484/000160548424000022/stellantis-20231231.htm</t>
  </si>
  <si>
    <t xml:space="preserve">Measured "net of implementation costs and considered on a cash basis" (the benefits sheet follows the same convention), and until 2024 a metric in the short-term incentive plan: counted by those paid on it, which is why the programme's benefits are certified by Finance against control groups. Merger synergies, not a data programme: the group's own record on a benefits promise, not a reference class.</t>
  </si>
  <si>
    <t xml:space="preserve">Context: X21 (the group's own benefits record)</t>
  </si>
  <si>
    <t xml:space="preserve">stla_synergies_target_eur_bn</t>
  </si>
  <si>
    <t xml:space="preserve">The group's merger synergy target, annual steady state</t>
  </si>
  <si>
    <t xml:space="preserve">Stellantis N.V. 2023 Annual Report and Form 20-F, as stla_synergies_2023_eur_bn</t>
  </si>
  <si>
    <t xml:space="preserve">Set at the merger (2021). As stla_synergies_2023_eur_bn.</t>
  </si>
  <si>
    <t xml:space="preserve">ec_cohesion_risk_payment_2024_pct</t>
  </si>
  <si>
    <t xml:space="preserve">EU cohesion spending: risk at payment, 2024</t>
  </si>
  <si>
    <t xml:space="preserve">European Commission, Annual management and performance report for the EU budget, 2024 financial year, COM(2025) 824, 17 June 2025, cohesion policy: "the overall risk at payment for cohesion is 2.9%"</t>
  </si>
  <si>
    <t xml:space="preserve">https://eur-lex.europa.eu/legal-content/EN/TXT/HTML/?uri=CELEX:52025DC0824</t>
  </si>
  <si>
    <t xml:space="preserve">The Commission's own estimates for cohesion spending, where payments rest on beneficiaries' claims. Corrections after payment until closure cut the risk at payment of 2.9% to 1.8%: about two-fifths of the error found is recovered (0.5-1.4 points, a sixth to a half). Public funds with a legal right to claw back over a multiannual programme; the Court of Auditors' error rates are higher and, the report says, not directly comparable. An analogue for recoverable_share, not a carmaker's figure.</t>
  </si>
  <si>
    <t xml:space="preserve">Context: X21 (anchors recoverable_share)</t>
  </si>
  <si>
    <t xml:space="preserve">ec_cohesion_risk_closure_2024_pct</t>
  </si>
  <si>
    <t xml:space="preserve">EU cohesion spending: estimated risk at closure, after future corrections, 2024</t>
  </si>
  <si>
    <t xml:space="preserve">European Commission, Annual management and performance report for the EU budget, 2024 financial year, COM(2025) 824, 17 June 2025, cohesion policy: "Estimated future corrections corresponded to a range of 0.5-1.4%, leading to an estimated risk at closure of 1.8%"</t>
  </si>
  <si>
    <t xml:space="preserve">ec_cohesion_future_corr_low_pct</t>
  </si>
  <si>
    <t xml:space="preserve">The same: estimated future corrections, low end</t>
  </si>
  <si>
    <t xml:space="preserve">European Commission, Annual management and performance report for the EU budget, 2024 financial year, COM(2025) 824, 17 June 2025, cohesion policy</t>
  </si>
  <si>
    <t xml:space="preserve">ec_cohesion_future_corr_high_pct</t>
  </si>
  <si>
    <t xml:space="preserve">The same: estimated future corrections, high end</t>
  </si>
  <si>
    <t xml:space="preserve">dress_asym_cost_cut_pct</t>
  </si>
  <si>
    <t xml:space="preserve">Residual forecasting with an asymmetric cost of error: cost reduction when over-estimating costs twice as much</t>
  </si>
  <si>
    <t xml:space="preserve">Dress, Lessmann &amp; von Mettenheim, "Residual value forecasting using asymmetric cost functions", International Journal of Forecasting 34(4), 551-565, 2018, abstract: "reduces costs by about 8%"</t>
  </si>
  <si>
    <t xml:space="preserve">https://ideas.repec.org/a/eee/intfor/v34y2018i4p551-565.html</t>
  </si>
  <si>
    <t xml:space="preserve">2018</t>
  </si>
  <si>
    <t xml:space="preserve">Against the same kinds of model trained with a symmetric loss, on a German carmaker's leasing data; a gain from the loss function alone, at an assumed 2:1 cost ratio. Not convertible into euros here: the expected column carries no curve cost (X18, two-sided). A benchmark for the residual-cost gate X22 retired (gate_rv_cost_improvement_pct: unreadable inside the programme), not a benefit. The user's research report's '250,000 contracts' and 'covers the programme alone' are not in the source.</t>
  </si>
  <si>
    <t xml:space="preserve">Context: X21 and X22 (the retired residual-cost gate)</t>
  </si>
  <si>
    <t xml:space="preserve">fliegel_rate_rise_low_pp</t>
  </si>
  <si>
    <t xml:space="preserve">Auto-loan rate rise after Germany's carbon price announcement, low end</t>
  </si>
  <si>
    <t xml:space="preserve">Fliegel, Hagen, Koch &amp; Ritter, "Carbon pricing and household finance: how banks price transition risk in auto loans", CESifo Working Paper 12288, 2026, abstract: "raising interest rates by 0.3-0.5 percentage points ... Captive banks respond more strongly than commercial banks"</t>
  </si>
  <si>
    <t xml:space="preserve">https://www.ifo.de/en/cesifo/publications/2026/working-paper/carbon-pricing-and-household-finance-how-banks-price-transition</t>
  </si>
  <si>
    <t xml:space="preserve">Lenders priced a newly salient collateral-value risk into rates, captives more than banks, through the collateral and default channels; households also shifted to more fuel-efficient cars. Evidence that a market-wide risk to a car's value gets priced by lenders, not that the group can keep a charge rivals do not levy. The report's '0.44 points more than commercial banks' is not in the abstract. A working paper.</t>
  </si>
  <si>
    <t xml:space="preserve">Context: X21 (the level charge: priced, not a benefit)</t>
  </si>
  <si>
    <t xml:space="preserve">fliegel_rate_rise_high_pp</t>
  </si>
  <si>
    <t xml:space="preserve">Fliegel, Hagen, Koch &amp; Ritter, CESifo Working Paper 12288, 2026, as fliegel_rate_rise_low_pp</t>
  </si>
  <si>
    <t xml:space="preserve">As fliegel_rate_rise_low_pp.</t>
  </si>
  <si>
    <t xml:space="preserve">run_cost_eur_m_year</t>
  </si>
  <si>
    <t xml:space="preserve">Run cost of the ledger after the build, a year</t>
  </si>
  <si>
    <t xml:space="preserve">Our estimate, priced on X25's work list and rates (analysis/programme_cost.py) and inv_platform_eur_m</t>
  </si>
  <si>
    <t xml:space="preserve">What stays after month 24: the data stewards who run the entity-resolution queue, model risk and the monthly re-mark, and the platform and licences. Priced on X25's work list, a third to a half of the build's average team (34 people) costs EUR 1.4-2.1m a year at the in-house loaded rates, or EUR 4.0-6.0m at the integrator's rate card; with the platform and licences (inv_platform_eur_m's yearly share, EUR 1.5-3m), EUR 2.9-5.1m in-house and EUR 5.5-9.0m bought. One value serves all four build scenarios, since who runs it after month 24 is not decided: 5 lies between the two, the range covers the in-house run and most of a bought one, and the in-house midpoint (about 4) would move the decision-basis value by about EUR 1m. No sourced run cost exists; the Green Book has no sound optimism level for operating cost (4.1), so its switching value is shown instead.</t>
  </si>
  <si>
    <t xml:space="preserve">x21_phase_months</t>
  </si>
  <si>
    <t xml:space="preserve">Months per phase of the roadmap</t>
  </si>
  <si>
    <t xml:space="preserve">The roadmap: 24 months in four gated phases (solution doc 8.1)</t>
  </si>
  <si>
    <t xml:space="preserve">An estimate of how long the work takes, like the cost lines, not a gate. The high end is McKinsey-Oxford's software schedule overrun (mckox_sw_schedule_overrun_pct) applied to it, which the reference-class case uses.</t>
  </si>
  <si>
    <t xml:space="preserve">x21_cov_pilot_2024</t>
  </si>
  <si>
    <t xml:space="preserve">The pilot market's (France's) share of the group's new-car registrations, EU and EFTA, 2024</t>
  </si>
  <si>
    <t xml:space="preserve">analysis/benefits_case_report.md</t>
  </si>
  <si>
    <t xml:space="preserve">EEA registrations of the PSA and FCA brands (the X9/X20 file); the UK is not in it. Coverage in Phase 2, used as the share of every lever's base live in the pilot: a proxy, since claims, contracts and returns need not split like registrations. 2025: 27.5%.</t>
  </si>
  <si>
    <t xml:space="preserve">x21_cov_core_2024</t>
  </si>
  <si>
    <t xml:space="preserve">The core markets' (France, Italy, Germany, Spain) share of the group's new-car registrations, EU and EFTA, 2024</t>
  </si>
  <si>
    <t xml:space="preserve">The four markets above the largest break in the ranked shares (the smallest, Spain, is about three times the next, Belgium), the same set in 2025 (79.1%). Coverage in Phases 3-4; after the exit every market. A proxy, as x21_cov_pilot_2024; the UK is not in the file.</t>
  </si>
  <si>
    <t xml:space="preserve">dvl_academic_pp</t>
  </si>
  <si>
    <t xml:space="preserve">Published academic nudge trials: average take-up effect</t>
  </si>
  <si>
    <t xml:space="preserve">DellaVigna &amp; Linos, "RCTs to scale: comprehensive evidence from two nudge units", Econometrica 90(1), 81-116, 2022, abstract: "an 8.7 percentage point take-up effect, which is a 33.4% increase over the average control"</t>
  </si>
  <si>
    <t xml:space="preserve">https://www.econometricsociety.org/publications/econometrica/2022/01/01/rcts-scale-comprehensive-evidence-two-nudge-units</t>
  </si>
  <si>
    <t xml:space="preserve">126 trials, 23 million people, every trial run by two US nudge units, against published academic nudges. The gap is mostly selective publication with low power, not pilots run in favourable settings (the user's X22 research report's reading). For a gate: a pilot read at low power and passed on significance overstates its effect, so the pilot is powered, pre-registered with one arm, and its lower bound is carried forward. US data.</t>
  </si>
  <si>
    <t xml:space="preserve">Context: X22 (the gates)</t>
  </si>
  <si>
    <t xml:space="preserve">dvl_nudge_unit_pp</t>
  </si>
  <si>
    <t xml:space="preserve">Nudge units' own trials, all of them, at scale: average take-up effect</t>
  </si>
  <si>
    <t xml:space="preserve">DellaVigna &amp; Linos, "RCTs to scale: comprehensive evidence from two nudge units", Econometrica 90(1), 81-116, 2022, abstract: "smaller at 1.4 percentage points, an 8.0% increase"</t>
  </si>
  <si>
    <t xml:space="preserve">dvl_publication_share_pct</t>
  </si>
  <si>
    <t xml:space="preserve">Share of the gap explained by selective publication with low statistical power</t>
  </si>
  <si>
    <t xml:space="preserve">DellaVigna &amp; Linos, "RCTs to scale: comprehensive evidence from two nudge units", Econometrica 90(1), 81-116, 2022, abstract: "selective publication in the Academic Journals sample, exacerbated by low statistical power, explains about 70 percent of the difference"; "different nudge characteristics account for most of the residual difference"</t>
  </si>
  <si>
    <t xml:space="preserve">kmr_escalation_low_pct</t>
  </si>
  <si>
    <t xml:space="preserve">IS projects showing some degree of escalation of commitment, low end</t>
  </si>
  <si>
    <t xml:space="preserve">Keil, Mann &amp; Rai, "Why software projects escalate: an empirical analysis and test of four theoretical models", MIS Quarterly 24(4), 631-664, 2000, abstract: "between 30% and 40% of all IS projects exhibit some degree of escalation"</t>
  </si>
  <si>
    <t xml:space="preserve">https://aisel.aisnet.org/misq/vol24/iss4/4/</t>
  </si>
  <si>
    <t xml:space="preserve">2000</t>
  </si>
  <si>
    <t xml:space="preserve">A survey of IS audit and control professionals. Some degree of escalation, not termination: the user's X22 research report read it as projects needing de-escalation or termination. The reason each gate's trigger and outcome are agreed before the programme starts (Keil &amp; Montealegre, Sloan Management Review 2000).</t>
  </si>
  <si>
    <t xml:space="preserve">kmr_escalation_high_pct</t>
  </si>
  <si>
    <t xml:space="preserve">Keil, Mann &amp; Rai 2000, as kmr_escalation_low_pct</t>
  </si>
  <si>
    <t xml:space="preserve">As kmr_escalation_low_pct.</t>
  </si>
  <si>
    <t xml:space="preserve">gc_exaggeration_80_power</t>
  </si>
  <si>
    <t xml:space="preserve">Expected exaggeration of a statistically significant estimate at 80% power</t>
  </si>
  <si>
    <t xml:space="preserve">Gelman &amp; Carlin, "Beyond power calculations: assessing Type S (sign) and Type M (magnitude) errors", Perspectives on Psychological Science 9(6), 641-651, 2014: at power 0.80, "an expected exaggeration factor of 1.12"</t>
  </si>
  <si>
    <t xml:space="preserve">https://sites.stat.columbia.edu/gelman/research/published/retropower_final.pdf</t>
  </si>
  <si>
    <t xml:space="preserve">Unbiased, normally distributed estimates, read only when significant. It rises steeply as power falls. The reason the retention gate carries the pilot's lower bound, not its point estimate, into the benefits case.</t>
  </si>
  <si>
    <t xml:space="preserve">gpd_feasibility_outside_min</t>
  </si>
  <si>
    <t xml:space="preserve">UK major projects: people from outside the organisation giving independent input to a feasibility study, at least</t>
  </si>
  <si>
    <t xml:space="preserve">people</t>
  </si>
  <si>
    <t xml:space="preserve">Government Project Delivery, GPD-PN 02/26: GMPP feasibility studies (from April 2026): "independent input to ensure an outside view and robust challenge, with at least two people from outside the organisation"</t>
  </si>
  <si>
    <t xml:space="preserve">https://projectdelivery.gov.uk/library-products/gpd-pn-02-26-gmpp-feasibility-studies-html/</t>
  </si>
  <si>
    <t xml:space="preserve">A UK public-sector rule for projects entering the government's major projects portfolio: a precedent for readers outside the programme, not a rule for a carmaker. The programme's gates are read by Finance with at least this many reviewers from outside the programme.</t>
  </si>
  <si>
    <t xml:space="preserve">gate_read_confidence_pct</t>
  </si>
  <si>
    <t xml:space="preserve">Every gate - confidence its reading is held to</t>
  </si>
  <si>
    <t xml:space="preserve">Team choice (X22)</t>
  </si>
  <si>
    <t xml:space="preserve">The convention the retention gate already uses (gate_uplift_significance_pct), applied to every gate so none passes on a noisier reading than another. Two-sided for comparisons, one-sided for a bound against a threshold, as each gate's rule says (analysis/gates_report.md).</t>
  </si>
  <si>
    <t xml:space="preserve">gate_read_power_pct</t>
  </si>
  <si>
    <t xml:space="preserve">Every gate - power each reading is sized for</t>
  </si>
  <si>
    <t xml:space="preserve">The usual convention, as X15 sized the pilot. At 80% power a result that passes on significance overstates the true effect by about 1.12 times on average (gc_exaggeration_80_power); below it, much more. So each sample is sized for it before the phase starts, and a gate read on a smaller sample is a Delay, not a Go.</t>
  </si>
  <si>
    <t xml:space="preserve">gate_engine_coverage_tol_pts</t>
  </si>
  <si>
    <t xml:space="preserve">Phase 3 gate - the engine's 80% band must cover between 80% minus and plus this share of returned cars' realised prices</t>
  </si>
  <si>
    <t xml:space="preserve">Wide enough that a correctly calibrated band passes 95 times in 100 on a few hundred returned cars (analysis/gates_report.md), narrow enough to catch a band X15 found off by more (cars 12 and older before per-age calibration). Read on the cars the buy-back book returns inside Phase 3, the level removed.</t>
  </si>
  <si>
    <t xml:space="preserve">gate_engine_margin_pts</t>
  </si>
  <si>
    <t xml:space="preserve">Phase 3 gate - how much worse than the bought guide the engine's car-specific error may be and still pass</t>
  </si>
  <si>
    <t xml:space="preserve">points of price</t>
  </si>
  <si>
    <t xml:space="preserve">A non-inferiority margin: a fifth of the pricer's average band (price_band_pct), so a difference inside it is smaller than any adjustment a pricer may make. The engine need not beat the guide to earn its roles as challenger and band-maker (F7); if it is worse by more than this, the guide keeps the price (the back-up plan).</t>
  </si>
  <si>
    <t xml:space="preserve">x22_audit_n_prec95</t>
  </si>
  <si>
    <t xml:space="preserve">Phase 1: flagged claims to audit so the exact lower bound clears the precision gate, if the true precision is 95%</t>
  </si>
  <si>
    <t xml:space="preserve">analysis/gates_report.md</t>
  </si>
  <si>
    <t xml:space="preserve">At the gate's confidence and power (TARGET rows); a sizing grid, not an estimate of precision (93%: 549; 97%: 76 in the report). Readable inside Phase 1 by a small audit team.</t>
  </si>
  <si>
    <t xml:space="preserve">x22_seed_n_rec80</t>
  </si>
  <si>
    <t xml:space="preserve">Phase 1: duplicates to seed into the claims stream so the exact lower bound clears the recall gate, if the true recall is 80%</t>
  </si>
  <si>
    <t xml:space="preserve">duplicates</t>
  </si>
  <si>
    <t xml:space="preserve">Known-answer seeds, X1's method (its synthetic results are never evidence; the method is). A sizing grid, not an estimate of recall.</t>
  </si>
  <si>
    <t xml:space="preserve">x22_pilot_share_half_pct</t>
  </si>
  <si>
    <t xml:space="preserve">Phase 2: both arms of the chosen retention pilot as a share of France's contracts ending in the phase's first half</t>
  </si>
  <si>
    <t xml:space="preserve">X15's within-dealer design at the gate; France's SFSE contracts a year, as many ending as starting (a steady book, assumed). With a quarter of the uplift spilling over, 81%. Enrolling the first half leaves the second for orders to be signed before the gate.</t>
  </si>
  <si>
    <t xml:space="preserve">x22_obf_extra_pct</t>
  </si>
  <si>
    <t xml:space="preserve">Phase 2: extra customers, at most, for one O'Brien-Fleming interim look at half the pilot</t>
  </si>
  <si>
    <t xml:space="preserve">Two-sided, at the gate's confidence and power; the design's size and power are checked by the bivariate normal. An immediate outcome by design (orders signed).</t>
  </si>
  <si>
    <t xml:space="preserve">x22_exaggeration_half_gate</t>
  </si>
  <si>
    <t xml:space="preserve">Phase 2: expected exaggeration of a significant pilot result if the true uplift is half the gate</t>
  </si>
  <si>
    <t xml:space="preserve">Gelman &amp; Carlin's design calculation at the pilot's standard error (sized for the gate at 80% power; at the gate itself 1.12, reproducing gc_exaggeration_80_power). The reason the lower bound, not the point estimate, enters the benefits case.</t>
  </si>
  <si>
    <t xml:space="preserve">x22_lower_at_gate_pp</t>
  </si>
  <si>
    <t xml:space="preserve">Phase 2: the pilot's lower confidence bound if its estimate lands exactly on the gate</t>
  </si>
  <si>
    <t xml:space="preserve">Two-sided at the gate's confidence, at the design's standard error. This, not the point estimate, would replace upgrade_capture_uplift in the benefits case.</t>
  </si>
  <si>
    <t xml:space="preserve">x22_engine_cov_n</t>
  </si>
  <si>
    <t xml:space="preserve">Phase 3: returned cars needed so a correctly calibrated 80% band lands inside the coverage gate 95 times in 100</t>
  </si>
  <si>
    <t xml:space="preserve">Normal approximation for a proportion of 0.8 at the gate's tolerance (gate_engine_coverage_tol_pts).</t>
  </si>
  <si>
    <t xml:space="preserve">x22_engine_pair_n_rho50</t>
  </si>
  <si>
    <t xml:space="preserve">Phase 3: paired returned cars needed for the engine-against-guide gate, if the two errors correlate 0.5</t>
  </si>
  <si>
    <t xml:space="preserve">One-sided at the gate's confidence and power, margin gate_engine_margin_pts; the engine's spread is its median absolute error on adverts (engine_err_typical) as a normal spread, an approximation. 750 at a correlation of 0.75, 2,248 at 0.25.</t>
  </si>
  <si>
    <t xml:space="preserve">x22_returns_core_phase</t>
  </si>
  <si>
    <t xml:space="preserve">Phase 3: an order of magnitude for the cars the buy-back book returns in the core markets in one phase</t>
  </si>
  <si>
    <t xml:space="preserve">The book due within a year (buyback_payables_current_eur_m) times the core markets' share (x21_cov_core_2024) for one phase, over Aramis's realised retail price per car (aramis_fy25_b2c_*). A retail price is above what the group pays back, so the count errs low. An order of magnitude, not a count: no count is disclosed.</t>
  </si>
  <si>
    <t xml:space="preserve">x22_band_n_engine_tied</t>
  </si>
  <si>
    <t xml:space="preserve">Phase 3: sold cars with a logged first proposal needed to choose between the engine's price alone and the tied band</t>
  </si>
  <si>
    <t xml:space="preserve">Fisher's z, one-sided at the gates' confidence and power, between no pricer information and X13's first break-even (x13_be_fixed_vs_engine).</t>
  </si>
  <si>
    <t xml:space="preserve">x22_band_n_tied_full</t>
  </si>
  <si>
    <t xml:space="preserve">Phase 3: the same, to choose between the tied band and the full calibrated band</t>
  </si>
  <si>
    <t xml:space="preserve">Between X13's two break-evens (x13_be_fixed_vs_engine, x13_be_full_vs_fixed).</t>
  </si>
  <si>
    <t xml:space="preserve">gate_days_cut_days</t>
  </si>
  <si>
    <t xml:space="preserve">Phase 3 gate - days cut from the time to sale of randomised returns</t>
  </si>
  <si>
    <t xml:space="preserve">The low end of our own assumed range (x17_days_cut). Read on returns randomised between the old process and the new, sized from the spread of days to sale in the ledger's Phase 2 backfill. If missed: Back-up, the lever is not scaled; the case holds without it (X21).</t>
  </si>
  <si>
    <t xml:space="preserve">gate_route_margin_pct</t>
  </si>
  <si>
    <t xml:space="preserve">Phase 3 gate - margin of a routed return over its trade price, after all costs</t>
  </si>
  <si>
    <t xml:space="preserve">% of the price</t>
  </si>
  <si>
    <t xml:space="preserve">Break-even: a car retailed in-house must beat the trade after all costs, or routing loses money (Aramis's margin after costs is the benchmark, x17_channel_gain_after_costs; x17_channel_breakeven_days caps the extra days). Read on returns randomised between channels. If missed: Back-up, routing is not scaled.</t>
  </si>
  <si>
    <t xml:space="preserve">nl_retained_0_3m</t>
  </si>
  <si>
    <t xml:space="preserve">Value retained by a car 0-3 months old, share of list, NL</t>
  </si>
  <si>
    <t xml:space="preserve">analysis/upgrade_window_report.md</t>
  </si>
  <si>
    <t xml:space="preserve">Dutch asking prices (the continental 2025 scrape, exact ages from first registration) over the RDW catalogue price of the make, model and year, within model (make-model fixed effects; the level is the sample's average model); a bootstrap over whole models gives the range. Adverts, not transactions; one market and one scrape. Some of the youngest cars sit above 100% (options and trims above the catalogue price); the raw median is higher (96%) because a few dear models dominate the youngest adverts.</t>
  </si>
  <si>
    <t xml:space="preserve">Leak 2 (the window, context)</t>
  </si>
  <si>
    <t xml:space="preserve">nl_retained_9_12m</t>
  </si>
  <si>
    <t xml:space="preserve">Value retained at 9-12 months, share of list, NL</t>
  </si>
  <si>
    <t xml:space="preserve">Dutch asking prices (the continental 2025 scrape, exact ages from first registration) over the RDW catalogue price of the make, model and year, within model (make-model fixed effects; the level is the sample's average model); a bootstrap over whole models gives the range. Adverts, not transactions; one market and one scrape.</t>
  </si>
  <si>
    <t xml:space="preserve">window_nl_measured_m</t>
  </si>
  <si>
    <t xml:space="preserve">Month the car's equity first covers the next deposit, level as measured (NL curve, first year measured)</t>
  </si>
  <si>
    <t xml:space="preserve">month</t>
  </si>
  <si>
    <t xml:space="preserve">Dutch asking prices (the continental 2025 scrape, exact ages from first registration) over the RDW catalogue price of the make, model and year, within model (make-model fixed effects; the level is the sample's average model); a bootstrap over whole models gives the range. Adverts, not transactions; one market and one scrape. The contract and level shocks are the Leak 2 sheet's (loan_*, level_3y_p10_core, level_3y_worst). It replaces the sheet's month 12, which was the start of its search: the UK curve has whole-year ages, so no first year (skeptic B11). 80% range 14-20.</t>
  </si>
  <si>
    <t xml:space="preserve">window_nl_p10_m</t>
  </si>
  <si>
    <t xml:space="preserve">The same after a one-in-ten three-year level fall</t>
  </si>
  <si>
    <t xml:space="preserve">Dutch asking prices (the continental 2025 scrape, exact ages from first registration) over the RDW catalogue price of the make, model and year, within model (make-model fixed effects; the level is the sample's average model); a bootstrap over whole models gives the range. Adverts, not transactions; one market and one scrape. The contract and level shocks are the Leak 2 sheet's (loan_*, level_3y_p10_core, level_3y_worst). It replaces the sheet's month 12, which was the start of its search: the UK curve has whole-year ages, so no first year (skeptic B11). 80% range 19-25.</t>
  </si>
  <si>
    <t xml:space="preserve">window_nl_worst_m</t>
  </si>
  <si>
    <t xml:space="preserve">The same after the worst three-year level fall measured</t>
  </si>
  <si>
    <t xml:space="preserve">Dutch asking prices (the continental 2025 scrape, exact ages from first registration) over the RDW catalogue price of the make, model and year, within model (make-model fixed effects; the level is the sample's average model); a bootstrap over whole models gives the range. Adverts, not transactions; one market and one scrape. The contract and level shocks are the Leak 2 sheet's (loan_*, level_3y_p10_core, level_3y_worst). It replaces the sheet's month 12, which was the start of its search: the UK curve has whole-year ages, so no first year (skeptic B11). 80% range 32-34.</t>
  </si>
  <si>
    <t xml:space="preserve">larkin_gaming_cost_low_pct</t>
  </si>
  <si>
    <t xml:space="preserve">Revenue lost to salespeople gaming an accelerating commission, low end</t>
  </si>
  <si>
    <t xml:space="preserve">Larkin, "The cost of high-powered incentives: employee gaming in enterprise software sales", Journal of Labor Economics 32(2), 199-227, 2014, abstract: "mispricing that costs the vendor 6%-8% of revenue"</t>
  </si>
  <si>
    <t xml:space="preserve">https://ideas.repec.org/a/ucp/jlabec/doi10.1086-673371.html</t>
  </si>
  <si>
    <t xml:space="preserve">Salespeople time deal closure to an accelerating commission and cut prices in the quarters that pay; one US enterprise software vendor, not cars. Context for leak 1's period-end push (X2) and for one smoother dealer scheme instead of two stair-steps (skeptic B12), never a carmaker's figure.</t>
  </si>
  <si>
    <t xml:space="preserve">Context: skeptic B12</t>
  </si>
  <si>
    <t xml:space="preserve">larkin_gaming_cost_high_pct</t>
  </si>
  <si>
    <t xml:space="preserve">ep_clocking_domestic_low_pct</t>
  </si>
  <si>
    <t xml:space="preserve">EU used cars sold within a country with a rolled-back odometer, low end</t>
  </si>
  <si>
    <t xml:space="preserve">European Parliament press release, 31 May 2018 (rapporteur Ismail Ertug), citing studies: "About 5 to 12 percent of used cars sold inside EU countries and 30 to 50 percent of those sold across borders within the EU have been clocked"</t>
  </si>
  <si>
    <t xml:space="preserve">https://www.europarl.europa.eu/news/en/press-room/20180524IPR04221/car-clocking-meps-call-for-new-legislation-to-combat-odometer-fraud</t>
  </si>
  <si>
    <t xml:space="preserve">Estimates from studies behind the Parliament's 2018 resolution (EPRS), not a measurement; the underlying study was not opened. The reason each odometer reading in the ledger carries its source and date (X1's provenance lesson; the round-number bunching, x17_left_digit_bunching), not a leak rate.</t>
  </si>
  <si>
    <t xml:space="preserve">ep_clocking_domestic_high_pct</t>
  </si>
  <si>
    <t xml:space="preserve">ep_clocking_cross_low_pct</t>
  </si>
  <si>
    <t xml:space="preserve">EU used cars sold across borders with a rolled-back odometer, low end</t>
  </si>
  <si>
    <t xml:space="preserve">ep_clocking_cross_high_pct</t>
  </si>
  <si>
    <t xml:space="preserve">jato_q1_2025_private_discount_eur_bn</t>
  </si>
  <si>
    <t xml:space="preserve">Discounts to private car buyers in Germany, the UK, France and Italy, first quarter 2025 (JATO)</t>
  </si>
  <si>
    <t xml:space="preserve">JATO Dynamics, "The role of incentives in the European car market: a strategic lever for OEMs in 2025", 24 April 2025: "In the first quarter of 2025 alone, the automotive industry in the four major EU countries distributed an more than €1.5 billion worth of discounts to private car buyers"</t>
  </si>
  <si>
    <t xml:space="preserve">https://www.jato.com/resources/news-and-insights/the-role-of-incentives-in-the-european-car-market-a-strategic-lever-for-oems-in-2025</t>
  </si>
  <si>
    <t xml:space="preserve">2025 Q1</t>
  </si>
  <si>
    <t xml:space="preserve">A lower bound ("more than"). JATO's volume-weighted discounts to private buyers, all makers, dealer-funded discounts included; not the group's. Context for skeptic B2: discounting is large; it says nothing about whether it pays.</t>
  </si>
  <si>
    <t xml:space="preserve">Context: X24 (B2, the incentive level)</t>
  </si>
  <si>
    <t xml:space="preserve">jato_q1_2025_discount_share_de_uk_pct</t>
  </si>
  <si>
    <t xml:space="preserve">Weighted discount to private buyers as a share of the retail price, Germany and the UK, first quarter 2025 (JATO)</t>
  </si>
  <si>
    <t xml:space="preserve">% of retail price</t>
  </si>
  <si>
    <t xml:space="preserve">JATO Dynamics, 24 April 2025: "these discounts represent only about 5.7% of retail price in Germany and the UK, compared to 8.2% in Italy during that period"</t>
  </si>
  <si>
    <t xml:space="preserve">A European scale reference beside the group's claims base (x14_incentive_claims_*: the 20-F's claims-based programmes over net revenues, worldwide). Different measures: JATO's is off the retail price, private buyers only, dealer-funded discounts included, fleet excluded; the 20-F's is the maker's claims-based spend at wholesale. The same order of size, not a confirmation.</t>
  </si>
  <si>
    <t xml:space="preserve">pauwels_promo_longrun_pos_pct</t>
  </si>
  <si>
    <t xml:space="preserve">Brands whose manufacturer promotions raised firm value in the long run (US data, 1996-2001)</t>
  </si>
  <si>
    <t xml:space="preserve">% of brands</t>
  </si>
  <si>
    <t xml:space="preserve">Pauwels K., Silva-Risso J., Srinivasan S. and Hanssens D. M., "New Products, Sales Promotions, and Firm Value: The Case of the Automobile Industry", Journal of Marketing 68(4), 2004 (forthcoming version of 22 September 2003): "Overall, half of all brands show positive short-term promotion effects. In the long run, this is only true for 43% of the brands"; abstract: "new product introductions increase long-term financial performance and firm value, but promotions do not"</t>
  </si>
  <si>
    <t xml:space="preserve">https://www.anderson.ucla.edu/sites/default/files/documents/areas/fac/marketing/npi030922(0).pdf</t>
  </si>
  <si>
    <t xml:space="preserve">1996-2001</t>
  </si>
  <si>
    <t xml:space="preserve">US data: every new-car sale at 1,100 California dealers (J.D. Power), October 1996 to December 2001, six makers with about 86% of the US market; vector autoregressions, firm value as market to book. The one long-run measurement of carmakers' incentives found: on average they lift revenue, not lasting value. It does not say by how much spend exceeds the optimum, and it is not a randomised test.</t>
  </si>
  <si>
    <t xml:space="preserve">pauwels_npi_longrun_pos_pct</t>
  </si>
  <si>
    <t xml:space="preserve">The same study: brands whose new-product introductions raised firm value in the long run (US data)</t>
  </si>
  <si>
    <t xml:space="preserve">Pauwels, Silva-Risso, Srinivasan and Hanssens (2004): "Over the total sample, new-product introductions have a positive long-run impact on market capitalization for 81% of all brands"</t>
  </si>
  <si>
    <t xml:space="preserve">US data; the comparison beside pauwels_promo_longrun_pos_pct.</t>
  </si>
  <si>
    <t xml:space="preserve">motorpoint_fy26_retail_revenue_gbp_m</t>
  </si>
  <si>
    <t xml:space="preserve">Motorpoint: revenue from retail customers, FY26</t>
  </si>
  <si>
    <t xml:space="preserve">GBP m</t>
  </si>
  <si>
    <t xml:space="preserve">Motorpoint Group PLC, FY26 Final Results (10 June 2026; year to 31 March 2026), segment note and trading review: "Revenue from retail customers was up 10.0% to £1,130.8m"</t>
  </si>
  <si>
    <t xml:space="preserve">https://assets.motorpoint.co.uk/plc/Reports-Results-Presentations/FY2026/Final-Results.pdf</t>
  </si>
  <si>
    <t xml:space="preserve">FY2026</t>
  </si>
  <si>
    <t xml:space="preserve">UK. Motorpoint retails nearly new cars bought mostly through fleet and bulk channels (motorpoint_fy26_sourcing), the trade the group's returns are sold into; preparation and transport sit in cost of sales, and finance, warranty and paint-protection commissions (motorpoint_fy26_services_revenue_gbp_m) in revenue. GBP.</t>
  </si>
  <si>
    <t xml:space="preserve">Context: X24 (B10, the trade gap)</t>
  </si>
  <si>
    <t xml:space="preserve">motorpoint_fy26_retail_cost_of_sales_gbp_m</t>
  </si>
  <si>
    <t xml:space="preserve">Motorpoint: retail cost of sales, FY26</t>
  </si>
  <si>
    <t xml:space="preserve">Motorpoint Group PLC, FY26 Final Results (10 June 2026; year to 31 March 2026), segment note (retail: revenue 1,130.8, cost of sales (1,042.4))</t>
  </si>
  <si>
    <t xml:space="preserve">UK. Motorpoint retails nearly new cars bought mostly through fleet and bulk channels (motorpoint_fy26_sourcing), the trade the group's returns are sold into; preparation and transport sit in cost of sales, and finance, warranty and paint-protection commissions (motorpoint_fy26_services_revenue_gbp_m) in revenue. GBP. Preparation and transport are inside: GPU rose, "offset in part by preparation and transport cost increases".</t>
  </si>
  <si>
    <t xml:space="preserve">motorpoint_fy26_services_revenue_gbp_m</t>
  </si>
  <si>
    <t xml:space="preserve">Motorpoint: revenue from motor related services and commissions, FY26</t>
  </si>
  <si>
    <t xml:space="preserve">Motorpoint Group PLC, FY26 Final Results (10 June 2026; year to 31 March 2026), note 3 revenue: "Revenue from motor related services and commissions 59.7" (commissions on finance introductions, extended guarantees and paint protection)</t>
  </si>
  <si>
    <t xml:space="preserve">UK. Motorpoint retails nearly new cars bought mostly through fleet and bulk channels (motorpoint_fy26_sourcing), the trade the group's returns are sold into; preparation and transport sit in cost of sales, and finance, warranty and paint-protection commissions (motorpoint_fy26_services_revenue_gbp_m) in revenue. GBP. Retail customers only: the wholesale segment's revenue equals its vehicle sales.</t>
  </si>
  <si>
    <t xml:space="preserve">motorpoint_fy26_retail_units_k</t>
  </si>
  <si>
    <t xml:space="preserve">Motorpoint: retail vehicles sold, FY26</t>
  </si>
  <si>
    <t xml:space="preserve">Motorpoint Group PLC, FY26 Final Results (10 June 2026; year to 31 March 2026): "with 64.6k (FY25: 59.9k) vehicles sold"</t>
  </si>
  <si>
    <t xml:space="preserve">motorpoint_fy26_retail_gpu_gbp</t>
  </si>
  <si>
    <t xml:space="preserve">Motorpoint: retail gross profit per unit, FY26</t>
  </si>
  <si>
    <t xml:space="preserve">GBP a car</t>
  </si>
  <si>
    <t xml:space="preserve">Motorpoint Group PLC, FY26 Final Results (10 June 2026; year to 31 March 2026): "Retail gross profit per unit increased to £1,368 (FY25: £1,335)"</t>
  </si>
  <si>
    <t xml:space="preserve">motorpoint_fy26_sourcing</t>
  </si>
  <si>
    <t xml:space="preserve">Motorpoint buys nearly new cars mostly through fleet and bulk channels</t>
  </si>
  <si>
    <t xml:space="preserve">Motorpoint Group PLC, FY26 Final Results (10 June 2026; year to 31 March 2026): "Supply of nearly new vehicles continues to improve, reflected in increased fleet channel buying activity"; "we are securing more bulk deals"; Sell Your Car purchases "roughly 10% of total purchases"</t>
  </si>
  <si>
    <t xml:space="preserve">Part exchanges are the other consumer channel; the release gives no full split of purchases. Why Motorpoint's margin is read as retail over trade (X24).</t>
  </si>
  <si>
    <t xml:space="preserve">aramis_fy25_revenue_eur_m</t>
  </si>
  <si>
    <t xml:space="preserve">Aramis Group: total revenues, FY2025</t>
  </si>
  <si>
    <t xml:space="preserve">Aramis Group, FY2025 annual results press release (26 November 2025), reconciliation of GPU: revenues 2,379,619 (EUR thousand)</t>
  </si>
  <si>
    <t xml:space="preserve">https://aramis.group/wp-content/uploads/2025/11/aramis-group-fy-2025-results.pdf</t>
  </si>
  <si>
    <t xml:space="preserve">Aramis Group, 60.54% owned by Stellantis (stellantis_aramis_interest_pct). Its gross profit is computed on all revenues, B2B and services included (aramis_gpu_definition), so it is not the margin on the car alone.</t>
  </si>
  <si>
    <t xml:space="preserve">aramis_fy25_services_revenue_eur_m</t>
  </si>
  <si>
    <t xml:space="preserve">Aramis Group: services revenue, FY2025</t>
  </si>
  <si>
    <t xml:space="preserve">Aramis Group, FY2025 annual results press release, revenue by segment: Total Services 123.7</t>
  </si>
  <si>
    <t xml:space="preserve">Aramis Group, 60.54% owned by Stellantis (stellantis_aramis_interest_pct). Its gross profit is computed on all revenues, B2B and services included (aramis_gpu_definition), so it is not the margin on the car alone. Services are financing, warranties and the like.</t>
  </si>
  <si>
    <t xml:space="preserve">aramis_fy25_b2b_revenue_eur_m</t>
  </si>
  <si>
    <t xml:space="preserve">Aramis Group: B2B (trade) revenue, FY2025</t>
  </si>
  <si>
    <t xml:space="preserve">Aramis Group, FY2025 annual results press release, revenue by segment: Total B2B 145.1</t>
  </si>
  <si>
    <t xml:space="preserve">Aramis Group, 60.54% owned by Stellantis (stellantis_aramis_interest_pct). Its gross profit is computed on all revenues, B2B and services included (aramis_gpu_definition), so it is not the margin on the car alone. Mostly older cars (aramis_b2b_older_cars).</t>
  </si>
  <si>
    <t xml:space="preserve">aramis_gpu_definition</t>
  </si>
  <si>
    <t xml:space="preserve">Aramis's GPU is all gross profit, B2B and services included, after transport and refurbishing, per retail car</t>
  </si>
  <si>
    <t xml:space="preserve">Aramis Group, FY2025 annual results press release, reconciliation of gross profit per unit: revenues less cost of goods and services sold = gross profit (consolidated data); less cost of transport and refurbishing = gross profit; divided by the number of B2C vehicles sold</t>
  </si>
  <si>
    <t xml:space="preserve">So the GPU (aramis_fy25_gpu_eur) is not the margin on the car alone, as the user's X24 research report read it: services revenue was about EUR 1,000 per retail car.</t>
  </si>
  <si>
    <t xml:space="preserve">aramis_b2b_older_cars</t>
  </si>
  <si>
    <t xml:space="preserve">Aramis resells in the B2B channel mainly cars over 8 years old or with more than 150,000 km</t>
  </si>
  <si>
    <t xml:space="preserve">Aramis Group, 2024 annual results press release (26 November 2024): "sourcing of used vehicles from private individuals, a portion of which is resold in the B2B channel (primarily vehicles over 8 years old or with more than 150,000 km)"</t>
  </si>
  <si>
    <t xml:space="preserve">https://aramis.group/wp-content/uploads/2025/04/2ec89af7-796e-4232-8034-7e73dc2e354d.pdf</t>
  </si>
  <si>
    <t xml:space="preserve">"Primarily", not only. Why Aramis's trade and retail revenue per car can't give the retail-to-trade gap (X10): the two channels sell different cars.</t>
  </si>
  <si>
    <t xml:space="preserve">manheim_index_method</t>
  </si>
  <si>
    <t xml:space="preserve">Manheim Used Vehicle Value Index: US wholesale auction prices, adjusted for mix, mileage and season</t>
  </si>
  <si>
    <t xml:space="preserve">Cox Automotive, Summary Methodology for Manheim Used Vehicle Value Index: sample "All Manheim U.S. sales that fall into one of the 20 market classes"; prices adjusted for mileage within market classes, classes weighted on a 24-month rolling average of sales, then seasonally adjusted (Census X); January 1997 = 100. Data: Nov-2025-Manheim-Used-Vehicle-Value-Index.xlsx</t>
  </si>
  <si>
    <t xml:space="preserve">https://site.manheim.com/wp-content/uploads/sites/2/2023/07/Used-Vehicle-Summary-Methodology.pdf</t>
  </si>
  <si>
    <t xml:space="preserve">1997-2025</t>
  </si>
  <si>
    <t xml:space="preserve">US data: the trade price of a used car (dealer-to-dealer and remarketing auctions), used by X24 against the US CPI for used cars (retail, CUSR0000SETA02). Mix within a class is not held fixed.</t>
  </si>
  <si>
    <t xml:space="preserve">alg_method_patent</t>
  </si>
  <si>
    <t xml:space="preserve">ALG's residual forecast: a depreciation curve adjusted by forecast macroeconomic and industry data, with editorial input</t>
  </si>
  <si>
    <t xml:space="preserve">US patent 9,607,310 B2, "System, method and computer program for forecasting residual values of a durable good over time", original assignee ALG LLC, current J.D. Power, priority 15 August 2012: a baseline forecast "based on factors that include microeconomic data which is specific to an industry of the item and macroeconomic data which is non-specific"; "The microeconomic and macroeconomic factors effectively increase or decrease the rate of depreciation"; example: "housing prices, real wage growth, and gas prices are collected at t 0 and forecasted for t n"; values "modified based on editorial input"</t>
  </si>
  <si>
    <t xml:space="preserve">https://patents.google.com/patent/US9607310B2/en</t>
  </si>
  <si>
    <t xml:space="preserve">2012-2017</t>
  </si>
  <si>
    <t xml:space="preserve">A patent describes a method the holder may use, not proof of today's production model. It shows the market level forecast, not observed: the step X7 found beats no change nowhere detectably beyond a quarter. No accuracy record is published.</t>
  </si>
  <si>
    <t xml:space="preserve">Context: X24 (A5, the guides' methods)</t>
  </si>
  <si>
    <t xml:space="preserve">jdpower_autovista_owner</t>
  </si>
  <si>
    <t xml:space="preserve">J.D. Power owns Autovista Group (Autovista, Eurotax, Glass's, Schwacke, Rødboka, EV Volumes) since 1 March 2024, beside ALG</t>
  </si>
  <si>
    <t xml:space="preserve">Thoma Bravo press release, 1 March 2024: "J.D. Power ... today announced the completion of its acquisition of Autovista Group"; brands "Autovista, Eurotax, Glass's, Schwacke, Rødboka and EV Volumes"</t>
  </si>
  <si>
    <t xml:space="preserve">https://www.thomabravo.com/press-releases/j.d.-power-sets-sights-on-european-expansion-with-completion-of-autovista-group-acquisition</t>
  </si>
  <si>
    <t xml:space="preserve">2024-03-01</t>
  </si>
  <si>
    <t xml:space="preserve">So ALG and the Autovista brands are one family; cap hpi (UK) is another. A second guide from the same family is not an independent check of the method.</t>
  </si>
  <si>
    <t xml:space="preserve">jdpower_forecast_inputs</t>
  </si>
  <si>
    <t xml:space="preserve">J.D. Power's European residual forecasts (Autovista, Eurotax, Glass's, Schwacke) account for inflation, supply shortages and regulation, set with editorial teams</t>
  </si>
  <si>
    <t xml:space="preserve">J.D. Power, "Forecast" product page (read 27 September 2026): "Accounts for inflation, supply shortages, and regulatory changes"; "Uses data curated by automotive experts including analysts and editorial teams"; "Enables easy reforecasting to revise end-of-contract values anytime"</t>
  </si>
  <si>
    <t xml:space="preserve">https://www.jdpower.com/business/forecast/</t>
  </si>
  <si>
    <t xml:space="preserve">A product page, not a method paper: market-wide inputs beside the car's specification and options, with no accuracy record. The Residual Value Monitor page names causes such as competitor actions, facelifts and generation launches.</t>
  </si>
  <si>
    <t xml:space="preserve">ald_rv_setting_method</t>
  </si>
  <si>
    <t xml:space="preserve">ALD sets residuals with a statistical model on its own sales data plus trade guides and country factors</t>
  </si>
  <si>
    <t xml:space="preserve">ALD consolidated financial statements FY2020 (unaudited, published with the Q4 2020 results, hosted by Ayvens), residual value risk: "Calculation is based on refined market segmentation and on a statistical model using internal used car sales data for each market segment as well as Trade Guides references and country specific factors (inflation, market sector adjustments, life cycle etc.)"; reviewed "during a local pricing committee held at least twice a year"</t>
  </si>
  <si>
    <t xml:space="preserve">https://www.ayvens.com/-/media/ayvens/public/cp/files/financial-results/2020/10-february-2021-q4-and-fy-2020-results-financial-statements.pdf?rev=b8713633d6b0473b8c20622f2cf5ed38</t>
  </si>
  <si>
    <t xml:space="preserve">FY2020</t>
  </si>
  <si>
    <t xml:space="preserve">Before ALD merged with LeasePlan into Ayvens (2023). A large European lessor also splits a car's curve from a market adjustment; X7 found its margins showed no foresight of 2021-22 (x7_ald_slope_*).</t>
  </si>
  <si>
    <t xml:space="preserve">ald_remark_one_sided</t>
  </si>
  <si>
    <t xml:space="preserve">ALD re-marks its running fleet car by car at least yearly, books expected losses to contract end and books no gains</t>
  </si>
  <si>
    <t xml:space="preserve">ALD consolidated financial statements FY2020: "The current residual value embedded in the contract is compared with the expected market value on a car by car basis"; "all potential car sales losses are recognised on a straight line basis between the date of the revaluation and the end of the contract; where the revaluation in a country produces an overall profit, no adjustment is made"; reviewed "at least yearly (twice a year for the entities with more than 5,000 vehicles)"</t>
  </si>
  <si>
    <t xml:space="preserve">A lessor's precedent for X6's one-sided re-mark (raise the charge when the level falls, never cut it when hot). An accounting rule (IAS 8), not a pricing rule. The user's X24 research report read it as an immediate impairment: it is spread to the contract's end.</t>
  </si>
  <si>
    <t xml:space="preserve">auto1_merchant_gpu_q1_2026_eur</t>
  </si>
  <si>
    <t xml:space="preserve">Auto1: gross profit per car bought from consumers and sold to dealers (Merchant), Q1 2026</t>
  </si>
  <si>
    <t xml:space="preserve">AUTO1 Group, Q1 2026 results press release: Merchant "gross profit was EUR 207.0 million, up 14.8% year over year with GPU of EUR 957"; "With wirkaufendeinauto.de and its sister brands, the Group offers consumers a fast and easy way to sell their cars"; "AUTO1.com is Europe's largest wholesale trading platform for car dealers"</t>
  </si>
  <si>
    <t xml:space="preserve">https://www.auto1-group.com/press/pressrelease/auto1-group-reports-record-q1-2026-results/</t>
  </si>
  <si>
    <t xml:space="preserve">2026 Q1</t>
  </si>
  <si>
    <t xml:space="preserve">Europe (nine countries). A buyer of private cars that resells them at trade earns a margin doing so, so private sellers are paid less than trade: why Aramis's margin is a ceiling for the gap at trade (X24). Its GPU includes fees charged to dealers. Q4 2025: EUR 986.</t>
  </si>
  <si>
    <t xml:space="preserve">x24_gap_floor_pct</t>
  </si>
  <si>
    <t xml:space="preserve">Retail-to-trade gap on the same young car, floor (Motorpoint FY26, UK)</t>
  </si>
  <si>
    <t xml:space="preserve">% of the car's retail price</t>
  </si>
  <si>
    <t xml:space="preserve">analysis/trade_gap_report.md</t>
  </si>
  <si>
    <t xml:space="preserve">Audited accounts, on each retailer's mix, not the group's returns: Motorpoint (UK, nearly new, mostly fleet and bulk buying) gives a floor, since its preparation is already deducted and no service earns more than its revenue; Aramis (the group's own, EU) gives the ceiling, with services at no margin and private sellers paid below trade (auto1_merchant_gpu_q1_2026_eur). Any discount off the asking price comes on top.</t>
  </si>
  <si>
    <t xml:space="preserve">x24_gap_aramis_low_pct</t>
  </si>
  <si>
    <t xml:space="preserve">The same gap at the group's own retailer, its lowest (Aramis FY2025, services at full margin, before refurbishing)</t>
  </si>
  <si>
    <t xml:space="preserve">x24_gap_ceiling_pct</t>
  </si>
  <si>
    <t xml:space="preserve">Retail-to-trade gap on the same young car, ceiling (Aramis FY2025, services at no margin)</t>
  </si>
  <si>
    <t xml:space="preserve">x24_us_sd_ratio</t>
  </si>
  <si>
    <t xml:space="preserve">US data: 12-month swings of trade prices over those of retail prices (standard deviations)</t>
  </si>
  <si>
    <t xml:space="preserve">US data: the Manheim index (wholesale auctions, mix, mileage and season adjusted) against the US CPI for used cars (retail, seasonally adjusted), 1997-2025. The two adjust for quality differently. No European public series prices the trade.</t>
  </si>
  <si>
    <t xml:space="preserve">x24_us_p10_trade_pct</t>
  </si>
  <si>
    <t xml:space="preserve">US data: one-in-ten-year 12-month change of trade prices (Manheim, p10)</t>
  </si>
  <si>
    <t xml:space="preserve">x24_us_p10_retail_pct</t>
  </si>
  <si>
    <t xml:space="preserve">US data: the same for retail prices (CPI, p10)</t>
  </si>
  <si>
    <t xml:space="preserve">x24_us_lead_months</t>
  </si>
  <si>
    <t xml:space="preserve">US data: months by which trade prices lead retail prices (best correlation)</t>
  </si>
  <si>
    <t xml:space="preserve">US data: the Manheim index (wholesale auctions, mix, mileage and season adjusted) against the US CPI for used cars (retail, seasonally adjusted), 1997-2025. The two adjust for quality differently. No European public series prices the trade. Why the re-mark should read the group's own trade results as they come.</t>
  </si>
  <si>
    <t xml:space="preserve">x24_us_corr_lead</t>
  </si>
  <si>
    <t xml:space="preserve">US data: correlation of trade and retail 12-month changes at that lead</t>
  </si>
  <si>
    <t xml:space="preserve">x24_us_slope_lead</t>
  </si>
  <si>
    <t xml:space="preserve">US data: points of trade change per point of retail change, trade leading</t>
  </si>
  <si>
    <t xml:space="preserve">US data: the Manheim index (wholesale auctions, mix, mileage and season adjusted) against the US CPI for used cars (retail, seasonally adjusted), 1997-2025. The two adjust for quality differently. No European public series prices the trade. About one for one: no general amplification to carry into the workbook.</t>
  </si>
  <si>
    <t xml:space="preserve">x24_us_slump_2008</t>
  </si>
  <si>
    <t xml:space="preserve">US data: trade's fall over retail's, 2008 (December to December)</t>
  </si>
  <si>
    <t xml:space="preserve">US data: the Manheim index (wholesale auctions, mix, mileage and season adjusted) against the US CPI for used cars (retail, seasonally adjusted), 1997-2025. The two adjust for quality differently. No European public series prices the trade. One of two market-wide slumps: too few to set a multiplier.</t>
  </si>
  <si>
    <t xml:space="preserve">x24_us_slump_2022</t>
  </si>
  <si>
    <t xml:space="preserve">US data: trade's fall over retail's, 2022 (December to December)</t>
  </si>
  <si>
    <t xml:space="preserve">cocomo_a</t>
  </si>
  <si>
    <t xml:space="preserve">COCOMO II.2000 effort constant A</t>
  </si>
  <si>
    <t xml:space="preserve">constant</t>
  </si>
  <si>
    <t xml:space="preserve">Boehm et al., COCOMO II Model Definition Manual, version 2.1 (USC Center for Software Engineering, 2000), section 2: "A = 2.94 B = 0.91 C = 3.67 D = 0.28"</t>
  </si>
  <si>
    <t xml:space="preserve">https://www.rose-hulman.edu/class/cs/csse372/201310/Homework/CII_modelman2000.pdf</t>
  </si>
  <si>
    <t xml:space="preserve">Calibrated on 161 projects, mostly US. Used only to check whether the work list's engineering effort fits a 24-month schedule, never to size the work: the prototype's code says nothing about a production system's size.</t>
  </si>
  <si>
    <t xml:space="preserve">Context: X25 (programme cost)</t>
  </si>
  <si>
    <t xml:space="preserve">cocomo_b</t>
  </si>
  <si>
    <t xml:space="preserve">COCOMO II.2000 scale exponent base B</t>
  </si>
  <si>
    <t xml:space="preserve">Boehm et al., COCOMO II Model Definition Manual, version 2.1 (USC Center for Software Engineering, 2000), section 2</t>
  </si>
  <si>
    <t xml:space="preserve">cocomo_c</t>
  </si>
  <si>
    <t xml:space="preserve">COCOMO II.2000 schedule constant C</t>
  </si>
  <si>
    <t xml:space="preserve">cocomo_d</t>
  </si>
  <si>
    <t xml:space="preserve">COCOMO II.2000 schedule exponent base D</t>
  </si>
  <si>
    <t xml:space="preserve">cocomo_sf_nominal_sum</t>
  </si>
  <si>
    <t xml:space="preserve">COCOMO II.2000 sum of the five scale factors at nominal</t>
  </si>
  <si>
    <t xml:space="preserve">sum of scale factors</t>
  </si>
  <si>
    <t xml:space="preserve">Boehm et al., COCOMO II Model Definition Manual, version 2.1 (USC Center for Software Engineering, 2000), Table 10: nominal PREC 3.72, FLEX 3.04, RESL 4.24, TEAM 3.29, PMAT 4.68</t>
  </si>
  <si>
    <t xml:space="preserve">The sum of the five nominal values in Table 10, so E = B + 0.01 x sum. The programme's scale factors are not rated; nominal is the reference. Calibrated on 161 projects, mostly US. Used only to check whether the work list's engineering effort fits a 24-month schedule, never to size the work: the prototype's code says nothing about a production system's size.</t>
  </si>
  <si>
    <t xml:space="preserve">cocomo_sced_85_em</t>
  </si>
  <si>
    <t xml:space="preserve">COCOMO II.2000 effort multiplier for a schedule at 85% of nominal (SCED Low)</t>
  </si>
  <si>
    <t xml:space="preserve">multiplier</t>
  </si>
  <si>
    <t xml:space="preserve">Boehm et al., COCOMO II Model Definition Manual, version 2.1 (USC Center for Software Engineering, 2000), Table 34, SCED</t>
  </si>
  <si>
    <t xml:space="preserve">Effort rises when the schedule is compressed below COCOMO's nominal; 100% of nominal or longer is 1.00. Calibrated on 161 projects, mostly US. Used only to check whether the work list's engineering effort fits a 24-month schedule, never to size the work: the prototype's code says nothing about a production system's size.</t>
  </si>
  <si>
    <t xml:space="preserve">cocomo_sced_75_em</t>
  </si>
  <si>
    <t xml:space="preserve">COCOMO II.2000 effort multiplier for a schedule at 75% of nominal (SCED Very Low)</t>
  </si>
  <si>
    <t xml:space="preserve">75% of nominal is the model's tightest rating. Calibrated on 161 projects, mostly US. Used only to check whether the work list's engineering effort fits a 24-month schedule, never to size the work: the prototype's code says nothing about a production system's size.</t>
  </si>
  <si>
    <t xml:space="preserve">cocomo_hours_per_pm</t>
  </si>
  <si>
    <t xml:space="preserve">COCOMO II person-hours per person-month (nominal)</t>
  </si>
  <si>
    <t xml:space="preserve">hours</t>
  </si>
  <si>
    <t xml:space="preserve">Boehm et al., COCOMO II Model Definition Manual, version 2.1 (USC Center for Software Engineering, 2000), section 3: "a nominal value of 152 hours per Person-Month"</t>
  </si>
  <si>
    <t xml:space="preserve">Excludes holidays, vacations and weekends. A US convention; the work list counts FTE, not hours.</t>
  </si>
  <si>
    <t xml:space="preserve">ai_peng_faster_pct</t>
  </si>
  <si>
    <t xml:space="preserve">Copilot RCT: treated developers finished one coding task faster by</t>
  </si>
  <si>
    <t xml:space="preserve">% less time</t>
  </si>
  <si>
    <t xml:space="preserve">Peng, Kalliamvakou, Cihon &amp; Demirer, arXiv 2302.06590 (2023), abstract: "completed the task 55.8% faster than the control group"</t>
  </si>
  <si>
    <t xml:space="preserve">https://arxiv.org/abs/2302.06590</t>
  </si>
  <si>
    <t xml:space="preserve">2023</t>
  </si>
  <si>
    <t xml:space="preserve">One task (an HTTP server in JavaScript), recruited developers, an early Copilot. An upper reference for a well-specified coding task, not for a programme.</t>
  </si>
  <si>
    <t xml:space="preserve">ai_cui_tasks_pct</t>
  </si>
  <si>
    <t xml:space="preserve">Three field experiments: completed tasks with an AI code assistant, increase</t>
  </si>
  <si>
    <t xml:space="preserve">% more completed tasks</t>
  </si>
  <si>
    <t xml:space="preserve">Cui, Demirer, Jaffe, Musolff, Peng &amp; Salz, "The Effects of Generative AI on High-Skilled Work" (June 2025), abstract: "a 26.08% increase (SE: 10.3%) in completed tasks"</t>
  </si>
  <si>
    <t xml:space="preserve">https://www.mertdemirer.com/Papers/Demirer_AI_productivity.pdf</t>
  </si>
  <si>
    <t xml:space="preserve">2025-06</t>
  </si>
  <si>
    <t xml:space="preserve">Randomised at Microsoft, Accenture and a Fortune 100 firm, 4,867 developers, a code-completion assistant (not agents); larger gains for less experienced developers. Completed tasks (pull requests), not time saved.</t>
  </si>
  <si>
    <t xml:space="preserve">ai_cui_tasks_se_pct</t>
  </si>
  <si>
    <t xml:space="preserve">The same: standard error</t>
  </si>
  <si>
    <t xml:space="preserve">Cui et al. (June 2025), abstract</t>
  </si>
  <si>
    <t xml:space="preserve">Each experiment alone is noisy; the pooled estimate's standard error.</t>
  </si>
  <si>
    <t xml:space="preserve">ai_metr25_time_pct</t>
  </si>
  <si>
    <t xml:space="preserve">METR early-2025 RCT: extra time taken with AI by experienced open-source developers</t>
  </si>
  <si>
    <t xml:space="preserve">% more time (low and high: confidence interval)</t>
  </si>
  <si>
    <t xml:space="preserve">METR, "Measuring the Impact of Early-2025 AI on Experienced Open-Source Developer Productivity" (10 July 2025): tasks took 19% longer; interval as restated in METR's February 2026 update</t>
  </si>
  <si>
    <t xml:space="preserve">https://metr.org/blog/2025-07-10-early-2025-ai-experienced-os-dev-study/</t>
  </si>
  <si>
    <t xml:space="preserve">2025-07</t>
  </si>
  <si>
    <t xml:space="preserve">16 developers, 246 tasks in their own large repositories, Cursor with Claude 3.5/3.7; they believed they were 20% faster. The authors say it does not show that AI fails to speed up most developers. The adverse case, never the central one.</t>
  </si>
  <si>
    <t xml:space="preserve">ai_metr26_returning_pct</t>
  </si>
  <si>
    <t xml:space="preserve">METR late-2025 update: estimate for returning developers</t>
  </si>
  <si>
    <t xml:space="preserve">% as METR reports it ("a speedup of -18%"; low and high: interval)</t>
  </si>
  <si>
    <t xml:space="preserve">METR, "We are Changing our Developer Productivity Experiment Design" (24 February 2026): "we now estimate a speedup of -18% with a confidence interval between -38% and +9%"</t>
  </si>
  <si>
    <t xml:space="preserve">https://metr.org/blog/2026-02-24-uplift-update/</t>
  </si>
  <si>
    <t xml:space="preserve">2026-02</t>
  </si>
  <si>
    <t xml:space="preserve">The sign convention is not stated beside the figure; the page says developers are likely more sped up than in early 2025. METR calls the data only very weak evidence (selection: developers refusing to work without AI, a pay cut, concurrent agents) and is redesigning the study. The interval spans zero.</t>
  </si>
  <si>
    <t xml:space="preserve">ai_metr26_new_pct</t>
  </si>
  <si>
    <t xml:space="preserve">METR late-2025 update: estimate for newly recruited developers</t>
  </si>
  <si>
    <t xml:space="preserve">% as METR reports it (low and high: interval)</t>
  </si>
  <si>
    <t xml:space="preserve">METR (24 February 2026): "Among newly-recruited developers the estimated speedup is -4%, with a confidence interval between -15% and +9%"</t>
  </si>
  <si>
    <t xml:space="preserve">As ai_metr26_returning_pct: very weak evidence by METR's own account; the interval spans zero.</t>
  </si>
  <si>
    <t xml:space="preserve">ai_dora24_throughput_pct</t>
  </si>
  <si>
    <t xml:space="preserve">DORA 2024: delivery throughput per 25% more AI adoption</t>
  </si>
  <si>
    <t xml:space="preserve">Google Cloud, "Announcing the 2024 DORA report": a 25% increase in AI adoption is associated with a 1.5% decrease in delivery throughput</t>
  </si>
  <si>
    <t xml:space="preserve">https://cloud.google.com/blog/products/devops-sre/announcing-the-2024-dora-report</t>
  </si>
  <si>
    <t xml:space="preserve">2024-10</t>
  </si>
  <si>
    <t xml:space="preserve">A survey association, not an experiment. DORA 2025 reverses it: "a positive relationship between AI adoption on both software delivery throughput and product performance" (no size read).</t>
  </si>
  <si>
    <t xml:space="preserve">ai_dora24_stability_pct</t>
  </si>
  <si>
    <t xml:space="preserve">DORA 2024: delivery stability per 25% more AI adoption</t>
  </si>
  <si>
    <t xml:space="preserve">Google Cloud, "Announcing the 2024 DORA report": a 7.2% reduction in delivery stability</t>
  </si>
  <si>
    <t xml:space="preserve">A survey association. DORA 2025: AI adoption "does continue to have a negative relationship with software delivery stability".</t>
  </si>
  <si>
    <t xml:space="preserve">ai_timewarp_coding_pct</t>
  </si>
  <si>
    <t xml:space="preserve">Share of a developer's actual week spent coding</t>
  </si>
  <si>
    <t xml:space="preserve">% of the week</t>
  </si>
  <si>
    <t xml:space="preserve">Kumar, Goel, Zimmermann, Houck, Ashok &amp; Bansal, "Time Warp: The Gap Between Developers' Ideal vs Actual Workweeks in an AI-Driven Era" (Microsoft, 2024), abstract: 'Coding' (≈11%)</t>
  </si>
  <si>
    <t xml:space="preserve">https://www.microsoft.com/en-us/research/wp-content/uploads/2024/11/Time-Warp-Developer-Productivity-Study.pdf</t>
  </si>
  <si>
    <t xml:space="preserve">Self-reported, approximate (the paper's ≈) shares of an actual week, 484 Microsoft developers; a US firm. Used to apply a coding gain only to the share of an engineer's week it can touch.</t>
  </si>
  <si>
    <t xml:space="preserve">ai_timewarp_debugging_pct</t>
  </si>
  <si>
    <t xml:space="preserve">Share of a developer's actual week spent debugging</t>
  </si>
  <si>
    <t xml:space="preserve">Kumar, Goel, Zimmermann, Houck, Ashok &amp; Bansal, "Time Warp: The Gap Between Developers' Ideal vs Actual Workweeks in an AI-Driven Era" (Microsoft, 2024), abstract: 'Debugging' (≈9%)</t>
  </si>
  <si>
    <t xml:space="preserve">ai_timewarp_review_pct</t>
  </si>
  <si>
    <t xml:space="preserve">Share of a developer's actual week on pull requests and code review</t>
  </si>
  <si>
    <t xml:space="preserve">Kumar, Goel, Zimmermann, Houck, Ashok &amp; Bansal, "Time Warp: The Gap Between Developers' Ideal vs Actual Workweeks in an AI-Driven Era" (Microsoft, 2024), abstract: 'Pull Requests/Code Reviews' (≈5%)</t>
  </si>
  <si>
    <t xml:space="preserve">senzing_20m_usd_year</t>
  </si>
  <si>
    <t xml:space="preserve">Senzing entity resolution, 20 million records, a year</t>
  </si>
  <si>
    <t xml:space="preserve">USD a year</t>
  </si>
  <si>
    <t xml:space="preserve">Senzing, AWS Marketplace listing, 12-month contract priced by data source records (read 27 September 2026)</t>
  </si>
  <si>
    <t xml:space="preserve">https://aws.amazon.com/marketplace/pp/prodview-p3y2bvjkxcipo</t>
  </si>
  <si>
    <t xml:space="preserve">List price, USD. AWS infrastructure extra; priced by records loaded, searches free. The group runs it in its own cloud account under a subscription, so it is a licence, not SaaS.</t>
  </si>
  <si>
    <t xml:space="preserve">senzing_50m_usd_year</t>
  </si>
  <si>
    <t xml:space="preserve">Senzing entity resolution, 50 million records, a year</t>
  </si>
  <si>
    <t xml:space="preserve">senzing_100m_usd_year</t>
  </si>
  <si>
    <t xml:space="preserve">Senzing entity resolution, 100 million records, a year</t>
  </si>
  <si>
    <t xml:space="preserve">senzing_250m_usd_year</t>
  </si>
  <si>
    <t xml:space="preserve">Senzing entity resolution, 250 million records, a year</t>
  </si>
  <si>
    <t xml:space="preserve">sf_auto_core_usd_user_month</t>
  </si>
  <si>
    <t xml:space="preserve">Salesforce Automotive Cloud Sales &amp; Service Core, per user a month</t>
  </si>
  <si>
    <t xml:space="preserve">USD a user a month</t>
  </si>
  <si>
    <t xml:space="preserve">Salesforce, Automotive Cloud pricing page (read 27 September 2026)</t>
  </si>
  <si>
    <t xml:space="preserve">https://www.salesforce.com/automotive/pricing/</t>
  </si>
  <si>
    <t xml:space="preserve">US list price, USD, annual contract. Euro prices exist on regional pages (not read). A seat price, so the cost scales with users.</t>
  </si>
  <si>
    <t xml:space="preserve">sf_auto_advanced_usd_user_month</t>
  </si>
  <si>
    <t xml:space="preserve">Salesforce Automotive Cloud Sales &amp; Service Advanced, per user a month</t>
  </si>
  <si>
    <t xml:space="preserve">US list price, USD, annual contract. Euro prices exist on regional pages (not read). A seat price, so the cost scales with users. The Max editions list at 700 and 725.</t>
  </si>
  <si>
    <t xml:space="preserve">dl_gc14_dev_l3_gbp_day</t>
  </si>
  <si>
    <t xml:space="preserve">Deloitte G-Cloud 14: Development and Implementation, SFIA level 3 (Apply), a day</t>
  </si>
  <si>
    <t xml:space="preserve">GBP a day</t>
  </si>
  <si>
    <t xml:space="preserve">Deloitte LLP, G-Cloud 14 SFIA Rate Card, May 2024, section 2</t>
  </si>
  <si>
    <t xml:space="preserve">https://assets.applytosupply.digitalmarketplace.service.gov.uk/g-cloud-14/documents/92485/570357613487365-pricing-document-2024-04-25-1216.pdf</t>
  </si>
  <si>
    <t xml:space="preserve">2024-05</t>
  </si>
  <si>
    <t xml:space="preserve">UK public-sector framework, maximum day rates in GBP excl. VAT, an 8-hour day, travel inside the M25 included; a ceiling, not a clearing price. UK data.</t>
  </si>
  <si>
    <t xml:space="preserve">dl_gc14_dev_l4_gbp_day</t>
  </si>
  <si>
    <t xml:space="preserve">Deloitte G-Cloud 14: Development and Implementation, SFIA level 4 (Enable), a day</t>
  </si>
  <si>
    <t xml:space="preserve">dl_gc14_dev_l5_gbp_day</t>
  </si>
  <si>
    <t xml:space="preserve">Deloitte G-Cloud 14: Development and Implementation, SFIA level 5 (Ensure/Advise), a day</t>
  </si>
  <si>
    <t xml:space="preserve">dl_gc14_arch_l4_gbp_day</t>
  </si>
  <si>
    <t xml:space="preserve">Deloitte G-Cloud 14: Strategy and Architecture (and Change and Transformation), SFIA level 4, a day</t>
  </si>
  <si>
    <t xml:space="preserve">Deloitte LLP, G-Cloud 14 SFIA Rate Card, May 2024, section 2 (the two columns carry the same rates)</t>
  </si>
  <si>
    <t xml:space="preserve">dl_gc14_arch_l5_gbp_day</t>
  </si>
  <si>
    <t xml:space="preserve">Deloitte G-Cloud 14: Strategy and Architecture (and Change and Transformation), SFIA level 5, a day</t>
  </si>
  <si>
    <t xml:space="preserve">dl_gc14_arch_l6_gbp_day</t>
  </si>
  <si>
    <t xml:space="preserve">Deloitte G-Cloud 14: Strategy and Architecture (and Change and Transformation), SFIA level 6, a day</t>
  </si>
  <si>
    <t xml:space="preserve">dl_gc14_off_dev_l3_gbp_day</t>
  </si>
  <si>
    <t xml:space="preserve">Deloitte G-Cloud 14 offshore: Development and Implementation, SFIA level 3, a day</t>
  </si>
  <si>
    <t xml:space="preserve">Deloitte LLP, G-Cloud 14 SFIA Rate Card, May 2024, section 3 (offshore rate card)</t>
  </si>
  <si>
    <t xml:space="preserve">Locations outside the UK, not available for every skill. UK public-sector framework, maximum day rates in GBP excl. VAT, an 8-hour day, travel inside the M25 included; a ceiling, not a clearing price. UK data.</t>
  </si>
  <si>
    <t xml:space="preserve">dl_gc14_off_dev_l4_gbp_day</t>
  </si>
  <si>
    <t xml:space="preserve">Deloitte G-Cloud 14 offshore: Development and Implementation, SFIA level 4, a day</t>
  </si>
  <si>
    <t xml:space="preserve">Deloitte LLP, G-Cloud 14 SFIA Rate Card, May 2024, section 3</t>
  </si>
  <si>
    <t xml:space="preserve">dl_gc14_off_dev_l5_gbp_day</t>
  </si>
  <si>
    <t xml:space="preserve">Deloitte G-Cloud 14 offshore: Development and Implementation, SFIA level 5, a day</t>
  </si>
  <si>
    <t xml:space="preserve">consip_svi_eur_team_day</t>
  </si>
  <si>
    <t xml:space="preserve">Consip framework 2483: software development and evolutive maintenance, per team-day</t>
  </si>
  <si>
    <t xml:space="preserve">EUR per person-day of the blended team (8 hours)</t>
  </si>
  <si>
    <t xml:space="preserve">3-i S.p.A., determina a contrarre I-DTM-0000011-2025 (7 July 2025), order under the Consip framework "Servizi applicativi in ottica cloud e PMO 2 - PAC", ID Sigef 2483, table of rates: "Tariffa omnicomprensiva per 1 Giorno/Team ottimale (8 ore lavorative)", 165,00</t>
  </si>
  <si>
    <t xml:space="preserve">https://www.3-i.gov.it/files/2026/02/Determina_a_contrarre_Servizi_Applicativi_e_accessori_SAC2L1_27062025_v1.1..pdf</t>
  </si>
  <si>
    <t xml:space="preserve">What an Italian public body pays under a competitively tendered framework, excl. VAT: a low anchor, not a carmaker's price and not a ceiling.</t>
  </si>
  <si>
    <t xml:space="preserve">consip_ss_eur_team_day</t>
  </si>
  <si>
    <t xml:space="preserve">Consip framework 2483: specialist ICT support, per team-day</t>
  </si>
  <si>
    <t xml:space="preserve">3-i S.p.A., determina a contrarre I-DTM-0000011-2025 (7 July 2025), order under the Consip framework "Servizi applicativi in ottica cloud e PMO 2 - PAC", ID Sigef 2483, table of rates: Supporto Tecnico-Specialistico ICT, 160,00</t>
  </si>
  <si>
    <t xml:space="preserve">consip_ga_eur_fte_month</t>
  </si>
  <si>
    <t xml:space="preserve">Consip framework 2483: application portfolio management, per FTE a month</t>
  </si>
  <si>
    <t xml:space="preserve">EUR per FTE a month</t>
  </si>
  <si>
    <t xml:space="preserve">3-i S.p.A., determina a contrarre I-DTM-0000011-2025 (7 July 2025), order under the Consip framework "Servizi applicativi in ottica cloud e PMO 2 - PAC", ID Sigef 2483, table of rates: Gestione del Portafoglio Applicativo, Livello Standard, canone per 1 FTE mensile, 2.000,00</t>
  </si>
  <si>
    <t xml:space="preserve">What an Italian public body pays under a competitively tendered framework, excl. VAT: a low anchor, not a carmaker's price and not a ceiling. A run-phase service, not build work.</t>
  </si>
  <si>
    <t xml:space="preserve">gh_copilot_business_usd_user_month</t>
  </si>
  <si>
    <t xml:space="preserve">GitHub Copilot Business, per user a month (from 1 June 2026)</t>
  </si>
  <si>
    <t xml:space="preserve">GitHub, "GitHub Copilot is moving to usage-based billing" (27 April 2026): "$19/user/month, including $19 in monthly AI Credits"</t>
  </si>
  <si>
    <t xml:space="preserve">https://github.blog/news-insights/company-news/github-copilot-is-moving-to-usage-based-billing/</t>
  </si>
  <si>
    <t xml:space="preserve">2026-06</t>
  </si>
  <si>
    <t xml:space="preserve">Usage beyond the included credits at published API rates, or capped by the admin.</t>
  </si>
  <si>
    <t xml:space="preserve">gh_copilot_enterprise_usd_user_month</t>
  </si>
  <si>
    <t xml:space="preserve">GitHub Copilot Enterprise, per user a month (from 1 June 2026)</t>
  </si>
  <si>
    <t xml:space="preserve">GitHub (27 April 2026): "$39/user/month, including $39 in monthly AI Credits"</t>
  </si>
  <si>
    <t xml:space="preserve">claude_team_std_usd_seat_month</t>
  </si>
  <si>
    <t xml:space="preserve">Claude Team standard seat, per month, annual billing</t>
  </si>
  <si>
    <t xml:space="preserve">USD a seat a month</t>
  </si>
  <si>
    <t xml:space="preserve">Anthropic, Claude pricing page (read 27 September 2026): Team Standard $20 a seat a month billed annually ($25 monthly)</t>
  </si>
  <si>
    <t xml:space="preserve">https://claude.com/pricing</t>
  </si>
  <si>
    <t xml:space="preserve">Claude Code included, with usage limits; Enterprise is $20 a seat plus usage at API rates.</t>
  </si>
  <si>
    <t xml:space="preserve">claude_team_premium_usd_seat_month</t>
  </si>
  <si>
    <t xml:space="preserve">Claude Team premium seat, per month, annual billing</t>
  </si>
  <si>
    <t xml:space="preserve">Anthropic, Claude pricing page (read 27 September 2026): Team Premium $100 a seat a month billed annually ($125 monthly)</t>
  </si>
  <si>
    <t xml:space="preserve">Five times a standard seat's usage; for heavy agent use.</t>
  </si>
  <si>
    <t xml:space="preserve">cursor_teams_usd_user_month</t>
  </si>
  <si>
    <t xml:space="preserve">Cursor Teams, per user a month</t>
  </si>
  <si>
    <t xml:space="preserve">Cursor pricing page (read 27 September 2026): Teams $40/user/month</t>
  </si>
  <si>
    <t xml:space="preserve">https://cursor.com/pricing</t>
  </si>
  <si>
    <t xml:space="preserve">Usage-based charges beyond the plan's limits.</t>
  </si>
  <si>
    <t xml:space="preserve">claude_sonnet5_in_usd_mtok</t>
  </si>
  <si>
    <t xml:space="preserve">Claude Sonnet 5 API, input tokens</t>
  </si>
  <si>
    <t xml:space="preserve">USD per million tokens</t>
  </si>
  <si>
    <t xml:space="preserve">Anthropic API pricing (read 27 September 2026): Sonnet 5 $2 / MTok input</t>
  </si>
  <si>
    <t xml:space="preserve">https://platform.claude.com/docs/en/about-claude/pricing</t>
  </si>
  <si>
    <t xml:space="preserve">List price, USD per million tokens; the batch API halves it; negotiated enterprise discounts not public.</t>
  </si>
  <si>
    <t xml:space="preserve">claude_sonnet5_out_usd_mtok</t>
  </si>
  <si>
    <t xml:space="preserve">Claude Sonnet 5 API, output tokens</t>
  </si>
  <si>
    <t xml:space="preserve">Anthropic API pricing (read 27 September 2026): Sonnet 5 $10 / MTok output</t>
  </si>
  <si>
    <t xml:space="preserve">claude_opus55_in_usd_mtok</t>
  </si>
  <si>
    <t xml:space="preserve">Claude Opus 5.5 API, input tokens</t>
  </si>
  <si>
    <t xml:space="preserve">Anthropic API pricing (read 27 September 2026): Opus 5.5 $4 / MTok input</t>
  </si>
  <si>
    <t xml:space="preserve">claude_opus55_out_usd_mtok</t>
  </si>
  <si>
    <t xml:space="preserve">Claude Opus 5.5 API, output tokens</t>
  </si>
  <si>
    <t xml:space="preserve">Anthropic API pricing (read 27 September 2026): Opus 5.5 $20 / MTok output</t>
  </si>
  <si>
    <t xml:space="preserve">claude_haiku45_in_usd_mtok</t>
  </si>
  <si>
    <t xml:space="preserve">Claude Haiku 4.5 API, input tokens</t>
  </si>
  <si>
    <t xml:space="preserve">Anthropic API pricing (read 27 September 2026): Haiku 4.5 $1 / MTok input</t>
  </si>
  <si>
    <t xml:space="preserve">claude_haiku45_out_usd_mtok</t>
  </si>
  <si>
    <t xml:space="preserve">Claude Haiku 4.5 API, output tokens</t>
  </si>
  <si>
    <t xml:space="preserve">Anthropic API pricing (read 27 September 2026): Haiku 4.5 $5 / MTok output</t>
  </si>
  <si>
    <t xml:space="preserve">x25_loaded_oc1_fr_eur</t>
  </si>
  <si>
    <t xml:space="preserve">Loaded annual cost of an employee, France, managers (OC1), manufacturing, 2025 terms</t>
  </si>
  <si>
    <t xml:space="preserve">EUR a year</t>
  </si>
  <si>
    <t xml:space="preserve">analysis/programme_rates_report.md</t>
  </si>
  <si>
    <t xml:space="preserve">Official mean pay for the whole occupation group in manufacturing (10+ employees), carried to 2025 with manufacturing's wage growth, plus employer labour costs other than wages; no office, equipment or management overhead (x25_overhead_pct adds it). A data specialist may earn more than the group's mean. Managers include senior executives, so the mean can overstate a programme manager's pay (most in Italy).</t>
  </si>
  <si>
    <t xml:space="preserve">x25_loaded_oc2_fr_eur</t>
  </si>
  <si>
    <t xml:space="preserve">Loaded annual cost of an employee, France, professionals (OC2), manufacturing, 2025 terms</t>
  </si>
  <si>
    <t xml:space="preserve">Official mean pay for the whole occupation group in manufacturing (10+ employees), carried to 2025 with manufacturing's wage growth, plus employer labour costs other than wages; no office, equipment or management overhead (x25_overhead_pct adds it). A data specialist may earn more than the group's mean.</t>
  </si>
  <si>
    <t xml:space="preserve">x25_loaded_oc3_fr_eur</t>
  </si>
  <si>
    <t xml:space="preserve">Loaded annual cost of an employee, France, technicians (OC3), manufacturing, 2025 terms</t>
  </si>
  <si>
    <t xml:space="preserve">x25_loaded_oc1_de_eur</t>
  </si>
  <si>
    <t xml:space="preserve">Loaded annual cost of an employee, Germany, managers (OC1), manufacturing, 2025 terms</t>
  </si>
  <si>
    <t xml:space="preserve">x25_loaded_oc2_de_eur</t>
  </si>
  <si>
    <t xml:space="preserve">Loaded annual cost of an employee, Germany, professionals (OC2), manufacturing, 2025 terms</t>
  </si>
  <si>
    <t xml:space="preserve">x25_loaded_oc3_de_eur</t>
  </si>
  <si>
    <t xml:space="preserve">Loaded annual cost of an employee, Germany, technicians (OC3), manufacturing, 2025 terms</t>
  </si>
  <si>
    <t xml:space="preserve">x25_loaded_oc1_it_eur</t>
  </si>
  <si>
    <t xml:space="preserve">Loaded annual cost of an employee, Italy, managers (OC1), manufacturing, 2025 terms</t>
  </si>
  <si>
    <t xml:space="preserve">x25_loaded_oc2_it_eur</t>
  </si>
  <si>
    <t xml:space="preserve">Loaded annual cost of an employee, Italy, professionals (OC2), manufacturing, 2025 terms</t>
  </si>
  <si>
    <t xml:space="preserve">x25_loaded_oc3_it_eur</t>
  </si>
  <si>
    <t xml:space="preserve">Loaded annual cost of an employee, Italy, technicians (OC3), manufacturing, 2025 terms</t>
  </si>
  <si>
    <t xml:space="preserve">x25_loaded_oc1_es_eur</t>
  </si>
  <si>
    <t xml:space="preserve">Loaded annual cost of an employee, Spain, managers (OC1), manufacturing, 2025 terms</t>
  </si>
  <si>
    <t xml:space="preserve">x25_loaded_oc2_es_eur</t>
  </si>
  <si>
    <t xml:space="preserve">Loaded annual cost of an employee, Spain, professionals (OC2), manufacturing, 2025 terms</t>
  </si>
  <si>
    <t xml:space="preserve">x25_loaded_oc3_es_eur</t>
  </si>
  <si>
    <t xml:space="preserve">Loaded annual cost of an employee, Spain, technicians (OC3), manufacturing, 2025 terms</t>
  </si>
  <si>
    <t xml:space="preserve">x25_loaded_oc1_pl_eur</t>
  </si>
  <si>
    <t xml:space="preserve">Loaded annual cost of an employee, Poland, managers (OC1), manufacturing, 2025 terms</t>
  </si>
  <si>
    <t xml:space="preserve">Official mean pay for the whole occupation group in manufacturing (10+ employees), carried to 2025 with manufacturing's wage growth, plus employer labour costs other than wages; no office, equipment or management overhead (x25_overhead_pct adds it). A data specialist may earn more than the group's mean. Managers include senior executives, so the mean can overstate a programme manager's pay (most in Italy). Poland is the model's lower-cost hub; whether the group has a hub there is not claimed.</t>
  </si>
  <si>
    <t xml:space="preserve">x25_loaded_oc2_pl_eur</t>
  </si>
  <si>
    <t xml:space="preserve">Loaded annual cost of an employee, Poland, professionals (OC2), manufacturing, 2025 terms</t>
  </si>
  <si>
    <t xml:space="preserve">Official mean pay for the whole occupation group in manufacturing (10+ employees), carried to 2025 with manufacturing's wage growth, plus employer labour costs other than wages; no office, equipment or management overhead (x25_overhead_pct adds it). A data specialist may earn more than the group's mean. Poland is the model's lower-cost hub; whether the group has a hub there is not claimed.</t>
  </si>
  <si>
    <t xml:space="preserve">x25_loaded_oc3_pl_eur</t>
  </si>
  <si>
    <t xml:space="preserve">Loaded annual cost of an employee, Poland, technicians (OC3), manufacturing, 2025 terms</t>
  </si>
  <si>
    <t xml:space="preserve">x25_ict_hardfill_fr_pct</t>
  </si>
  <si>
    <t xml:space="preserve">Enterprises recruiting ICT specialists with hard-to-fill vacancies, France, manufacturing, 2024</t>
  </si>
  <si>
    <t xml:space="preserve">% of recruiting enterprises</t>
  </si>
  <si>
    <t xml:space="preserve">Eurostat isoc_ske_itrcrn2, 10+ employees. Difficulty, not months to hire: a reason to cost a hiring lag, not its size.</t>
  </si>
  <si>
    <t xml:space="preserve">x25_ict_hardfill_de_pct</t>
  </si>
  <si>
    <t xml:space="preserve">Enterprises recruiting ICT specialists with hard-to-fill vacancies, Germany, manufacturing, 2024</t>
  </si>
  <si>
    <t xml:space="preserve">x25_ict_hardfill_it_pct</t>
  </si>
  <si>
    <t xml:space="preserve">Enterprises recruiting ICT specialists with hard-to-fill vacancies, Italy, manufacturing, 2024</t>
  </si>
  <si>
    <t xml:space="preserve">x25_ict_hardfill_es_pct</t>
  </si>
  <si>
    <t xml:space="preserve">Enterprises recruiting ICT specialists with hard-to-fill vacancies, Spain, manufacturing, 2024</t>
  </si>
  <si>
    <t xml:space="preserve">x25_ict_hardfill_pl_pct</t>
  </si>
  <si>
    <t xml:space="preserve">Enterprises recruiting ICT specialists with hard-to-fill vacancies, Poland, manufacturing, 2024</t>
  </si>
  <si>
    <t xml:space="preserve">x25_usd_per_eur</t>
  </si>
  <si>
    <t xml:space="preserve">ECB reference rate, US dollars per euro, latest twelve-month average</t>
  </si>
  <si>
    <t xml:space="preserve">USD per EUR</t>
  </si>
  <si>
    <t xml:space="preserve">2026-08</t>
  </si>
  <si>
    <t xml:space="preserve">ECB monthly reference rates averaged over the report's twelve months; converts list prices quoted in USD into euros. A price paid in another month moves with the rate.</t>
  </si>
  <si>
    <t xml:space="preserve">x25_gbp_per_eur</t>
  </si>
  <si>
    <t xml:space="preserve">ECB reference rate, pounds sterling per euro, latest twelve-month average</t>
  </si>
  <si>
    <t xml:space="preserve">GBP per EUR</t>
  </si>
  <si>
    <t xml:space="preserve">ECB monthly reference rates averaged over the report's twelve months; converts list prices quoted in GBP into euros. A price paid in another month moves with the rate.</t>
  </si>
  <si>
    <t xml:space="preserve">x25_days_per_fte_year</t>
  </si>
  <si>
    <t xml:space="preserve">Working days a full-time person is available in a year</t>
  </si>
  <si>
    <t xml:space="preserve">days a year</t>
  </si>
  <si>
    <t xml:space="preserve">Our estimate, from official holiday data</t>
  </si>
  <si>
    <t xml:space="preserve">Puts salaries and day rates on one basis. 261 weekdays, less paid annual leave (24 to 29 days for professionals in manufacturing in the core markets and Poland, Structure of Earnings Survey 2022, analysis/programme_rates_report.md) and about ten weekday public holidays, gives about 222 to 227; the low end allows for sickness. Day rates are billed per day worked, so the fewer the days, the dearer in-house work looks against an integrator.</t>
  </si>
  <si>
    <t xml:space="preserve">x25_overhead_pct</t>
  </si>
  <si>
    <t xml:space="preserve">Overhead on an employee's loaded cost: offices, equipment, IT, management and HR</t>
  </si>
  <si>
    <t xml:space="preserve">% of loaded cost</t>
  </si>
  <si>
    <t xml:space="preserve">Our estimate; no sourced figure found</t>
  </si>
  <si>
    <t xml:space="preserve">Eurostat's labour costs stop at the employer's labour costs; an integrator's day rate already carries its own overhead and margin, so base 1 without overhead would be tilted in its own favour. No public source gives this for a carmaker; the range is wide on purpose, and the model reports the overhead at which base 1 and base 2 swap places.</t>
  </si>
  <si>
    <t xml:space="preserve">hv_time_savings_pct</t>
  </si>
  <si>
    <t xml:space="preserve">AI chatbot adopters' reported time savings, share of work hours (Denmark)</t>
  </si>
  <si>
    <t xml:space="preserve">% of work hours</t>
  </si>
  <si>
    <t xml:space="preserve">Humlum &amp; Vestergaard, "Large Language Models, Small Labor Market Effects", NBER Working Paper 33777 (revised), section 2.2: "On average, adopters in our sample report savings of about 3% of their work hours"</t>
  </si>
  <si>
    <t xml:space="preserve">https://www.nber.org/system/files/working_papers/w33777/w33777.pdf</t>
  </si>
  <si>
    <t xml:space="preserve">Self-reported by adopters in exposed occupations (software developers among them), linked to Danish administrative records; the same paper finds precise null effects on earnings and recorded hours, ruling out effects above 2%. The central saving for roles no coding study covers; no sourced high or adverse end.</t>
  </si>
  <si>
    <t xml:space="preserve">hv_reallocated_pct</t>
  </si>
  <si>
    <t xml:space="preserve">AI chatbot users who reallocate time saved to other job tasks (Denmark)</t>
  </si>
  <si>
    <t xml:space="preserve">% of users</t>
  </si>
  <si>
    <t xml:space="preserve">Humlum &amp; Vestergaard, "Large Language Models, Small Labor Market Effects", NBER Working Paper 33777 (revised): "most chatbot users (85%) report reallocating time savings from AI chatbots to other job tasks"</t>
  </si>
  <si>
    <t xml:space="preserve">Why a time saving becomes a cost saving only if the team is made smaller: left alone, the time goes to other tasks. Base 3 assumes the programme sizes its teams to the saving from Phase 1.</t>
  </si>
  <si>
    <t xml:space="preserve">x25_loc_fr_pct</t>
  </si>
  <si>
    <t xml:space="preserve">Share of the programme's central in-house team based in France (the rest in Italy)</t>
  </si>
  <si>
    <t xml:space="preserve">% of central person-months</t>
  </si>
  <si>
    <t xml:space="preserve">Our estimate, from the group's two legacies and the roadmap</t>
  </si>
  <si>
    <t xml:space="preserve">The central team sits where the two legacy organisations and their systems are, France and Italy, weighted to France, which hosts the Phase 2 pilot. Market-facing roles (data stewards, change leads) sit in the four core markets from Phase 3. Germany, the dearest market, carries no central team; the high end moves more to France, the low end more to Italy.</t>
  </si>
  <si>
    <t xml:space="preserve">gate_leak_switch_s1_pct</t>
  </si>
  <si>
    <t xml:space="preserve">Phase 1 back-up trigger - certified process leakage below which the programme starts with residual value (scenario 1. In-house, no AI)</t>
  </si>
  <si>
    <t xml:space="preserve">% of claims-based incentive spend</t>
  </si>
  <si>
    <t xml:space="preserve">Team choice, derived on the Benefits sheet (X21, X22), one per X25 build scenario</t>
  </si>
  <si>
    <t xml:space="preserve">Derived, not chosen: the leak rate at which claims controls alone repay the first two phases' build cost (this scenario's, from the Programme cost sheet) at the reference-class overrun within five years at the group's highest WACC (X21's decision basis); rounded. Below it the order flips, as the doc already says when incentive spend is far below the assumption: a Back-up, not a Kill, since the programme still pays at a zero leak rate (X21's switching values). One row per build scenario (X25): no scenario is chosen. The audit checks this row against the sheet.</t>
  </si>
  <si>
    <t xml:space="preserve">gate_claims_recovered_s1_eur_m</t>
  </si>
  <si>
    <t xml:space="preserve">Phase 2 gate - claims recoveries certified by Finance in the pilot market, annualised (scenario 1. In-house, no AI)</t>
  </si>
  <si>
    <t xml:space="preserve">Derived, not chosen: what claims controls earn in the pilot market (x21_cov_pilot_2024) at this scenario's switch trigger, rounded. Skeptic A12's repair: certified money, not only data quality, releases Phase 3's funding. Read on recoveries Finance certifies over Phase 2, annualised. If missed: Back-up, the programme continues on residual value first, and the claims lever is not scaled. The audit checks this row against the sheet.</t>
  </si>
  <si>
    <t xml:space="preserve">gate_exit_floor_s1_eur_m</t>
  </si>
  <si>
    <t xml:space="preserve">Phase 4 exit - floor: certified run rate below which the programme stops (scenario 1. In-house, no AI)</t>
  </si>
  <si>
    <t xml:space="preserve">Derived, not chosen: the run rate at month 24 at which the decision basis is worth nothing with this scenario's build cost, reading a certified run rate as where the rates landed (the gate times the share of benefits that can be lost); rounded. Below it: Kill, with no run cost committed. It applies from the Phase 3 gate (skeptic A13's named stop): if the certified run rate in the live markets is already below it at month 18, Phase 4 is not funded. Between it and gate_benefits_eur_m: Waiver with re-review in the live markets. The audit checks this row against the sheet.</t>
  </si>
  <si>
    <t xml:space="preserve">gate_leak_switch_s2_pct</t>
  </si>
  <si>
    <t xml:space="preserve">Phase 1 back-up trigger - certified process leakage below which the programme starts with residual value (scenario 2. Buy and outsource)</t>
  </si>
  <si>
    <t xml:space="preserve">gate_claims_recovered_s2_eur_m</t>
  </si>
  <si>
    <t xml:space="preserve">Phase 2 gate - claims recoveries certified by Finance in the pilot market, annualised (scenario 2. Buy and outsource)</t>
  </si>
  <si>
    <t xml:space="preserve">gate_exit_floor_s2_eur_m</t>
  </si>
  <si>
    <t xml:space="preserve">Phase 4 exit - floor: certified run rate below which the programme stops (scenario 2. Buy and outsource)</t>
  </si>
  <si>
    <t xml:space="preserve">gate_leak_switch_s3_pct</t>
  </si>
  <si>
    <t xml:space="preserve">Phase 1 back-up trigger - certified process leakage below which the programme starts with residual value (scenario 3. In-house with AI)</t>
  </si>
  <si>
    <t xml:space="preserve">gate_claims_recovered_s3_eur_m</t>
  </si>
  <si>
    <t xml:space="preserve">Phase 2 gate - claims recoveries certified by Finance in the pilot market, annualised (scenario 3. In-house with AI)</t>
  </si>
  <si>
    <t xml:space="preserve">gate_exit_floor_s3_eur_m</t>
  </si>
  <si>
    <t xml:space="preserve">Phase 4 exit - floor: certified run rate below which the programme stops (scenario 3. In-house with AI)</t>
  </si>
  <si>
    <t xml:space="preserve">gate_leak_switch_s4_pct</t>
  </si>
  <si>
    <t xml:space="preserve">Phase 1 back-up trigger - certified process leakage below which the programme starts with residual value (scenario 4. Cheapest route per workstream)</t>
  </si>
  <si>
    <t xml:space="preserve">gate_claims_recovered_s4_eur_m</t>
  </si>
  <si>
    <t xml:space="preserve">Phase 2 gate - claims recoveries certified by Finance in the pilot market, annualised (scenario 4. Cheapest route per workstream)</t>
  </si>
  <si>
    <t xml:space="preserve">gate_exit_floor_s4_eur_m</t>
  </si>
  <si>
    <t xml:space="preserve">Phase 4 exit - floor: certified run rate below which the programme stops (scenario 4. Cheapest route per workstream)</t>
  </si>
  <si>
    <t xml:space="preserve">Value at risk - summary</t>
  </si>
  <si>
    <t xml:space="preserve">EUR millions a year, in two measures (X18): expected a year, what to budget, and in a one-in-ten-year market, what a bad year costs. They sit side by side and are never added. Every cell is a formula over the Assumptions sheet; change an input there and this moves.</t>
  </si>
  <si>
    <t xml:space="preserve">expected a year</t>
  </si>
  <si>
    <t xml:space="preserve">in a one-in-ten-year market</t>
  </si>
  <si>
    <t xml:space="preserve">what drives it</t>
  </si>
  <si>
    <t xml:space="preserve">Leak 1 - incentives paid wrongly or needlessly</t>
  </si>
  <si>
    <t xml:space="preserve">claims base disclosed (worldwide), leak rate assumed; targeting derived from published studies</t>
  </si>
  <si>
    <t xml:space="preserve">Leak 2 - upgrade moments missed</t>
  </si>
  <si>
    <t xml:space="preserve">timing is measured, the euro conversion is assumed</t>
  </si>
  <si>
    <t xml:space="preserve">Leak 3 - residual value</t>
  </si>
  <si>
    <t xml:space="preserve">book due within a year disclosed. Expected: the level and curve count both ways and gained on the book's record, so zero, plus resale execution. One in ten: their joint p10, measured, plus execution</t>
  </si>
  <si>
    <t xml:space="preserve">Total value at risk a year</t>
  </si>
  <si>
    <t xml:space="preserve">the two columns answer different questions; never add or average them</t>
  </si>
  <si>
    <t xml:space="preserve">Upper end, in no total</t>
  </si>
  <si>
    <t xml:space="preserve">expected: as if every buy-back were a customer's put at the residual; one in ten: the level and the curve at their p10s at once</t>
  </si>
  <si>
    <t xml:space="preserve">Stress: the whole book in a core market's bad year (-4.5%)</t>
  </si>
  <si>
    <t xml:space="preserve">a Europe-wide bad year as deep as a core market's one-in-ten; the book's short history lacks one</t>
  </si>
  <si>
    <t xml:space="preserve">Stress, upper end, in no total</t>
  </si>
  <si>
    <t xml:space="preserve">the same with the level and the curve at their p10s at once</t>
  </si>
  <si>
    <t xml:space="preserve">Total without the targeting line</t>
  </si>
  <si>
    <t xml:space="preserve">paying buyers who would buy anyway is the cost of any incentive</t>
  </si>
  <si>
    <t xml:space="preserve">What the programme gets back (the Benefits sheet, X21)</t>
  </si>
  <si>
    <t xml:space="preserve">Addressable: what the levers can reach, every source</t>
  </si>
  <si>
    <t xml:space="preserve">-</t>
  </si>
  <si>
    <t xml:space="preserve">reach, not benefit (the Data reach sheet, X20)</t>
  </si>
  <si>
    <t xml:space="preserve">Planned benefit, committed levers</t>
  </si>
  <si>
    <t xml:space="preserve">claims controls, retention, resale execution; one year in ten adds the little-history cut</t>
  </si>
  <si>
    <t xml:space="preserve">The same at the reference class</t>
  </si>
  <si>
    <t xml:space="preserve">large software projects fall short of their benefits on average (McKinsey-Oxford)</t>
  </si>
  <si>
    <t xml:space="preserve">Certified today</t>
  </si>
  <si>
    <t xml:space="preserve">every committed rate is an assumption; Finance certifies from Phase 1</t>
  </si>
  <si>
    <t xml:space="preserve">Range from the assumed inputs</t>
  </si>
  <si>
    <t xml:space="preserve">base</t>
  </si>
  <si>
    <t xml:space="preserve">Leak 3, expected a year</t>
  </si>
  <si>
    <t xml:space="preserve">Leak 3, one year in ten</t>
  </si>
  <si>
    <t xml:space="preserve">Total, expected a year</t>
  </si>
  <si>
    <t xml:space="preserve">Total, one year in ten</t>
  </si>
  <si>
    <t xml:space="preserve">How much of this is evidence?</t>
  </si>
  <si>
    <t xml:space="preserve">expected, EUR m</t>
  </si>
  <si>
    <t xml:space="preserve">one in ten, EUR m</t>
  </si>
  <si>
    <t xml:space="preserve">meaning</t>
  </si>
  <si>
    <t xml:space="preserve">Disclosed exposure, measured shocks (leak 3, the level and the curve)</t>
  </si>
  <si>
    <t xml:space="preserve">our own analysis, on a disclosed exposure: nothing expected, the largest line in a bad year</t>
  </si>
  <si>
    <t xml:space="preserve">Measured costs, assumed reach (leak 3, resale execution)</t>
  </si>
  <si>
    <t xml:space="preserve">a day in stock and the retail margin are measured; the days cut and the share routed are assumed</t>
  </si>
  <si>
    <t xml:space="preserve">Measured timing, assumed conversion (leak 2)</t>
  </si>
  <si>
    <t xml:space="preserve">the window is measured and the contracts disclosed; the euros are not</t>
  </si>
  <si>
    <t xml:space="preserve">Disclosed base, assumed leak rate (leak 1, claims)</t>
  </si>
  <si>
    <t xml:space="preserve">the group's own incentive claims (20-F, worldwide); the share paid wrongly is assumed</t>
  </si>
  <si>
    <t xml:space="preserve">Derived from published studies (leak 1, targeting)</t>
  </si>
  <si>
    <t xml:space="preserve">Swiss price sensitivities by income, a European margin, one assumption</t>
  </si>
  <si>
    <t xml:space="preserve">Read the split before either total. What we measured best is a tail: leak 3's level and curve cost about nothing in an average year, because the group's buy-back contracts bring the cars back and a rising market pays for a falling one, and they are the largest measured line in a bad year. The expected column rests mostly on disclosed bases with assumed rates (leak 1's claims, leak 2, resale execution's reach), which a pilot should replace, and on leak 1's targeting line, derived from published studies and tested by the pilot's holdout.</t>
  </si>
  <si>
    <t xml:space="preserve">One input at a time</t>
  </si>
  <si>
    <t xml:space="preserve">input</t>
  </si>
  <si>
    <t xml:space="preserve">one in ten at its low</t>
  </si>
  <si>
    <t xml:space="preserve">one in ten at its high</t>
  </si>
  <si>
    <t xml:space="preserve">swing</t>
  </si>
  <si>
    <t xml:space="preserve">swing, expected a year</t>
  </si>
  <si>
    <t xml:space="preserve">Only assumed inputs are varied here, ranked by their swing on the one-in-ten total. The measured ones have ranges too - they are on the Assumptions sheet - but varying them would answer a different question: this table asks how much of the answer rests on judgement. The little-history share moves only the one-in-ten column, since the expected column's level and curve line is zero.</t>
  </si>
  <si>
    <t xml:space="preserve">Leak 1: the spend nobody can see</t>
  </si>
  <si>
    <t xml:space="preserve">The claims line takes the group's own claims-based incentive spend: the sales-incentive provision in its 20-F (Note 21), worldwide, as a share of net revenue (analysis/incentive_anchor_report.md). No regional total is disclosed, and the share of claims paid wrongly is an assumption. The targeting line is derived from published studies and one assumption (analysis/optimal_incentive_report.md). Neither is a measurement of the group in Europe: that is the reason the ledger has to be built.</t>
  </si>
  <si>
    <t xml:space="preserve">EUR millions a year, Enlarged Europe</t>
  </si>
  <si>
    <t xml:space="preserve">Incentive claims (the group's own share of revenue, applied to Europe)</t>
  </si>
  <si>
    <t xml:space="preserve">eu_revenue_eur_m x x14_incentive_claims_central (20-F Note 21, worldwide)</t>
  </si>
  <si>
    <t xml:space="preserve">    Claims paid twice, wrongly or too late</t>
  </si>
  <si>
    <t xml:space="preserve">    Profit lost by giving every buyer the same incentive</t>
  </si>
  <si>
    <t xml:space="preserve">x5_targeting_gain_central: what giving each income quartile its own incentive earns, derived in X5</t>
  </si>
  <si>
    <t xml:space="preserve">Value at risk, leak 1</t>
  </si>
  <si>
    <t xml:space="preserve">Of which a controls layer actually recovers</t>
  </si>
  <si>
    <t xml:space="preserve">leakage that exists is not leakage you can recover</t>
  </si>
  <si>
    <t xml:space="preserve">Not sized here, on purpose</t>
  </si>
  <si>
    <t xml:space="preserve">Spend above the best uniform level. The targeting line takes today's uniform incentive as the best uniform one, so it cannot say whether the group spends too much on average. Public data cannot either: the published margins and price sensitivities disagree. Only a randomised holdout on the incentive's level measures it.</t>
  </si>
  <si>
    <t xml:space="preserve">Pass-through leakage - money meant for the buyer that the dealer keeps - is real and measured in the literature (buyers receive 70-90% of a customer rebate but only 30-40% of a dealer discount, Busse et al. 2006, US data). It is not converted into euros here because that would need a second assumption about how the group's spend splits between the two kinds of programme. The ledger measures it per programme instead of assuming it.</t>
  </si>
  <si>
    <t xml:space="preserve">Leak 2: the moment nobody catches</t>
  </si>
  <si>
    <t xml:space="preserve">The upgrade moment is when the car is worth more than the balance still owed on it. Both sides are held as a share of the list price, so no currency or exchange rate enters. The value curve is the measured UK retained-value curve from the 2018 adverts, before the shortage; the balance is a straight amortising contract.</t>
  </si>
  <si>
    <t xml:space="preserve">Measured value curve (share of list price)</t>
  </si>
  <si>
    <t xml:space="preserve">retained</t>
  </si>
  <si>
    <t xml:space="preserve">&lt;- analysis/value_retained_report.md (UK 2018 adverts; entry-trim caveat applies; October 2022 ran 24 points higher at three years)</t>
  </si>
  <si>
    <t xml:space="preserve">Contract</t>
  </si>
  <si>
    <t xml:space="preserve">deposit, % of list</t>
  </si>
  <si>
    <t xml:space="preserve">term, months</t>
  </si>
  <si>
    <t xml:space="preserve">interest rate, % a year</t>
  </si>
  <si>
    <t xml:space="preserve">amount financed, % of list</t>
  </si>
  <si>
    <t xml:space="preserve">no discount assumed, so this is the conservative case</t>
  </si>
  <si>
    <t xml:space="preserve">The trigger is not simply positive equity. On a 48-month contract the balance falls faster than the car does, so the customer is above water almost at once. The moment that matters commercially is when the car's equity covers the deposit on the next one, which is the line used below.</t>
  </si>
  <si>
    <t xml:space="preserve">balance owed</t>
  </si>
  <si>
    <t xml:space="preserve">car value, level as measured</t>
  </si>
  <si>
    <t xml:space="preserve">equity</t>
  </si>
  <si>
    <t xml:space="preserve">car value, level -7.7% (p10)</t>
  </si>
  <si>
    <t xml:space="preserve">equity at -7.7%</t>
  </si>
  <si>
    <t xml:space="preserve">car value, level -27.0% (worst)</t>
  </si>
  <si>
    <t xml:space="preserve">equity at -27.0%</t>
  </si>
  <si>
    <t xml:space="preserve">Equity covers the next deposit from month, UK curve (searched from month 12: a 12 means by month 12)</t>
  </si>
  <si>
    <t xml:space="preserve">level as measured</t>
  </si>
  <si>
    <t xml:space="preserve">level -7.7%</t>
  </si>
  <si>
    <t xml:space="preserve">level -27.0%</t>
  </si>
  <si>
    <t xml:space="preserve">Measured with the first year (Dutch adverts, exact ages): equity covers the next deposit from month</t>
  </si>
  <si>
    <t xml:space="preserve">A fall in the market level pushes the upgrade window months later, and a rise pulls it forward. That shift is the measured part of this leak: it comes from the value curve and the level moves, not from judgement. Turning it into euros needs the three assumptions below, and those should be replaced by a randomised pilot rather than defended. The UK curve's window is searched from month 12 because UK adverts carry whole-year ages, so its first twelve months are a line drawn from the list price, which would put equity equal to the deposit at month 0; a 12 there means only 'by month 12'. The months to quote are the measured row: Dutch adverts with exact ages, the first year included, within model (analysis/upgrade_window_report.md).</t>
  </si>
  <si>
    <t xml:space="preserve">EUR millions a year</t>
  </si>
  <si>
    <t xml:space="preserve">Contracts financed or leased through the group</t>
  </si>
  <si>
    <t xml:space="preserve">sfse_eu_nv_contracts_2025: SFSE's new-car contracts in Europe, 2025 (Leasys fleet leases excluded)</t>
  </si>
  <si>
    <t xml:space="preserve">    Extra customers retained by contacting them at the right moment</t>
  </si>
  <si>
    <t xml:space="preserve">Value at risk, leak 2</t>
  </si>
  <si>
    <t xml:space="preserve">x margin_per_repeat_sale</t>
  </si>
  <si>
    <t xml:space="preserve">Leak 3: the value nobody recovers</t>
  </si>
  <si>
    <t xml:space="preserve">This is the leak the evidence actually reaches, and it is a yearly figure like the other two, in two measures: expected a year, and one year in ten (X18). The exposure is the part of the group's disclosed buy-back book that comes back within twelve months; the shocks are measured, not assumed.</t>
  </si>
  <si>
    <t xml:space="preserve">Payables for buy-back agreements, the whole book</t>
  </si>
  <si>
    <t xml:space="preserve">Stellantis 20-F FY2025, Note 24</t>
  </si>
  <si>
    <t xml:space="preserve">Exposure a year: the part due within one year</t>
  </si>
  <si>
    <t xml:space="preserve">Note 24, current column; the rest is counted in the year it falls due</t>
  </si>
  <si>
    <t xml:space="preserve">Market level over the next twelve months</t>
  </si>
  <si>
    <t xml:space="preserve">    Base: the group's book, spread across its markets (p10, -1.411%)</t>
  </si>
  <si>
    <t xml:space="preserve">France on the euro-area index; France's own index gives 61.8m, without France 87.1m. A floor: the index understates what a lessor meets (merger_diversification_report.md)</t>
  </si>
  <si>
    <t xml:space="preserve">    Stress: the whole book in a core market's bad year (p10, -4.5%)</t>
  </si>
  <si>
    <t xml:space="preserve">a Europe-wide bad year the book's short history lacks; the UK market fell 5.87% one year in ten over 1988-2026 (ONS)</t>
  </si>
  <si>
    <t xml:space="preserve">    Reference, in no total: p10 across all 26 EU markets, as if the book sat in one (-6.3%)</t>
  </si>
  <si>
    <t xml:space="preserve">    Reference, in no total: the worst twelve-month move in any market (-14.8%)</t>
  </si>
  <si>
    <t xml:space="preserve">    Reference, in no total: the battery-EV slice in an EV-only slump like Poland's 2022-23 (10.2% of the book at -19.1 points)</t>
  </si>
  <si>
    <t xml:space="preserve">X9: the group's 2024 registrations mix as a proxy for the book; one European slump, not a one-in-ten year; on top of the market's own fall</t>
  </si>
  <si>
    <t xml:space="preserve">The car itself over one year - what a value model can fix</t>
  </si>
  <si>
    <t xml:space="preserve">    Curve error on the part of the book with its own history</t>
  </si>
  <si>
    <t xml:space="preserve">half of a 1.0-point p10-p90 spread, on 90.8 retained: centre to p10</t>
  </si>
  <si>
    <t xml:space="preserve">    Curve error on little-history cars (new brands, new markets, electrified lines)</t>
  </si>
  <si>
    <t xml:space="preserve">half of a 5.1-point 80% interval; thin_share_of_book is the one assumption here</t>
  </si>
  <si>
    <t xml:space="preserve">The sale itself over one year - what the group can recover (X17)</t>
  </si>
  <si>
    <t xml:space="preserve">    Days cut from the time to sale, at the measured cost of a day in stock</t>
  </si>
  <si>
    <t xml:space="preserve">x17_days_cut days (an assumption, anchored to DAT, INDICATA and Auto Trader) at x17_day_cost_central per EUR 10,000 a day: ageing at fixed mileage plus financing (time_in_stock_report.md)</t>
  </si>
  <si>
    <t xml:space="preserve">    A share of returns retailed in-house instead of sold to the trade</t>
  </si>
  <si>
    <t xml:space="preserve">x17_share_routed of returns at Aramis's EBITDA per retail car as a share of its price; before operating costs the gain is x17_channel_gain_before_opex (recovery_levers_report.md)</t>
  </si>
  <si>
    <t xml:space="preserve">Priced, not recovered: the level at its p10 (base)</t>
  </si>
  <si>
    <t xml:space="preserve">no model forecasts it (X7): priced into each contract and re-marked (X6)</t>
  </si>
  <si>
    <t xml:space="preserve">Recoverable: the car and its sale (the curve at its p10, plus resale execution)</t>
  </si>
  <si>
    <t xml:space="preserve">the curve errors a value model cuts, plus resale execution; with the line above, the level and the curve at their separate p10s</t>
  </si>
  <si>
    <t xml:space="preserve">Leak 3 in two measures (X18)</t>
  </si>
  <si>
    <t xml:space="preserve">    Level and curve, expected a year, both sides counted</t>
  </si>
  <si>
    <t xml:space="preserve">the 20-F's contracts bring the cars back (stellantis_buyback_forms), so gains count: on the book's own record a residual at no change gained on average (x18_exp_twosided_book); a gain is not a leak, so zero (headline_measures_report.md)</t>
  </si>
  <si>
    <t xml:space="preserve">    Reference, in no total: the same on the UK's 1988-2026 record</t>
  </si>
  <si>
    <t xml:space="preserve">UK data, several cycles: a residual at no change lost a fraction of a percent a year</t>
  </si>
  <si>
    <t xml:space="preserve">    Upper end, in no total: only losses counted, per contract</t>
  </si>
  <si>
    <t xml:space="preserve">as if every buy-back were a customer's put struck at the residual (X6's case); where a put caps the group's upside, the truth lies between zero and this</t>
  </si>
  <si>
    <t xml:space="preserve">Value at risk, leak 3, expected a year</t>
  </si>
  <si>
    <t xml:space="preserve">the level and curve line above plus resale execution</t>
  </si>
  <si>
    <t xml:space="preserve">    Level and curve together, one year in ten (base)</t>
  </si>
  <si>
    <t xml:space="preserve">their joint p10, x18_joint_share_book of the sum of their separate p10s: the two are independent, and in Latvia the curve moved against the level (x18_lv_curve_level_corr_12m)</t>
  </si>
  <si>
    <t xml:space="preserve">Value at risk, leak 3, one year in ten (base level shock)</t>
  </si>
  <si>
    <t xml:space="preserve">plus resale execution, at its expected value</t>
  </si>
  <si>
    <t xml:space="preserve">Value at risk, leak 3, one year in ten (stress level shock)</t>
  </si>
  <si>
    <t xml:space="preserve">the joint p10 is x18_joint_share_stress of the sum under the stress</t>
  </si>
  <si>
    <t xml:space="preserve">    Upper end, in no total: the level and the curve at their p10s at once (base)</t>
  </si>
  <si>
    <t xml:space="preserve">both going wrong together: a year rarer than one in ten</t>
  </si>
  <si>
    <t xml:space="preserve">    Upper end, in no total: the same under the stress</t>
  </si>
  <si>
    <t xml:space="preserve">What the group books on these cars: scheduled depreciation, not a loss</t>
  </si>
  <si>
    <t xml:space="preserve">    Decrease in value on assets sold with a buy-back commitment, 2023</t>
  </si>
  <si>
    <t xml:space="preserve">    Decrease in value on assets sold with a buy-back commitment, 2024</t>
  </si>
  <si>
    <t xml:space="preserve">    Decrease in value on assets sold with a buy-back commitment, 2025</t>
  </si>
  <si>
    <t xml:space="preserve">contracts of 12 months or less only</t>
  </si>
  <si>
    <t xml:space="preserve">Each car's cost less its estimated residual, depreciated over the contract (20-F FY2025 accounting policy): an expected cost, not a loss against the residual, so it cannot check the rows above. As a share of year-end buy-back assets it is about a year's ordinary depreciation (level_charge_report.md). The group discloses no gains or losses at disposal for this book; the ledger would record them car by car.</t>
  </si>
  <si>
    <t xml:space="preserve">For context: the whole book over a three-year lease (not a yearly figure)</t>
  </si>
  <si>
    <t xml:space="preserve">    Base: the group's book over 36 months, spread across its markets (p10, -3.260%)</t>
  </si>
  <si>
    <t xml:space="preserve">level plus curve over 36 months, on all 7,889m</t>
  </si>
  <si>
    <t xml:space="preserve">    Stress: the whole book in a core market's bad three years (p10, -7.7%)</t>
  </si>
  <si>
    <t xml:space="preserve">    Reference, in no total: the worst three-year move in any market (-27.0%)</t>
  </si>
  <si>
    <t xml:space="preserve">What the programme actually buys</t>
  </si>
  <si>
    <t xml:space="preserve">    Resale execution: days cut and in-house retail (above), a year</t>
  </si>
  <si>
    <t xml:space="preserve">costs measured, reach assumed; the pilot measures both on the ledger</t>
  </si>
  <si>
    <t xml:space="preserve">    Pooling the group's markets, on little-history cars only, a year</t>
  </si>
  <si>
    <t xml:space="preserve">lodo_report.md: 4.3% error cut at 100 local cars, 0.2% by 250</t>
  </si>
  <si>
    <t xml:space="preserve">    Re-marking monthly instead of quarterly</t>
  </si>
  <si>
    <t xml:space="preserve">exposure carried unseen between reviews on the whole book, not a loss avoided</t>
  </si>
  <si>
    <t xml:space="preserve">The level shock is not something the programme removes. No model forecasts the market level; the ledger's job there is to price it into the decision and re-mark it often. What the programme does remove is a share of the curve error, exactly where the book has little history, and the value lost in the sale itself: days a returned car waits and cars sold to the trade that the group's own retail would sell for more (X17).</t>
  </si>
  <si>
    <t xml:space="preserve">One car, and the book divided by it</t>
  </si>
  <si>
    <t xml:space="preserve">Lifetime profit and loss, euros for one car</t>
  </si>
  <si>
    <t xml:space="preserve">The worked example is a Vauxhall Corsa, entry trim, on a 48-month contract. Every line below is an ASSUMPTION with a stated basis and a range on the Assumptions sheet, except the list price and the two residual downsides, which are measured. A contribution figure, not an operating result.</t>
  </si>
  <si>
    <t xml:space="preserve">List price when new</t>
  </si>
  <si>
    <t xml:space="preserve">MEASURED - one_car_report.md</t>
  </si>
  <si>
    <t xml:space="preserve">    Sale margin</t>
  </si>
  <si>
    <t xml:space="preserve">share of list; bracketed by the group's own gross margin</t>
  </si>
  <si>
    <t xml:space="preserve">    less incentives</t>
  </si>
  <si>
    <t xml:space="preserve">ASSUMPTION - a share of list (pl_incentive_pct_list); leak 1 uses the 20-F's claims ratio instead</t>
  </si>
  <si>
    <t xml:space="preserve">    plus finance income</t>
  </si>
  <si>
    <t xml:space="preserve">net of rate support, an internal transfer</t>
  </si>
  <si>
    <t xml:space="preserve">    less credit losses</t>
  </si>
  <si>
    <t xml:space="preserve">a European captive's published cost of risk</t>
  </si>
  <si>
    <t xml:space="preserve">    plus service and parts margin</t>
  </si>
  <si>
    <t xml:space="preserve">    less warranty cost</t>
  </si>
  <si>
    <t xml:space="preserve">share of list; bracketed by published accrual rates</t>
  </si>
  <si>
    <t xml:space="preserve">    Residual outcome, central case</t>
  </si>
  <si>
    <t xml:space="preserve">realised resale equals the contractual residual, so nothing here</t>
  </si>
  <si>
    <t xml:space="preserve">    less reconditioning, logistics and holding</t>
  </si>
  <si>
    <t xml:space="preserve">    plus remarketing margin</t>
  </si>
  <si>
    <t xml:space="preserve">Lifetime value per car</t>
  </si>
  <si>
    <t xml:space="preserve">    Residual downside - market level, p10 in the core markets</t>
  </si>
  <si>
    <t xml:space="preserve">MEASURED - the residual set at signing, times a bad three years</t>
  </si>
  <si>
    <t xml:space="preserve">    Residual downside - curve error</t>
  </si>
  <si>
    <t xml:space="preserve">MEASURED - points of list price</t>
  </si>
  <si>
    <t xml:space="preserve">Lifetime value in a bad market</t>
  </si>
  <si>
    <t xml:space="preserve">Pricing the market level on one contract (X6), euros</t>
  </si>
  <si>
    <t xml:space="preserve">A group-typical car on a 48-month bank lease, residual right on average, core markets. Not in the headline: leak 3 is a one-in-ten year on the buy-back book, this is the price of one lease's level risk. Source: analysis/level_charge_report.md.</t>
  </si>
  <si>
    <t xml:space="preserve">    Level charge: expected loss per 48-month contract</t>
  </si>
  <si>
    <t xml:space="preserve">MEASURED - residual x the expected shortfall</t>
  </si>
  <si>
    <t xml:space="preserve">    Level charge per month, set aside at the ECB rate</t>
  </si>
  <si>
    <t xml:space="preserve">    Capital cost of holding it (CRR Article 134(7))</t>
  </si>
  <si>
    <t xml:space="preserve">MEASURED - 8% + 2.5% of residual/t, at a 10% cost of equity net of the ECB rate</t>
  </si>
  <si>
    <t xml:space="preserve">Price to hold the level risk per contract</t>
  </si>
  <si>
    <t xml:space="preserve">MEASURED - the figure to set beside an insurer's quote</t>
  </si>
  <si>
    <t xml:space="preserve">    Average loss in the worst tenth of windows</t>
  </si>
  <si>
    <t xml:space="preserve">MEASURED - what a bad decile costs one contract; capital, not the charge, covers it</t>
  </si>
  <si>
    <t xml:space="preserve">    Charge with the level below its 3-year average, % of residual</t>
  </si>
  <si>
    <t xml:space="preserve">MEASURED - declines persisted: raise the charge when the level falls</t>
  </si>
  <si>
    <t xml:space="preserve">    Charge in the middle tercile, % of residual</t>
  </si>
  <si>
    <t xml:space="preserve">MEASURED - never cut the charge because the level runs hot</t>
  </si>
  <si>
    <t xml:space="preserve">    Share of losses a charge set from past data covered</t>
  </si>
  <si>
    <t xml:space="preserve">MEASURED - out-of-sample back-test: a flat charge alone falls short</t>
  </si>
  <si>
    <t xml:space="preserve">    Expected level loss on a battery-EV contract, if EV risk runs as on the US record</t>
  </si>
  <si>
    <t xml:space="preserve">US DATA (X9): battery EVs' 48-month expected shortfall against the market's at the same strike (x9_us_ratio_48m_median; its 90% range in the register); Europe's evidence is one slump</t>
  </si>
  <si>
    <t xml:space="preserve">The book divided by the cars in it, euros a vehicle</t>
  </si>
  <si>
    <t xml:space="preserve">Enlarged Europe net revenue per vehicle, 2025</t>
  </si>
  <si>
    <t xml:space="preserve">Operating result per vehicle, 2024</t>
  </si>
  <si>
    <t xml:space="preserve">Operating result per vehicle, 2025</t>
  </si>
  <si>
    <t xml:space="preserve">Swing between the two years</t>
  </si>
  <si>
    <t xml:space="preserve">what one bad year cost, per vehicle</t>
  </si>
  <si>
    <t xml:space="preserve">    Leak 1 at risk per vehicle</t>
  </si>
  <si>
    <t xml:space="preserve">    Leak 2 at risk per vehicle</t>
  </si>
  <si>
    <t xml:space="preserve">    Leak 3 at risk per vehicle, expected a year</t>
  </si>
  <si>
    <t xml:space="preserve">    Leak 3 at risk per vehicle, one year in ten</t>
  </si>
  <si>
    <t xml:space="preserve">Total at risk per vehicle, expected a year</t>
  </si>
  <si>
    <t xml:space="preserve">each leak spread over every car shipped; the leaks cover different cars (below)</t>
  </si>
  <si>
    <t xml:space="preserve">Total at risk per vehicle, one year in ten</t>
  </si>
  <si>
    <t xml:space="preserve">leak 3's level and curve at their joint one-in-ten (X18)</t>
  </si>
  <si>
    <t xml:space="preserve">Under the stress level shock</t>
  </si>
  <si>
    <t xml:space="preserve">the whole book in a core market's bad year</t>
  </si>
  <si>
    <t xml:space="preserve">Leakage against the 2025 result per vehicle, expected a year</t>
  </si>
  <si>
    <t xml:space="preserve">the expected yearly leakage is this many times the loss the group reported per vehicle</t>
  </si>
  <si>
    <t xml:space="preserve">Leak 2 at risk per financed contract</t>
  </si>
  <si>
    <t xml:space="preserve">the cars leak 2 is about: the contracts SFSE wrote in Europe (sfse_eu_nv_contracts_2025)</t>
  </si>
  <si>
    <t xml:space="preserve">Which cars each leak covers (X14, skeptic B6). Leak 1: every car sold to a dealer with an incentive programme, in every channel. Leak 2: the contracts the group's finance arm writes, private and business, in joint ventures with Santander CF and BNP Paribas PF; Leasys's fleet leases are left out. Leak 3: cars sold with a repurchase commitment and due back within a year. The 20-F names no buyer except the group's own leasing and rental joint ventures (Leasys, and the Santander and BNP ventures, Note 29): part of their lease residuals comes back to the group this way. Most of the book is due within a year, the term of a rental fleet, but its mix is not published. No count of buy-back cars is disclosed, so leak 3 has no per-car divisor of its own.</t>
  </si>
  <si>
    <t xml:space="preserve">What the programme has to capture to pay for itself</t>
  </si>
  <si>
    <t xml:space="preserve">Value at risk a year, expected, EUR m</t>
  </si>
  <si>
    <t xml:space="preserve">a programme pays for itself out of the yearly expected cost, not out of a bad year (X18)</t>
  </si>
  <si>
    <t xml:space="preserve">Programme cost over 24 months, 1. In-house, no AI, EUR m</t>
  </si>
  <si>
    <t xml:space="preserve">Share of it the programme must capture to break even, 1. In-house, no AI</t>
  </si>
  <si>
    <t xml:space="preserve">Programme cost over 24 months, 2. Buy and outsource, EUR m</t>
  </si>
  <si>
    <t xml:space="preserve">Share of it the programme must capture to break even, 2. Buy and outsource</t>
  </si>
  <si>
    <t xml:space="preserve">Programme cost over 24 months, 3. In-house with AI, EUR m</t>
  </si>
  <si>
    <t xml:space="preserve">Share of it the programme must capture to break even, 3. In-house with AI</t>
  </si>
  <si>
    <t xml:space="preserve">Programme cost over 24 months, 4. Cheapest route per workstream, EUR m</t>
  </si>
  <si>
    <t xml:space="preserve">Share of it the programme must capture to break even, 4. Cheapest route per workstream</t>
  </si>
  <si>
    <t xml:space="preserve">Four build scenarios from the Programme cost sheet (X25), none chosen. Against what is at risk, not what the programme gets back: the Benefits sheet sizes that lever by lever, with payback for each scenario and switching values (X21).</t>
  </si>
  <si>
    <t xml:space="preserve">Why a better model cannot shrink the book's risk</t>
  </si>
  <si>
    <t xml:space="preserve">Per-car errors are roughly independent, so they average away as one over the square root of the number of cars. A level move is common to every car and does not average away at all.</t>
  </si>
  <si>
    <t xml:space="preserve">cars in the book</t>
  </si>
  <si>
    <t xml:space="preserve">average per-car model error, %</t>
  </si>
  <si>
    <t xml:space="preserve">market level move over 3 years, points of list</t>
  </si>
  <si>
    <t xml:space="preserve">Internal prices: from seeing to deciding (X19)</t>
  </si>
  <si>
    <t xml:space="preserve">A ledger that shows lifetime cost changes no decision made by a business paid on its own P&amp;L. These prices put each business's cost into the others' decisions, at the moment of sale. They are transfers inside the group, so no value-at-risk figure moves. The sample car is the Per car sheet's.</t>
  </si>
  <si>
    <t xml:space="preserve">1. The discount's resale cost, charged to the business that gives it</t>
  </si>
  <si>
    <t xml:space="preserve">low (measured)</t>
  </si>
  <si>
    <t xml:space="preserve">high (published)</t>
  </si>
  <si>
    <t xml:space="preserve">Resale value lost per euro of incentive, EUR</t>
  </si>
  <si>
    <t xml:space="preserve">On the sample car's incentive, EUR per car</t>
  </si>
  <si>
    <t xml:space="preserve">What one more euro of discount costs the group, EUR</t>
  </si>
  <si>
    <t xml:space="preserve">Charged at sale to the sales side, on cars the group will take back (the buy-back book and contracts where it carries the residual); on the rest the cost falls on the buyer, and through the brand's used prices on later residuals (unmeasured). Why it works: paid on a margin that includes this cost, the sales side's own best discount is the group's (weinberg_margin_commission). It extends a price that exists: the group already pays subvention to its leasing programmes and says a residual fall raises it (stellantis_subvention_residual). Subvention is already inside the incentive provision (stellantis_subvention_incentive), so charge the resale cost on the price the buyer pays, never twice. A range until the pilot calibrates it: the low end is an upper bound on our own data.</t>
  </si>
  <si>
    <t xml:space="preserve">2. The market level, priced by book</t>
  </si>
  <si>
    <t xml:space="preserve">Customer-option contract, 48 months: price to hold, % of residual</t>
  </si>
  <si>
    <t xml:space="preserve">X6: one-sided expected loss plus CRR 134(7) capital; bank leases and the joint ventures' residuals that come back through repurchase agreements</t>
  </si>
  <si>
    <t xml:space="preserve">    on the sample car's 48-month residual, EUR</t>
  </si>
  <si>
    <t xml:space="preserve">Buy-back contract, a year or less: expected level cost, both sides counted, % of residual</t>
  </si>
  <si>
    <t xml:space="preserve">the 20-F's contracts bring the cars back: on average a gain (x19_core_all_two_12m), so zero</t>
  </si>
  <si>
    <t xml:space="preserve">    plus when the level starts in its cold third, % of residual</t>
  </si>
  <si>
    <t xml:space="preserve">the core markets; the UK's long record agrees (x19_uk_cold_premium_12m). Never cut it when hot (X6)</t>
  </si>
  <si>
    <t xml:space="preserve">    plus the cost of holding the tail, % of residual a year</t>
  </si>
  <si>
    <t xml:space="preserve">X6's capital rule, as if a bank held it: a residual of a year or less weighs 100%, 8% plus the 2.5% buffer, at banks' cost of equity net of the ECB rate. A convention: the book sits outside CRR</t>
  </si>
  <si>
    <t xml:space="preserve">    the holding cost on the buy-back book due within a year, EUR m</t>
  </si>
  <si>
    <t xml:space="preserve">    the cold premium on the same book, EUR m, in a year that starts cold</t>
  </si>
  <si>
    <t xml:space="preserve">The pricer's override band, cars 2-4 years, %</t>
  </si>
  <si>
    <t xml:space="preserve">X13: tied to the engine's calibrated band, ±5% on average</t>
  </si>
  <si>
    <t xml:space="preserve">    cars 12 years and older, %</t>
  </si>
  <si>
    <t xml:space="preserve">3. One worked trade-off: pulling an upgrade forward (per customer, sample car)</t>
  </si>
  <si>
    <t xml:space="preserve">months at their low</t>
  </si>
  <si>
    <t xml:space="preserve">months at their high</t>
  </si>
  <si>
    <t xml:space="preserve">Months pulled forward</t>
  </si>
  <si>
    <t xml:space="preserve">Old contract's balance at the switch, EUR</t>
  </si>
  <si>
    <t xml:space="preserve">Car value at the switch, EUR</t>
  </si>
  <si>
    <t xml:space="preserve">Customer's equity at the switch less the next deposit, EUR</t>
  </si>
  <si>
    <t xml:space="preserve">A younger car: value at the switch less at the contract's end, EUR</t>
  </si>
  <si>
    <t xml:space="preserve">Finance arm's margin a year per euro outstanding, after credit losses</t>
  </si>
  <si>
    <t xml:space="preserve">Finance arm, taker refinances with the group: margin on the new balance less the old, EUR</t>
  </si>
  <si>
    <t xml:space="preserve">Finance arm, taker finances elsewhere: margin given up on the old balance, EUR</t>
  </si>
  <si>
    <t xml:space="preserve">    most it may charge for early repayment from 20 November 2026, EUR</t>
  </si>
  <si>
    <t xml:space="preserve">Retained sale: contribution per customer won, EUR</t>
  </si>
  <si>
    <t xml:space="preserve">Retention gain per customer contacted, EUR</t>
  </si>
  <si>
    <t xml:space="preserve">What the trade-off says. Interest: a customer who refinances with the group replaces a nearly repaid balance with a new one, so the finance arm earns more over those months, not less; only a customer who finances elsewhere costs it the old margin, and from November 2026 it may recover little of that (Directive (EU) 2023/2225, Art. 29). The retained sale is worth far more than either. The customer's equity covers the next deposit, so no subsidy is needed to make the switch possible. The younger car's extra value is the customer's equity; what more young cars do to the market level is not measured. So the decision turns on one number: how many customers the offer wins that would not have come back anyway. Every euro paid to someone who would have upgraded regardless is lost, no model yet picks them out (X15), so the pilot's randomised holdout measures the uplift before any offer is set. Later contracts shift earlier too; this block counts only the months pulled forward.</t>
  </si>
  <si>
    <t xml:space="preserve">4. The operating metric: predicted lifetime value at sale (sample car)</t>
  </si>
  <si>
    <t xml:space="preserve">Lifetime value per car, the Per car sheet's P&amp;L, EUR</t>
  </si>
  <si>
    <t xml:space="preserve">less the incentive's resale cost, EUR</t>
  </si>
  <si>
    <t xml:space="preserve">less the level's price to hold, customer-option contract, EUR</t>
  </si>
  <si>
    <t xml:space="preserve">Predicted lifetime value at sale, EUR</t>
  </si>
  <si>
    <t xml:space="preserve">Share of the buy-back book that comes back within a year</t>
  </si>
  <si>
    <t xml:space="preserve">so realised values audit the metric within a year for most of the book, not 36-48 months later</t>
  </si>
  <si>
    <t xml:space="preserve">The metric is known at sale and set by the engines, not by the seller: the sale margin and incentive, the incentive's resale cost, the level's price for the contract's book, finance income and the rest of the Per car P&amp;L. Realised value is the audit: the buy-back book comes back within a year for the most part, Aramis publishes realised prices every quarter (X10), leases come back in waves at 48 and 60 months (X3), and the engine's calibrated band sets how far a realised value may miss before the prediction counts as wrong (X15). A shadow scorecard runs it from Phase 2. Guard against gaming (Kerr, Goodhart): the seller sets no input the engines use, overrides stay inside the band, and every prediction is audited when the car comes back. Only the deal terms move it, which is the point: one more euro of discount lowers it by more than a euro (section 1).</t>
  </si>
  <si>
    <t xml:space="preserve">Why a price changes behaviour here</t>
  </si>
  <si>
    <t xml:space="preserve">Group brands' share of new cars registered in a month's last 3 days, %</t>
  </si>
  <si>
    <t xml:space="preserve">the Netherlands, before the agency model: target timing</t>
  </si>
  <si>
    <t xml:space="preserve">    other brands, same period, %</t>
  </si>
  <si>
    <t xml:space="preserve">Revenue gain when one firm removed its salespeople's gamed quotas, %</t>
  </si>
  <si>
    <t xml:space="preserve">US data, one firm (Misra and Nair 2011): pay design moves a sales force a lot</t>
  </si>
  <si>
    <t xml:space="preserve">Data reach: what each lever can work on, by source (X20)</t>
  </si>
  <si>
    <t xml:space="preserve">EUR millions a year, the expected column. Each cell is the part of a leak the programme can act on when a source is missing: reach, not a benefit (X21 sizes benefits on it). The map of sources, holders, routes and fallbacks is in analysis/data_reach_report.md.</t>
  </si>
  <si>
    <t xml:space="preserve">lever</t>
  </si>
  <si>
    <t xml:space="preserve">every source</t>
  </si>
  <si>
    <t xml:space="preserve">without the joint ventures' data</t>
  </si>
  <si>
    <t xml:space="preserve">without dealers' VIN-level evidence</t>
  </si>
  <si>
    <t xml:space="preserve">what limits it</t>
  </si>
  <si>
    <t xml:space="preserve">Leak 1, claims</t>
  </si>
  <si>
    <t xml:space="preserve">every claim passes through the group; without proof of sale, only markets whose register answers per car (NL, ES, IT: x20_reg_route_any_2024), and there by sampled spot checks</t>
  </si>
  <si>
    <t xml:space="preserve">Leak 1, targeting</t>
  </si>
  <si>
    <t xml:space="preserve">floors: buyers whose income the finance partner sees (finance_penetration), or, without it, buyers the group sells to itself (agency markets); a rebate claimed with income evidence could reach more</t>
  </si>
  <si>
    <t xml:space="preserve">Leak 2, upgrade moments</t>
  </si>
  <si>
    <t xml:space="preserve">customer-level timing and contact sit with the joint ventures; without them, cohort-level timing only (X3's waves), whose conversion is unmeasured</t>
  </si>
  <si>
    <t xml:space="preserve">Leak 3, resale execution</t>
  </si>
  <si>
    <t xml:space="preserve">the buy-back book is the group's own</t>
  </si>
  <si>
    <t xml:space="preserve">Leak 3, level and curve</t>
  </si>
  <si>
    <t xml:space="preserve">zero in the expected column (X18); the one-in-ten line is the group's own book in every case</t>
  </si>
  <si>
    <t xml:space="preserve">Reachable, expected a year</t>
  </si>
  <si>
    <t xml:space="preserve">Share of the expected column</t>
  </si>
  <si>
    <t xml:space="preserve">Read it with the map. Leak 3 needs no partner's permission: the buy-back commitments are the group's own, the price level is public, Aramis publishes realised prices, and a returned car's data can be read under the group's own contract with the rental firm or leasing company, which the Data Act treats as the car's user (data_act_user_owner_lessee). Leak 2 needs the joint ventures: the fallback is a division of labour, the group's timing and the partner's contact (its own soft opt-in covers a new finance contract, eprivacy_soft_optin), under an Art 26 arrangement for anything customer-level. Leak 1's claims control rests on what the group can require by contract, since the registers of its two largest markets are closed to it (x20_reg_no_route_2024).</t>
  </si>
  <si>
    <t xml:space="preserve">Benefits: what the programme gets back, and whether it pays (X21)</t>
  </si>
  <si>
    <t xml:space="preserve">EUR millions. Each euro sits in one lever class: recovered and counted; an upper bound that needs a holdout (shown, never committed); the tail cut one year in ten. The level charge and the cold premium are priced, not recovered, and the transfer price, the metric and the band are how the counted levers happen, so none of them carries a euro of its own. Tested the Green Book's way: a reference class, a stress and switching values (analysis/benefits_case_report.md).</t>
  </si>
  <si>
    <t xml:space="preserve">The levers: yearly benefit at full coverage</t>
  </si>
  <si>
    <t xml:space="preserve">class</t>
  </si>
  <si>
    <t xml:space="preserve">earns from</t>
  </si>
  <si>
    <t xml:space="preserve">every source, our adverse ends</t>
  </si>
  <si>
    <t xml:space="preserve">measured by</t>
  </si>
  <si>
    <t xml:space="preserve">Claims controls</t>
  </si>
  <si>
    <t xml:space="preserve">recovered</t>
  </si>
  <si>
    <t xml:space="preserve">Phase 2</t>
  </si>
  <si>
    <t xml:space="preserve">Phase 1: duplicate precision and the leakage baseline Finance certifies</t>
  </si>
  <si>
    <t xml:space="preserve">Retention at the upgrade moment</t>
  </si>
  <si>
    <t xml:space="preserve">Phase 3</t>
  </si>
  <si>
    <t xml:space="preserve">Phase 2: uplift over a randomised control group</t>
  </si>
  <si>
    <t xml:space="preserve">Resale execution: days cut</t>
  </si>
  <si>
    <t xml:space="preserve">Phase 3: days to sale on returns (X22)</t>
  </si>
  <si>
    <t xml:space="preserve">Resale execution: own retail</t>
  </si>
  <si>
    <t xml:space="preserve">Phase 3: margin per routed car (X22)</t>
  </si>
  <si>
    <t xml:space="preserve">Income targeting (X5)</t>
  </si>
  <si>
    <t xml:space="preserve">upper bound, needs a holdout</t>
  </si>
  <si>
    <t xml:space="preserve">Phase 4</t>
  </si>
  <si>
    <t xml:space="preserve">Phase 3: randomised incentive holdouts</t>
  </si>
  <si>
    <t xml:space="preserve">Little-history cars priced as known cars</t>
  </si>
  <si>
    <t xml:space="preserve">tail reduced, one year in ten</t>
  </si>
  <si>
    <t xml:space="preserve">Phase 3: little-history error</t>
  </si>
  <si>
    <t xml:space="preserve">Committed, expected a year</t>
  </si>
  <si>
    <t xml:space="preserve">Coverage: the share of the group's volume live, by period</t>
  </si>
  <si>
    <t xml:space="preserve">period</t>
  </si>
  <si>
    <t xml:space="preserve">Phase 1</t>
  </si>
  <si>
    <t xml:space="preserve">Year 1 after the exit</t>
  </si>
  <si>
    <t xml:space="preserve">Year 2 after the exit</t>
  </si>
  <si>
    <t xml:space="preserve">Year 3 after the exit</t>
  </si>
  <si>
    <t xml:space="preserve">Year 4 after the exit</t>
  </si>
  <si>
    <t xml:space="preserve">Year 5 after the exit</t>
  </si>
  <si>
    <t xml:space="preserve">Year 6 after the exit</t>
  </si>
  <si>
    <t xml:space="preserve">Year 7 after the exit</t>
  </si>
  <si>
    <t xml:space="preserve">Year 8 after the exit</t>
  </si>
  <si>
    <t xml:space="preserve">Year 9 after the exit</t>
  </si>
  <si>
    <t xml:space="preserve">share live (Phase 1: none; the pilot; the core markets; after the exit, all)</t>
  </si>
  <si>
    <t xml:space="preserve">Short horizon, months (the Green Book's five-year IT example)</t>
  </si>
  <si>
    <t xml:space="preserve">Long horizon, months (the Green Book's ten-year default)</t>
  </si>
  <si>
    <t xml:space="preserve">The cases</t>
  </si>
  <si>
    <t xml:space="preserve">case</t>
  </si>
  <si>
    <t xml:space="preserve">benefits realised</t>
  </si>
  <si>
    <t xml:space="preserve">build cost, share of plan</t>
  </si>
  <si>
    <t xml:space="preserve">months a phase</t>
  </si>
  <si>
    <t xml:space="preserve">plan</t>
  </si>
  <si>
    <t xml:space="preserve">the register</t>
  </si>
  <si>
    <t xml:space="preserve">reference class</t>
  </si>
  <si>
    <t xml:space="preserve">McKinsey-Oxford, software projects</t>
  </si>
  <si>
    <t xml:space="preserve">stress, 25% of benefits</t>
  </si>
  <si>
    <t xml:space="preserve">Flyvbjerg-Budzier's stress test; phases as the reference class</t>
  </si>
  <si>
    <t xml:space="preserve">stress, 50% of benefits</t>
  </si>
  <si>
    <t xml:space="preserve">the same, its high end</t>
  </si>
  <si>
    <t xml:space="preserve">adverse ends</t>
  </si>
  <si>
    <t xml:space="preserve">the reference class with every assumed rate at the end of its range that hurts the case, and the run cost at its high end</t>
  </si>
  <si>
    <t xml:space="preserve">Cash by period: 1. In-house, no AI, plan</t>
  </si>
  <si>
    <t xml:space="preserve">start, month</t>
  </si>
  <si>
    <t xml:space="preserve">length, months</t>
  </si>
  <si>
    <t xml:space="preserve">benefit</t>
  </si>
  <si>
    <t xml:space="preserve">build cost (the phase, at its overrun)</t>
  </si>
  <si>
    <t xml:space="preserve">run cost</t>
  </si>
  <si>
    <t xml:space="preserve">share inside the long horizon</t>
  </si>
  <si>
    <t xml:space="preserve">share inside the short horizon</t>
  </si>
  <si>
    <t xml:space="preserve">middle of the part inside the long horizon, month</t>
  </si>
  <si>
    <t xml:space="preserve">middle of the part inside the short horizon, month</t>
  </si>
  <si>
    <t xml:space="preserve">net cash within the long horizon</t>
  </si>
  <si>
    <t xml:space="preserve">cumulative</t>
  </si>
  <si>
    <t xml:space="preserve">payback month, if in this period</t>
  </si>
  <si>
    <t xml:space="preserve">Payback month</t>
  </si>
  <si>
    <t xml:space="preserve">Loss if stopped at the Phase 1 gate (negative: a gain)</t>
  </si>
  <si>
    <t xml:space="preserve">Loss if stopped at the Phase 2 gate (negative: a gain)</t>
  </si>
  <si>
    <t xml:space="preserve">Loss if stopped at the Phase 3 gate (negative: a gain)</t>
  </si>
  <si>
    <t xml:space="preserve">Loss if stopped at the Phase 4 gate (negative: a gain)</t>
  </si>
  <si>
    <t xml:space="preserve">Value over the short horizon at the group's highest pre-tax WACC</t>
  </si>
  <si>
    <t xml:space="preserve">Value over the short horizon at the group's lowest pre-tax WACC</t>
  </si>
  <si>
    <t xml:space="preserve">Value over the long horizon at the group's highest pre-tax WACC</t>
  </si>
  <si>
    <t xml:space="preserve">Value over the long horizon at the group's lowest pre-tax WACC</t>
  </si>
  <si>
    <t xml:space="preserve">Cash by period: 1. In-house, no AI, reference class</t>
  </si>
  <si>
    <t xml:space="preserve">Present value, decision basis: Claims controls</t>
  </si>
  <si>
    <t xml:space="preserve">Present value, decision basis: Retention at the upgrade moment</t>
  </si>
  <si>
    <t xml:space="preserve">Present value, decision basis: Resale execution: days cut</t>
  </si>
  <si>
    <t xml:space="preserve">Present value, decision basis: Resale execution: own retail</t>
  </si>
  <si>
    <t xml:space="preserve">Present value, decision basis: build cost</t>
  </si>
  <si>
    <t xml:space="preserve">Present value, decision basis: run cost</t>
  </si>
  <si>
    <t xml:space="preserve">Cash by period: 1. In-house, no AI, stress, 25% of benefits</t>
  </si>
  <si>
    <t xml:space="preserve">Cash by period: 1. In-house, no AI, stress, 50% of benefits</t>
  </si>
  <si>
    <t xml:space="preserve">Cash by period: 1. In-house, no AI, adverse ends</t>
  </si>
  <si>
    <t xml:space="preserve">Cash by period: 2. Buy and outsource, plan</t>
  </si>
  <si>
    <t xml:space="preserve">Cash by period: 2. Buy and outsource, reference class</t>
  </si>
  <si>
    <t xml:space="preserve">Cash by period: 2. Buy and outsource, stress, 25% of benefits</t>
  </si>
  <si>
    <t xml:space="preserve">Cash by period: 2. Buy and outsource, stress, 50% of benefits</t>
  </si>
  <si>
    <t xml:space="preserve">Cash by period: 2. Buy and outsource, adverse ends</t>
  </si>
  <si>
    <t xml:space="preserve">Cash by period: 3. In-house with AI, plan</t>
  </si>
  <si>
    <t xml:space="preserve">Cash by period: 3. In-house with AI, reference class</t>
  </si>
  <si>
    <t xml:space="preserve">Cash by period: 3. In-house with AI, stress, 25% of benefits</t>
  </si>
  <si>
    <t xml:space="preserve">Cash by period: 3. In-house with AI, stress, 50% of benefits</t>
  </si>
  <si>
    <t xml:space="preserve">Cash by period: 3. In-house with AI, adverse ends</t>
  </si>
  <si>
    <t xml:space="preserve">Cash by period: 4. Cheapest route per workstream, plan</t>
  </si>
  <si>
    <t xml:space="preserve">Cash by period: 4. Cheapest route per workstream, reference class</t>
  </si>
  <si>
    <t xml:space="preserve">Cash by period: 4. Cheapest route per workstream, stress, 25% of benefits</t>
  </si>
  <si>
    <t xml:space="preserve">Cash by period: 4. Cheapest route per workstream, stress, 50% of benefits</t>
  </si>
  <si>
    <t xml:space="preserve">Cash by period: 4. Cheapest route per workstream, adverse ends</t>
  </si>
  <si>
    <t xml:space="preserve">Payback by scenario, and value</t>
  </si>
  <si>
    <t xml:space="preserve">scenario, case</t>
  </si>
  <si>
    <t xml:space="preserve">payback month</t>
  </si>
  <si>
    <t xml:space="preserve">loss if stopped at the Phase 1 gate</t>
  </si>
  <si>
    <t xml:space="preserve">at Phase 2</t>
  </si>
  <si>
    <t xml:space="preserve">at Phase 3</t>
  </si>
  <si>
    <t xml:space="preserve">at Phase 4</t>
  </si>
  <si>
    <t xml:space="preserve">value, 5 years, highest WACC</t>
  </si>
  <si>
    <t xml:space="preserve">5 years, lowest</t>
  </si>
  <si>
    <t xml:space="preserve">10 years, highest</t>
  </si>
  <si>
    <t xml:space="preserve">10 years, lowest</t>
  </si>
  <si>
    <t xml:space="preserve">1. In-house, no AI, plan</t>
  </si>
  <si>
    <t xml:space="preserve">1. In-house, no AI, reference class</t>
  </si>
  <si>
    <t xml:space="preserve">1. In-house, no AI, stress, 25% of benefits</t>
  </si>
  <si>
    <t xml:space="preserve">1. In-house, no AI, stress, 50% of benefits</t>
  </si>
  <si>
    <t xml:space="preserve">1. In-house, no AI, adverse ends</t>
  </si>
  <si>
    <t xml:space="preserve">2. Buy and outsource, plan</t>
  </si>
  <si>
    <t xml:space="preserve">2. Buy and outsource, reference class</t>
  </si>
  <si>
    <t xml:space="preserve">2. Buy and outsource, stress, 25% of benefits</t>
  </si>
  <si>
    <t xml:space="preserve">2. Buy and outsource, stress, 50% of benefits</t>
  </si>
  <si>
    <t xml:space="preserve">2. Buy and outsource, adverse ends</t>
  </si>
  <si>
    <t xml:space="preserve">3. In-house with AI, plan</t>
  </si>
  <si>
    <t xml:space="preserve">3. In-house with AI, reference class</t>
  </si>
  <si>
    <t xml:space="preserve">3. In-house with AI, stress, 25% of benefits</t>
  </si>
  <si>
    <t xml:space="preserve">3. In-house with AI, stress, 50% of benefits</t>
  </si>
  <si>
    <t xml:space="preserve">3. In-house with AI, adverse ends</t>
  </si>
  <si>
    <t xml:space="preserve">4. Cheapest route per workstream, plan</t>
  </si>
  <si>
    <t xml:space="preserve">4. Cheapest route per workstream, reference class</t>
  </si>
  <si>
    <t xml:space="preserve">4. Cheapest route per workstream, stress, 25% of benefits</t>
  </si>
  <si>
    <t xml:space="preserve">4. Cheapest route per workstream, stress, 50% of benefits</t>
  </si>
  <si>
    <t xml:space="preserve">4. Cheapest route per workstream, adverse ends</t>
  </si>
  <si>
    <t xml:space="preserve">Switching values: how far an input can move before the case stops paying (the reference class, the short horizon, the highest WACC), for each scenario</t>
  </si>
  <si>
    <t xml:space="preserve">1. In-house, no AI</t>
  </si>
  <si>
    <t xml:space="preserve">2. Buy and outsource</t>
  </si>
  <si>
    <t xml:space="preserve">3. In-house with AI</t>
  </si>
  <si>
    <t xml:space="preserve">4. Cheapest route per workstream</t>
  </si>
  <si>
    <t xml:space="preserve">Share of benefits that can be lost</t>
  </si>
  <si>
    <t xml:space="preserve">the Green Book sets no benefit shortfall and asks for switching values instead (4.1)</t>
  </si>
  <si>
    <t xml:space="preserve">Build cost overrun absorbed, % of plan</t>
  </si>
  <si>
    <t xml:space="preserve">against the Green Book's unmitigated +200% for ICT and Flyvbjerg-Budzier's +400%</t>
  </si>
  <si>
    <t xml:space="preserve">Run cost at which it stops paying, EUR m a year</t>
  </si>
  <si>
    <t xml:space="preserve">no reference class for operating cost (Green Book 4.1)</t>
  </si>
  <si>
    <t xml:space="preserve">process_leak_pct: the value at which it stops paying</t>
  </si>
  <si>
    <t xml:space="preserve">all else as planned</t>
  </si>
  <si>
    <t xml:space="preserve">recoverable_share: the value at which it stops paying</t>
  </si>
  <si>
    <t xml:space="preserve">upgrade_capture_uplift: the value at which it stops paying</t>
  </si>
  <si>
    <t xml:space="preserve">margin_per_repeat_sale: the value at which it stops paying</t>
  </si>
  <si>
    <t xml:space="preserve">x17_days_cut: the value at which it stops paying</t>
  </si>
  <si>
    <t xml:space="preserve">x17_share_routed: the value at which it stops paying</t>
  </si>
  <si>
    <t xml:space="preserve">The headline split</t>
  </si>
  <si>
    <t xml:space="preserve">one year in ten</t>
  </si>
  <si>
    <t xml:space="preserve">At risk (the headline)</t>
  </si>
  <si>
    <t xml:space="preserve">Upper bound beside it, never committed: income targeting</t>
  </si>
  <si>
    <t xml:space="preserve">The Phase 4 exit gate, derived: the run rate at month 24 (the same in every scenario)</t>
  </si>
  <si>
    <t xml:space="preserve">Gate, every source (the joint-venture arrangement agreed at Phase 1)</t>
  </si>
  <si>
    <t xml:space="preserve">Gate, on the named fallback (without the joint ventures' data)</t>
  </si>
  <si>
    <t xml:space="preserve">Gate, without dealers' VIN-level evidence</t>
  </si>
  <si>
    <t xml:space="preserve">On our own adverse ends</t>
  </si>
  <si>
    <t xml:space="preserve">The gates that depend on build cost, one per scenario (X22)</t>
  </si>
  <si>
    <t xml:space="preserve">gate</t>
  </si>
  <si>
    <t xml:space="preserve">Floor: below this the decision basis is worth nothing, EUR m a year</t>
  </si>
  <si>
    <t xml:space="preserve">a certified run rate says where the rates landed, so the whole benefit profile scales with it</t>
  </si>
  <si>
    <t xml:space="preserve">Phase 1 switch trigger: process_leak_pct below which claims controls do not repay the first two phases</t>
  </si>
  <si>
    <t xml:space="preserve">below it, start with residual value (X22); gate_leak_switch_s*_pct carry it, rounded</t>
  </si>
  <si>
    <t xml:space="preserve">Phase 2 money gate: claims recoveries certified in the pilot market, annualised, EUR m</t>
  </si>
  <si>
    <t xml:space="preserve">what claims controls earn at the switch trigger in the pilot; gate_claims_recovered_s*_eur_m (X22)</t>
  </si>
  <si>
    <t xml:space="preserve">The register's TARGET rows carry these gates, rounded (gate_benefits_eur_m the first exit gate; gate_exit_floor_s*, gate_leak_switch_s* and gate_claims_recovered_s* one per scenario); the audit checks they agree. The exit gate replaces one set 'above' an older controls figure and 'about four times the ask' (skeptic B1), the single ask X25 retired.</t>
  </si>
  <si>
    <t xml:space="preserve">What a discount at the new sale costs when the car comes back</t>
  </si>
  <si>
    <t xml:space="preserve">Not a fourth leak. These euros are already counted - in leak 1 as spend and in leak 3 as residual exposure - and are cut here by cause instead of by business. The point of the cut is that this part is the group's own decision, and the market level is not.</t>
  </si>
  <si>
    <t xml:space="preserve">The two estimates, and what they rest on</t>
  </si>
  <si>
    <t xml:space="preserve">    Share of a deeper deal still there at resale, measured</t>
  </si>
  <si>
    <t xml:space="preserve">MEASURED - 35,552 resales of cars also seen at their own new sale. An upper bound: no trim field</t>
  </si>
  <si>
    <t xml:space="preserve">    Published: % of residual lost at 36 months, per 10% discount</t>
  </si>
  <si>
    <t xml:space="preserve">SOURCED - Holweg and Kattuman, UK auction prices 1999-2004</t>
  </si>
  <si>
    <t xml:space="preserve">    Published: the same in the same month, per 10% discount</t>
  </si>
  <si>
    <t xml:space="preserve">SOURCED - the smaller, substitution channel</t>
  </si>
  <si>
    <t xml:space="preserve">    Discount assumed given, % of list</t>
  </si>
  <si>
    <t xml:space="preserve">ASSUMPTION - the Per car sheet's incentive, a share of list (pl_incentive_pct_list)</t>
  </si>
  <si>
    <t xml:space="preserve">One car, euros</t>
  </si>
  <si>
    <t xml:space="preserve">    List price when new</t>
  </si>
  <si>
    <t xml:space="preserve">    Incentive given at the new sale</t>
  </si>
  <si>
    <t xml:space="preserve">    Residual value when it comes back</t>
  </si>
  <si>
    <t xml:space="preserve">the contractual residual on a 48-month contract</t>
  </si>
  <si>
    <t xml:space="preserve">    Share of that residual lost, measured (low)</t>
  </si>
  <si>
    <t xml:space="preserve">    Share of that residual lost, published (high)</t>
  </si>
  <si>
    <t xml:space="preserve">    Residual lost to the discount, low</t>
  </si>
  <si>
    <t xml:space="preserve">    Residual lost to the discount, high</t>
  </si>
  <si>
    <t xml:space="preserve">Cost at resale per euro of incentive given, low</t>
  </si>
  <si>
    <t xml:space="preserve">every euro handed over at the new sale costs this much again at resale</t>
  </si>
  <si>
    <t xml:space="preserve">Cost at resale per euro of incentive given, high</t>
  </si>
  <si>
    <t xml:space="preserve">The book, EUR millions a year</t>
  </si>
  <si>
    <t xml:space="preserve">    Buy-back residual falling due within a year</t>
  </si>
  <si>
    <t xml:space="preserve">SOURCED - the current portion of the buy-back payables, the same base leak 3 uses</t>
  </si>
  <si>
    <t xml:space="preserve">    Of that, traceable to our own prior discounting - low</t>
  </si>
  <si>
    <t xml:space="preserve">    Of that, traceable to our own prior discounting - high</t>
  </si>
  <si>
    <t xml:space="preserve">How to read this sheet</t>
  </si>
  <si>
    <t xml:space="preserve">- The headline on the Summary sheet does not change. Nothing here is added to it.</t>
  </si>
  <si>
    <t xml:space="preserve">- The low end is measured per car on US electric and plug-in vehicles and is an upper bound in its own terms, because the source has no trim field and part of a cheap new price is a cheaper car. The high end is published, specification-normalised, and from UK auctions in 1999-2004. Quote the range, never one end.</t>
  </si>
  <si>
    <t xml:space="preserve">- The published coefficient is for a 36-month residual and is applied here to a 48-month contract.</t>
  </si>
  <si>
    <t xml:space="preserve">- A market-level pass-through could not be measured at all: see part 3 of analysis/discount_passthrough_report.md, where every European market in Eurostat's new-car and used-car indices gives nothing after the price move and more before it.</t>
  </si>
  <si>
    <t xml:space="preserve">- This is the line that joins leak 1 to leak 3. It is also the only line in the model the group can move by deciding to, which is why it belongs in the pitch.</t>
  </si>
  <si>
    <t xml:space="preserve">Programme cost: the build on four bases, from one work list (X25)</t>
  </si>
  <si>
    <t xml:space="preserve">EUR millions over the 24-month build unless stated. One work list (the Work list sheet, work_list.csv: every FTE an ASSUMPTION with its basis) priced four ways: 1 in-house at Eurostat's loaded cost of an employee in manufacturing plus overhead; 2 an integrator at a public rate card (Deloitte, G-Cloud 14, UK: a ceiling), the group keeping legal, Finance and model validation; 3 in-house with AI, saving only what the studies measured on the share of the week they touch, plus the tools' seats; 4 each workstream's cheapest route, the per-car store and the value engine always built. Platform and change delivery are the same in every base. analysis/programme_cost_report.md.</t>
  </si>
  <si>
    <t xml:space="preserve">role</t>
  </si>
  <si>
    <t xml:space="preserve">pay group</t>
  </si>
  <si>
    <t xml:space="preserve">in-house, central team (EUR a month)</t>
  </si>
  <si>
    <t xml:space="preserve">in-house, the four markets</t>
  </si>
  <si>
    <t xml:space="preserve">in-house, the lower-cost hub</t>
  </si>
  <si>
    <t xml:space="preserve">integrator at the rate card</t>
  </si>
  <si>
    <t xml:space="preserve">AI saving, central</t>
  </si>
  <si>
    <t xml:space="preserve">AI saving, upper</t>
  </si>
  <si>
    <t xml:space="preserve">AI saving, adverse</t>
  </si>
  <si>
    <t xml:space="preserve">AI seats (EUR a month)</t>
  </si>
  <si>
    <t xml:space="preserve">engineer</t>
  </si>
  <si>
    <t xml:space="preserve">OC2</t>
  </si>
  <si>
    <t xml:space="preserve">data_scientist</t>
  </si>
  <si>
    <t xml:space="preserve">architect</t>
  </si>
  <si>
    <t xml:space="preserve">product_owner</t>
  </si>
  <si>
    <t xml:space="preserve">model_validator</t>
  </si>
  <si>
    <t xml:space="preserve">kept in-house</t>
  </si>
  <si>
    <t xml:space="preserve">legal_counsel</t>
  </si>
  <si>
    <t xml:space="preserve">change_lead</t>
  </si>
  <si>
    <t xml:space="preserve">finance_analyst</t>
  </si>
  <si>
    <t xml:space="preserve">programme_manager</t>
  </si>
  <si>
    <t xml:space="preserve">OC1</t>
  </si>
  <si>
    <t xml:space="preserve">data_steward</t>
  </si>
  <si>
    <t xml:space="preserve">OC3</t>
  </si>
  <si>
    <t xml:space="preserve">The four bases, EUR m over the build</t>
  </si>
  <si>
    <t xml:space="preserve">AI tools</t>
  </si>
  <si>
    <t xml:space="preserve">platform, data and licences</t>
  </si>
  <si>
    <t xml:space="preserve">change delivery</t>
  </si>
  <si>
    <t xml:space="preserve">total</t>
  </si>
  <si>
    <t xml:space="preserve">2. Buy and outsource (rate card)</t>
  </si>
  <si>
    <t xml:space="preserve">3. In-house with AI, central</t>
  </si>
  <si>
    <t xml:space="preserve">3. In-house with AI, upper gain</t>
  </si>
  <si>
    <t xml:space="preserve">3. In-house with AI, adverse</t>
  </si>
  <si>
    <t xml:space="preserve">2 at Consip's Italian public team-day (a floor)</t>
  </si>
  <si>
    <t xml:space="preserve">2 with the integrator's engineers offshore</t>
  </si>
  <si>
    <t xml:space="preserve">1 with the coders in the lower-cost hub (no coordination cost)</t>
  </si>
  <si>
    <t xml:space="preserve">workstream</t>
  </si>
  <si>
    <t xml:space="preserve">base 1</t>
  </si>
  <si>
    <t xml:space="preserve">base 2</t>
  </si>
  <si>
    <t xml:space="preserve">base 3</t>
  </si>
  <si>
    <t xml:space="preserve">rule</t>
  </si>
  <si>
    <t xml:space="preserve">chosen</t>
  </si>
  <si>
    <t xml:space="preserve">base 4</t>
  </si>
  <si>
    <t xml:space="preserve">ws01 Data integration and the per-car store</t>
  </si>
  <si>
    <t xml:space="preserve">always built</t>
  </si>
  <si>
    <t xml:space="preserve">ws02 Entity resolution and VIN linkage</t>
  </si>
  <si>
    <t xml:space="preserve">cheapest</t>
  </si>
  <si>
    <t xml:space="preserve">ws03 Claims controls and the rulebook map</t>
  </si>
  <si>
    <t xml:space="preserve">ws04 Value engine re-mark and level charge</t>
  </si>
  <si>
    <t xml:space="preserve">ws05 Readiness upgrade queue and retention pilot</t>
  </si>
  <si>
    <t xml:space="preserve">ws06 Resale tools pricing desk channel and days</t>
  </si>
  <si>
    <t xml:space="preserve">ws07 Dashboards</t>
  </si>
  <si>
    <t xml:space="preserve">ws08 MLOps and model risk</t>
  </si>
  <si>
    <t xml:space="preserve">ws09 Data rights privacy and governance</t>
  </si>
  <si>
    <t xml:space="preserve">ws10 Change training and pilot operations</t>
  </si>
  <si>
    <t xml:space="preserve">ws11 Programme management and benefit certification</t>
  </si>
  <si>
    <t xml:space="preserve">Switching values</t>
  </si>
  <si>
    <t xml:space="preserve">Overhead on in-house cost at which bases 1 and 2 cost the same (%)</t>
  </si>
  <si>
    <t xml:space="preserve">Base 2 is dearer at any overhead up to this; x25_overhead_pct is the assumed overhead</t>
  </si>
  <si>
    <t xml:space="preserve">One integrator day rate for every handed-over role at which bases 1 and 2 cost the same (EUR)</t>
  </si>
  <si>
    <t xml:space="preserve">Hand work over only below this blended day rate</t>
  </si>
  <si>
    <t xml:space="preserve">Integrator days in base 2</t>
  </si>
  <si>
    <t xml:space="preserve">By phase, EUR m (platform and change delivery spread evenly)</t>
  </si>
  <si>
    <t xml:space="preserve">phase</t>
  </si>
  <si>
    <t xml:space="preserve">FTE (ASSUMPTION)</t>
  </si>
  <si>
    <t xml:space="preserve">person-months</t>
  </si>
  <si>
    <t xml:space="preserve">sits in</t>
  </si>
  <si>
    <t xml:space="preserve">base 2 route</t>
  </si>
  <si>
    <t xml:space="preserve">base 3 people</t>
  </si>
  <si>
    <t xml:space="preserve">base 3 tools</t>
  </si>
  <si>
    <t xml:space="preserve">base 3 upper, people</t>
  </si>
  <si>
    <t xml:space="preserve">base 3 upper, tools</t>
  </si>
  <si>
    <t xml:space="preserve">base 3 adverse, people</t>
  </si>
  <si>
    <t xml:space="preserve">base 3 adverse, tools</t>
  </si>
  <si>
    <t xml:space="preserve">base 2 at Consip's team-day</t>
  </si>
  <si>
    <t xml:space="preserve">base 2, engineers offshore</t>
  </si>
  <si>
    <t xml:space="preserve">base 1, coders in the hub</t>
  </si>
  <si>
    <t xml:space="preserve">basis</t>
  </si>
  <si>
    <t xml:space="preserve">central team</t>
  </si>
  <si>
    <t xml:space="preserve">integrator</t>
  </si>
  <si>
    <t xml:space="preserve">Build the append-only per-car store (two dates per event) and connect the feeds the baseline needs: claims systems A and B, the OEM order and vehicle record, OEM prices, the dealer master. About one engineer per feed plus one for the store, as the prototype is laid out.</t>
  </si>
  <si>
    <t xml:space="preserve">Data architecture: the event model, the happened/learnt design, security zones. One lead through the build.</t>
  </si>
  <si>
    <t xml:space="preserve">France's feeds: the finance joint venture's contracts, the register, the group retailer's realised prices and the returns backfill; the monthly reconciliation to the general ledger.</t>
  </si>
  <si>
    <t xml:space="preserve">Architecture for the finance and resale feeds and the reconciliation.</t>
  </si>
  <si>
    <t xml:space="preserve">Italy, Germany and Spain: per market the joint venture's contracts, the register where open and the dealer crosswalk. About two engineers a market.</t>
  </si>
  <si>
    <t xml:space="preserve">Architecture for three more markets' feeds.</t>
  </si>
  <si>
    <t xml:space="preserve">Every other market on the templates Phase 3 built, and hand-over to the run team.</t>
  </si>
  <si>
    <t xml:space="preserve">Hand-over of the design to the run team.</t>
  </si>
  <si>
    <t xml:space="preserve">Record linkage by VIN and fuzzy keys (the prototype's layers 1-2), calibrated to reach the VIN-link and dealer-crosswalk gates.</t>
  </si>
  <si>
    <t xml:space="preserve">Linkage pipelines and the human review queue's tooling.</t>
  </si>
  <si>
    <t xml:space="preserve">Owns the dealer crosswalk with sales operations and sets the review rules.</t>
  </si>
  <si>
    <t xml:space="preserve">Works the review queue on the backfilled claims.</t>
  </si>
  <si>
    <t xml:space="preserve">Linkage live on France's feeds; recalibration on reviewed pairs.</t>
  </si>
  <si>
    <t xml:space="preserve">Linkage pipelines for the finance and resale feeds.</t>
  </si>
  <si>
    <t xml:space="preserve">France's live review queue.</t>
  </si>
  <si>
    <t xml:space="preserve">Linkage for three more markets.</t>
  </si>
  <si>
    <t xml:space="preserve">Pipelines for three more markets.</t>
  </si>
  <si>
    <t xml:space="preserve">the four markets</t>
  </si>
  <si>
    <t xml:space="preserve">Four markets' review queues, one steward each.</t>
  </si>
  <si>
    <t xml:space="preserve">Hand-over of the linkage models.</t>
  </si>
  <si>
    <t xml:space="preserve">Hand-over of the pipelines.</t>
  </si>
  <si>
    <t xml:space="preserve">Queues in the core markets and the first others. The stewards stay in the run cost after month 24.</t>
  </si>
  <si>
    <t xml:space="preserve">Duplicate and gamed-claim detectors on the backfilled claims, read on the audited flags and seeded duplicates the gates name.</t>
  </si>
  <si>
    <t xml:space="preserve">Detector pipeline and the flag audit trail.</t>
  </si>
  <si>
    <t xml:space="preserve">One per legacy rulebook: the LLM-drafted map of the two incentive rulebooks, conflicts listed, owners' approvals; the leakage baseline with Finance.</t>
  </si>
  <si>
    <t xml:space="preserve">kept</t>
  </si>
  <si>
    <t xml:space="preserve">Proof-of-sale and audit-right terms written into the incentive programmes.</t>
  </si>
  <si>
    <t xml:space="preserve">Detectors live in France; recalibration on reviewed outcomes.</t>
  </si>
  <si>
    <t xml:space="preserve">The hold and review workflow with its 10-working-day service level and the dealers' appeal route.</t>
  </si>
  <si>
    <t xml:space="preserve">Runs France's pilot with sales operations and assembles the recoveries evidence for Finance.</t>
  </si>
  <si>
    <t xml:space="preserve">Detectors for Italy, Germany and Spain.</t>
  </si>
  <si>
    <t xml:space="preserve">Workflow for three more markets.</t>
  </si>
  <si>
    <t xml:space="preserve">Rollout with three markets' sales operations.</t>
  </si>
  <si>
    <t xml:space="preserve">Hand-over of the detectors.</t>
  </si>
  <si>
    <t xml:space="preserve">Hand-over of the workflow.</t>
  </si>
  <si>
    <t xml:space="preserve">The value engine (curve, level, calibrated 80% bands) rebuilt on the group's data; the monthly mark reconciled against the group retailer's realised prices (a Phase 1 gate with no register row).</t>
  </si>
  <si>
    <t xml:space="preserve">Scoring pipeline and the monthly re-mark job.</t>
  </si>
  <si>
    <t xml:space="preserve">Recalibration on the realised prices of backfilled returns (a Phase 2 gate with no register row); the level charge per contract.</t>
  </si>
  <si>
    <t xml:space="preserve">The level charge fed to contract pricing.</t>
  </si>
  <si>
    <t xml:space="preserve">The band's coverage on returned cars and the engine against the bought guide on paired cars in four markets.</t>
  </si>
  <si>
    <t xml:space="preserve">Scoring for four markets.</t>
  </si>
  <si>
    <t xml:space="preserve">Every other market; hand-over of the models.</t>
  </si>
  <si>
    <t xml:space="preserve">Hand-over of the scoring.</t>
  </si>
  <si>
    <t xml:space="preserve">Readiness scores on the group's contracts; the retention trial's design and size (the group's flag randomised within dealers).</t>
  </si>
  <si>
    <t xml:space="preserve">Agrees the trial with the finance partners and dealers.</t>
  </si>
  <si>
    <t xml:space="preserve">Runs and reads France's randomised retention trial.</t>
  </si>
  <si>
    <t xml:space="preserve">Queue feeds to the finance partner; the trial's assignment and logging.</t>
  </si>
  <si>
    <t xml:space="preserve">Owns the queue with the finance arm.</t>
  </si>
  <si>
    <t xml:space="preserve">Trial operations with the partner's contact teams and the dealers.</t>
  </si>
  <si>
    <t xml:space="preserve">The queue in four markets.</t>
  </si>
  <si>
    <t xml:space="preserve">Feeds for four markets.</t>
  </si>
  <si>
    <t xml:space="preserve">Contact-team onboarding in three more markets.</t>
  </si>
  <si>
    <t xml:space="preserve">Hand-over of the scores.</t>
  </si>
  <si>
    <t xml:space="preserve">Every other market's partners.</t>
  </si>
  <si>
    <t xml:space="preserve">Designs the pricing desk and the channel rules with the used-car business.</t>
  </si>
  <si>
    <t xml:space="preserve">The pricing desk: the pricer proposes first, then the tied band.</t>
  </si>
  <si>
    <t xml:space="preserve">Desk, channel routing and days-in-stock tracking live on randomised returns.</t>
  </si>
  <si>
    <t xml:space="preserve">Reads the randomised returns (days cut and routed margin) and the band decision from first proposals logged before the cap.</t>
  </si>
  <si>
    <t xml:space="preserve">Owns routing with the used-car business.</t>
  </si>
  <si>
    <t xml:space="preserve">Pricers' onboarding to the tied band.</t>
  </si>
  <si>
    <t xml:space="preserve">Every other market's desks.</t>
  </si>
  <si>
    <t xml:space="preserve">Hand-over to the used-car business.</t>
  </si>
  <si>
    <t xml:space="preserve">Management and new-car views on the baseline.</t>
  </si>
  <si>
    <t xml:space="preserve">Design with the four audiences.</t>
  </si>
  <si>
    <t xml:space="preserve">The finance view: the upgrade queue, the level charge and returns, for the finance arm and its partners.</t>
  </si>
  <si>
    <t xml:space="preserve">The used-car view (incoming stock, the pricing desk) and all four views in four markets.</t>
  </si>
  <si>
    <t xml:space="preserve">Every other market's views, then hand-over of the four views to the run team.</t>
  </si>
  <si>
    <t xml:space="preserve">The MLOps platform: model registry, monitoring, reproducible training.</t>
  </si>
  <si>
    <t xml:space="preserve">Independent validation of the engines before any gate reads them (second line).</t>
  </si>
  <si>
    <t xml:space="preserve">Monitoring for the live models.</t>
  </si>
  <si>
    <t xml:space="preserve">Validation of the recalibrated engine and the level charge.</t>
  </si>
  <si>
    <t xml:space="preserve">Monitoring for four markets.</t>
  </si>
  <si>
    <t xml:space="preserve">Validation before the Phase 3 engine gates are read.</t>
  </si>
  <si>
    <t xml:space="preserve">Hand-over of the model registry and monitoring to the run team, with its runbooks.</t>
  </si>
  <si>
    <t xml:space="preserve">Validation of the hand-over.</t>
  </si>
  <si>
    <t xml:space="preserve">The legal basis for each data source (a Phase 1 gate with no register row), impact assessments, joint-controller arrangements with the finance joint ventures (Art 26), the Data Act route for vehicle data.</t>
  </si>
  <si>
    <t xml:space="preserve">Security architecture and access control.</t>
  </si>
  <si>
    <t xml:space="preserve">France's register, dealer and partner terms; the trial's consent.</t>
  </si>
  <si>
    <t xml:space="preserve">Three more markets' registers and partner arrangements.</t>
  </si>
  <si>
    <t xml:space="preserve">Every other market; hand-over to the privacy office.</t>
  </si>
  <si>
    <t xml:space="preserve">The change plan and stakeholder map across the three businesses.</t>
  </si>
  <si>
    <t xml:space="preserve">France: dealers, claims staff, the finance partner's teams.</t>
  </si>
  <si>
    <t xml:space="preserve">Four markets' training, one lead each.</t>
  </si>
  <si>
    <t xml:space="preserve">Training in every other market, then hand-over of the materials to the businesses' own trainers.</t>
  </si>
  <si>
    <t xml:space="preserve">Programme director and the programme office.</t>
  </si>
  <si>
    <t xml:space="preserve">Certifies the leakage baseline from the programme's evidence.</t>
  </si>
  <si>
    <t xml:space="preserve">Certifies the recoveries and checks the monthly reconciliation.</t>
  </si>
  <si>
    <t xml:space="preserve">Four markets in flight at once.</t>
  </si>
  <si>
    <t xml:space="preserve">Certifies the run rate against the floor.</t>
  </si>
  <si>
    <t xml:space="preserve">Close and hand-over.</t>
  </si>
  <si>
    <t xml:space="preserve">Certifies the exit run rate.</t>
  </si>
  <si>
    <t xml:space="preserve">Where every figure comes from</t>
  </si>
  <si>
    <t xml:space="preserve">One row per input, in the order the model uses them.</t>
  </si>
  <si>
    <t xml:space="preserve">Busse, Silva-Risso &amp; Zettelmeyer, $1,000 Cash Back, American Economic Review 2006  https://www.aeaweb.org/articles?id=10.1257/aer.96.4.1253</t>
  </si>
  <si>
    <t xml:space="preserve">Stellantis FY2025 results press release (SEC-filed)  https://www.sec.gov/Archives/edgar/data/1605484/000160548426000019/stellantisnvfy2025pressrel.htm</t>
  </si>
  <si>
    <t xml:space="preserve">Stellantis Form 20-F FY2025: sales incentives are a critical estimate; "estimated incentive rates are reviewed monthly"  https://www.sec.gov/Archives/edgar/data/1605484/000160548426000021/stellantis-20251231.htm</t>
  </si>
  <si>
    <t xml:space="preserve">Stellantis Financial Services Europe, Rapport Annuel 2025, p. 9 (Europe): "le nombre de contrats de financements de véhicules neufs pour les marques du Groupe s'établit à 646 138 en 2025"  https://www.stellantisfinancialservices.com/pdf/Rapport%20Annuel%20SFSE%202025.pdf</t>
  </si>
  <si>
    <t xml:space="preserve">Autotrader plc, Monthly Market Intelligence, December 2025, '2025 Wrapped'  https://plc.autotrader.co.uk/media/npyiwbl0/autotrader-monthly-market-intelligence-december-2025-updated.pdf</t>
  </si>
  <si>
    <t xml:space="preserve">Stellantis Form 20-F FY2025 Note 24 Other liabilities, current column  https://www.sec.gov/Archives/edgar/data/1605484/000160548426000021/stellantis-20251231.htm</t>
  </si>
  <si>
    <t xml:space="preserve">Stellantis Form 20-F FY2025 Note 24 Other liabilities  https://www.sec.gov/Archives/edgar/data/1605484/000160548426000021/stellantis-20251231.htm</t>
  </si>
  <si>
    <t xml:space="preserve">Holweg M. and Kattuman P., 'A dynamic determination of the residual product value: empirical evidence from the automotive industry', POMS conference paper 004-0144, Table 5 and section 4.3  https://pomsmeetings.org/confpapers/004/004-0144.pdf</t>
  </si>
  <si>
    <t xml:space="preserve">INDICATA Market Watch, Edition 58 (December 2024), p. 4, 'Market Days Supply and Top Sellers'  https://autorolasolutions.com/wp-content/uploads/2025/01/INDICATA_Market_Watch_58_EN.pdf</t>
  </si>
  <si>
    <t xml:space="preserve">Stellantis Form 20-F FY2025: "Residual values for LEVs are subject to greater uncertainty than for ICE vehicles, due to limited historical resale data"  https://www.sec.gov/Archives/edgar/data/1605484/000160548426000021/stellantis-20251231.htm</t>
  </si>
  <si>
    <t xml:space="preserve">ONS CPI 07.1.1B second-hand cars (series D7E9) via data/reference/price_indices.parquet  https://www.ons.gov.uk/economy/inflationandpriceindices</t>
  </si>
  <si>
    <t xml:space="preserve">Stellantis Form 20-F FY2025: "Expected residual values are analyzed quarterly and depreciation rates are adjusted accordingly"  https://www.sec.gov/Archives/edgar/data/1605484/000160548426000021/stellantis-20251231.htm</t>
  </si>
  <si>
    <t xml:space="preserve">Stellantis Form 20-F FY2025 consolidated balance sheet  https://www.sec.gov/Archives/edgar/data/1605484/000160548426000021/stellantis-20251231.htm</t>
  </si>
  <si>
    <t xml:space="preserve">Stellantis Form 20-F FY2025, revenue recognition: "recorded within Assets sold with a buy-back commitment if the contract term is 12 months or less, and recorded in Property, plant and equipment if the contract term is greater than 12 months"  https://www.sec.gov/Archives/edgar/data/1605484/000160548426000021/stellantis-20251231.htm</t>
  </si>
  <si>
    <t xml:space="preserve">Stellantis Form 20-F FY2025, cost of revenues (same sentence)  https://www.sec.gov/Archives/edgar/data/1605484/000160548426000021/stellantis-20251231.htm</t>
  </si>
  <si>
    <t xml:space="preserve">Stellantis Form 20-F FY2025, cost of revenues: "EUR 358 million, EUR 179 million and EUR 82 million related to the decrease in value for assets sold with buy-back commitments" (2025, 2024, 2023)  https://www.sec.gov/Archives/edgar/data/1605484/000160548426000021/stellantis-20251231.htm</t>
  </si>
  <si>
    <t xml:space="preserve">Stellantis FY2025 results press release (SEC-filed), results by segment  https://www.sec.gov/Archives/edgar/data/1605484/000160548426000019/stellantisnvfy2025pressrel.htm</t>
  </si>
  <si>
    <t xml:space="preserve">BOVAG and RDC, 'Recordjaar 2025: verkoop gebruikte auto's stijgt naar 2,1 miljoen'  https://www.bovag.nl/pers/persberichten/recordjaar-2025-verkoop-gebruikte-auto-s-stijgt-naar-2-1-miljoen</t>
  </si>
  <si>
    <t xml:space="preserve">Stellantis Form 20-F FY2025: "Third party estimates are utilized in conjunction with proprietary modelling"  https://www.sec.gov/Archives/edgar/data/1605484/000160548426000021/stellantis-20251231.htm</t>
  </si>
  <si>
    <t xml:space="preserve">ACI, Visurenet: visura della banca dati del PRA: available "A chiunque ne faccia richiesta" by plate with SPID, CIE, CNS or eIDAS; "le informazioni sullo stato giuridico attuale del veicolo (intestatario, vincoli/gravami)"; €6.00 via pagoPA; "Sono consentite solamente tre visure nello stesso giorno con lo stesso codice fiscale"  https://aci.gov.it/servizio/visurenet-visura-della-banca-dati-del-pubblico-registro-automobilistico-pra/</t>
  </si>
  <si>
    <t xml:space="preserve">Austrian Federal Competition Authority, Annual Report 2024, pp. 41 and 69 (case 26 Kt 5/23i; the largest abuse-of-dominance fine in Austria)  https://www.bwb.gv.at/fileadmin/user_upload/ENG_BWB_Taetigkeitsbericht2024_BARRIEREFREI.cleaned.pdf</t>
  </si>
  <si>
    <t xml:space="preserve">MarketScreener, 13 May 2025, quoting Jean-Philippe Imparato (head of Europe): "The sales network will therefore retain the traditional model, with the exception of Austria, Belgium, Luxembourg, and the Netherlands, where the transition to the agency model has already begun in 2023." Also WardsAuto, 19 May 2025  https://www.marketscreener.com/quote/stock/STELLANTIS-N-V-117814143/news/Stellantis-suspends-its-plan-to-reform-its-dealership-network-in-Europe-49944995/</t>
  </si>
  <si>
    <t xml:space="preserve">AutoScout24 AGPI year review 2022, as reprinted by sparneuwagen.de (14 December 2022)  https://www.sparneuwagen.de/news/gebrauchtwagenpreise-steigen-2022-um-19-prozent/</t>
  </si>
  <si>
    <t xml:space="preserve">AutoScout24 AGPI year review 2023, as reprinted by motormobiles.de (11 December 2023)  https://www.motormobiles.de/autoscout24-gebrauchtwagenpreise-legen-2023-um-4-prozent-zu/</t>
  </si>
  <si>
    <t xml:space="preserve">AutoScout24 press release, Jahresrückblick 2024 (10 December 2024)  https://www.presseportal.de/pm/13984/5927537</t>
  </si>
  <si>
    <t xml:space="preserve">AutoScout24 press release, AGPI November 2025 (27 November 2025)  https://www.presseportal.de/pm/13984/6167286</t>
  </si>
  <si>
    <t xml:space="preserve">Cui, Demirer, Jaffe, Musolff, Peng &amp; Salz, "The Effects of Generative AI on High-Skilled Work" (June 2025), abstract: "a 26.08% increase (SE: 10.3%) in completed tasks"  https://www.mertdemirer.com/Papers/Demirer_AI_productivity.pdf</t>
  </si>
  <si>
    <t xml:space="preserve">Cui et al. (June 2025), abstract  https://www.mertdemirer.com/Papers/Demirer_AI_productivity.pdf</t>
  </si>
  <si>
    <t xml:space="preserve">Google Cloud, "Announcing the 2024 DORA report": a 7.2% reduction in delivery stability  https://cloud.google.com/blog/products/devops-sre/announcing-the-2024-dora-report</t>
  </si>
  <si>
    <t xml:space="preserve">Google Cloud, "Announcing the 2024 DORA report": a 25% increase in AI adoption is associated with a 1.5% decrease in delivery throughput  https://cloud.google.com/blog/products/devops-sre/announcing-the-2024-dora-report</t>
  </si>
  <si>
    <t xml:space="preserve">METR, "Measuring the Impact of Early-2025 AI on Experienced Open-Source Developer Productivity" (10 July 2025): tasks took 19% longer; interval as restated in METR's February 2026 update  https://metr.org/blog/2025-07-10-early-2025-ai-experienced-os-dev-study/</t>
  </si>
  <si>
    <t xml:space="preserve">METR (24 February 2026): "Among newly-recruited developers the estimated speedup is -4%, with a confidence interval between -15% and +9%"  https://metr.org/blog/2026-02-24-uplift-update/</t>
  </si>
  <si>
    <t xml:space="preserve">METR, "We are Changing our Developer Productivity Experiment Design" (24 February 2026): "we now estimate a speedup of -18% with a confidence interval between -38% and +9%"  https://metr.org/blog/2026-02-24-uplift-update/</t>
  </si>
  <si>
    <t xml:space="preserve">Peng, Kalliamvakou, Cihon &amp; Demirer, arXiv 2302.06590 (2023), abstract: "completed the task 55.8% faster than the control group"  https://arxiv.org/abs/2302.06590</t>
  </si>
  <si>
    <t xml:space="preserve">Kumar, Goel, Zimmermann, Houck, Ashok &amp; Bansal, "Time Warp: The Gap Between Developers' Ideal vs Actual Workweeks in an AI-Driven Era" (Microsoft, 2024), abstract: 'Coding' (≈11%)  https://www.microsoft.com/en-us/research/wp-content/uploads/2024/11/Time-Warp-Developer-Productivity-Study.pdf</t>
  </si>
  <si>
    <t xml:space="preserve">Kumar, Goel, Zimmermann, Houck, Ashok &amp; Bansal, "Time Warp: The Gap Between Developers' Ideal vs Actual Workweeks in an AI-Driven Era" (Microsoft, 2024), abstract: 'Debugging' (≈9%)  https://www.microsoft.com/en-us/research/wp-content/uploads/2024/11/Time-Warp-Developer-Productivity-Study.pdf</t>
  </si>
  <si>
    <t xml:space="preserve">Kumar, Goel, Zimmermann, Houck, Ashok &amp; Bansal, "Time Warp: The Gap Between Developers' Ideal vs Actual Workweeks in an AI-Driven Era" (Microsoft, 2024), abstract: 'Pull Requests/Code Reviews' (≈5%)  https://www.microsoft.com/en-us/research/wp-content/uploads/2024/11/Time-Warp-Developer-Productivity-Study.pdf</t>
  </si>
  <si>
    <t xml:space="preserve">ALD Universal Registration Document 2019, note 8c Car sales result (2018 comparative)  https://dl.bourse.lu/dl?v=6Ny2mVkXyTm5znSIowf6r/PiW/epL4vfYZIFMqEQcyySNJd+LmbUp30l1h8ZEPC8d4XW9HHTAgO7B9D6HB/gjN1PicQ+W/QbjTq7RJQPcAtxw3598y+WiCha5SEzlfQP4Yc/AVCQ+vb4iRW+0O+vZ0cU7+I8PdEAxkBf9Z+BikrB3gI28NtxcaGDW3uf4hCF7VSqWLGiUVQA+o21bHEca3sjzqLXaLEuPTddPUwQ49apWON4xZJYFwyeDN8ciHqf</t>
  </si>
  <si>
    <t xml:space="preserve">ALD Universal Registration Document 2019, note 8c Car sales result  https://dl.bourse.lu/dl?v=6Ny2mVkXyTm5znSIowf6r/PiW/epL4vfYZIFMqEQcyySNJd+LmbUp30l1h8ZEPC8d4XW9HHTAgO7B9D6HB/gjN1PicQ+W/QbjTq7RJQPcAtxw3598y+WiCha5SEzlfQP4Yc/AVCQ+vb4iRW+0O+vZ0cU7+I8PdEAxkBf9Z+BikrB3gI28NtxcaGDW3uf4hCF7VSqWLGiUVQA+o21bHEca3sjzqLXaLEuPTddPUwQ49apWON4xZJYFwyeDN8ciHqf</t>
  </si>
  <si>
    <t xml:space="preserve">ALD Universal Registration Document 2021, note 8c Car sales result (2020 comparative)  https://www.ayvens.com/-/media/ayvens/public/cp/files/leaseplan-documents-and-publication-archives/acquisition-documents/2021-universal-registration-document--pdf.pdf</t>
  </si>
  <si>
    <t xml:space="preserve">ALD Universal Registration Document 2021, note 8c Car sales result  https://www.ayvens.com/-/media/ayvens/public/cp/files/leaseplan-documents-and-publication-archives/acquisition-documents/2021-universal-registration-document--pdf.pdf</t>
  </si>
  <si>
    <t xml:space="preserve">ALD Universal Registration Document 2022, note 9c Car sales result  https://www.ayvens.com/-/media/ayvens/public/cp/files/newsroom-download-centre/pdfs-newco/sustainability/universal-registration-document/ald2022_urd_en_mel.pdf</t>
  </si>
  <si>
    <t xml:space="preserve">ALD consolidated financial statements FY2020: "The current residual value embedded in the contract is compared with the expected market value on a car by car basis"; "all potential car sales losses are recognised on a straight line basis between the date of the revaluation and the end of the contract; where the revaluation in a country produces an overall profit, no adjustment is made"; reviewed "at least yearly (twice a year for the entities with more than 5,000 vehicles)"  https://www.ayvens.com/-/media/ayvens/public/cp/files/financial-results/2020/10-february-2021-q4-and-fy-2020-results-financial-statements.pdf?rev=b8713633d6b0473b8c20622f2cf5ed38</t>
  </si>
  <si>
    <t xml:space="preserve">ALD consolidated financial statements FY2020 (unaudited, published with the Q4 2020 results, hosted by Ayvens), residual value risk: "Calculation is based on refined market segmentation and on a statistical model using internal used car sales data for each market segment as well as Trade Guides references and country specific factors (inflation, market sector adjustments, life cycle etc.)"; reviewed "during a local pricing committee held at least twice a year"  https://www.ayvens.com/-/media/ayvens/public/cp/files/financial-results/2020/10-february-2021-q4-and-fy-2020-results-financial-statements.pdf?rev=b8713633d6b0473b8c20622f2cf5ed38</t>
  </si>
  <si>
    <t xml:space="preserve">ALD Universal Registration Document 2019, management report (2018 comparative)  https://dl.bourse.lu/dl?v=6Ny2mVkXyTm5znSIowf6r/PiW/epL4vfYZIFMqEQcyySNJd+LmbUp30l1h8ZEPC8d4XW9HHTAgO7B9D6HB/gjN1PicQ+W/QbjTq7RJQPcAtxw3598y+WiCha5SEzlfQP4Yc/AVCQ+vb4iRW+0O+vZ0cU7+I8PdEAxkBf9Z+BikrB3gI28NtxcaGDW3uf4hCF7VSqWLGiUVQA+o21bHEca3sjzqLXaLEuPTddPUwQ49apWON4xZJYFwyeDN8ciHqf</t>
  </si>
  <si>
    <t xml:space="preserve">ALD Universal Registration Document 2019, management report  https://dl.bourse.lu/dl?v=6Ny2mVkXyTm5znSIowf6r/PiW/epL4vfYZIFMqEQcyySNJd+LmbUp30l1h8ZEPC8d4XW9HHTAgO7B9D6HB/gjN1PicQ+W/QbjTq7RJQPcAtxw3598y+WiCha5SEzlfQP4Yc/AVCQ+vb4iRW+0O+vZ0cU7+I8PdEAxkBf9Z+BikrB3gI28NtxcaGDW3uf4hCF7VSqWLGiUVQA+o21bHEca3sjzqLXaLEuPTddPUwQ49apWON4xZJYFwyeDN8ciHqf</t>
  </si>
  <si>
    <t xml:space="preserve">ALD Universal Registration Document 2020, management report  https://www.ayvens.com/-/media/ayvens/public/cp/files/events/annual-shareholders-meetings/assemblee-generale-mixte-2021/universal-registration-document-en.pdf</t>
  </si>
  <si>
    <t xml:space="preserve">ALD Universal Registration Document 2021, management report  https://www.ayvens.com/-/media/ayvens/public/cp/files/leaseplan-documents-and-publication-archives/acquisition-documents/2021-universal-registration-document--pdf.pdf</t>
  </si>
  <si>
    <t xml:space="preserve">ALD Universal Registration Document 2022, management report  https://www.ayvens.com/-/media/ayvens/public/cp/files/newsroom-download-centre/pdfs-newco/sustainability/universal-registration-document/ald2022_urd_en_mel.pdf</t>
  </si>
  <si>
    <t xml:space="preserve">US patent 9,607,310 B2, "System, method and computer program for forecasting residual values of a durable good over time", original assignee ALG LLC, current J.D. Power, priority 15 August 2012: a baseline forecast "based on factors that include microeconomic data which is specific to an industry of the item and macroeconomic data which is non-specific"; "The microeconomic and macroeconomic factors effectively increase or decrease the rate of depreciation"; example: "housing prices, real wage growth, and gas prices are collected at t 0 and forecasted for t n"; values "modified based on editorial input"  https://patents.google.com/patent/US9607310B2/en</t>
  </si>
  <si>
    <t xml:space="preserve">Aramis Group, 2024 annual results press release (26 November 2024): "sourcing of used vehicles from private individuals, a portion of which is resold in the B2B channel (primarily vehicles over 8 years old or with more than 150,000 km)"  https://aramis.group/wp-content/uploads/2025/04/2ec89af7-796e-4232-8034-7e73dc2e354d.pdf</t>
  </si>
  <si>
    <t xml:space="preserve">Aramis Group, FY2025 annual results press release (26 November 2025; year to 30 September 2025), key figures  https://aramis.group/wp-content/uploads/2025/11/press-release-aramis-group-2025-annual-results.pdf</t>
  </si>
  <si>
    <t xml:space="preserve">Aramis Group, FY2025 annual results press release, revenue by segment: Total B2B 145.1  https://aramis.group/wp-content/uploads/2025/11/aramis-group-fy-2025-results.pdf</t>
  </si>
  <si>
    <t xml:space="preserve">Aramis Group, FY2025 annual results press release (26 November 2025; year to 30 September 2025), revenue by segment  https://aramis.group/wp-content/uploads/2025/11/press-release-aramis-group-2025-annual-results.pdf</t>
  </si>
  <si>
    <t xml:space="preserve">Aramis Group, FY2025 annual results press release (26 November 2025; year to 30 September 2025), GPU reconciliation table  https://aramis.group/wp-content/uploads/2025/11/press-release-aramis-group-2025-annual-results.pdf</t>
  </si>
  <si>
    <t xml:space="preserve">Aramis Group, FY2025 annual results press release (26 November 2025; year to 30 September 2025), GPU reconciliation table (EUR 414,403 thousand)  https://aramis.group/wp-content/uploads/2025/11/press-release-aramis-group-2025-annual-results.pdf</t>
  </si>
  <si>
    <t xml:space="preserve">Aramis Group, FY2025 annual results press release (26 November 2025), reconciliation of GPU: revenues 2,379,619 (EUR thousand)  https://aramis.group/wp-content/uploads/2025/11/aramis-group-fy-2025-results.pdf</t>
  </si>
  <si>
    <t xml:space="preserve">Aramis Group, FY2025 annual results press release, revenue by segment: Total Services 123.7  https://aramis.group/wp-content/uploads/2025/11/aramis-group-fy-2025-results.pdf</t>
  </si>
  <si>
    <t xml:space="preserve">Aramis Group, FY2025 annual results press release (26 November 2025; year to 30 September 2025), GPU reconciliation table (EUR 133,446 thousand)  https://aramis.group/wp-content/uploads/2025/11/press-release-aramis-group-2025-annual-results.pdf</t>
  </si>
  <si>
    <t xml:space="preserve">Aramis Group, FY2025 annual results press release, reconciliation of gross profit per unit: revenues less cost of goods and services sold = gross profit (consolidated data); less cost of transport and refurbishing = gross profit; divided by the number of B2C vehicles sold  https://aramis.group/wp-content/uploads/2025/11/aramis-group-fy-2025-results.pdf</t>
  </si>
  <si>
    <t xml:space="preserve">Aubry, Kräussl, Manso &amp; Spaenjers, Biased Auctioneers, Journal of Finance 78(2):795-833 (2023), pp. 3-4  https://openaccess.city.ac.uk/id/eprint/35368/1/Biased%20Auctioneers%20JF.pdf</t>
  </si>
  <si>
    <t xml:space="preserve">AUTO1 Group, Q1 2026 results press release: Merchant "gross profit was EUR 207.0 million, up 14.8% year over year with GPU of EUR 957"; "With wirkaufendeinauto.de and its sister brands, the Group offers consumers a fast and easy way to sell their cars"; "AUTO1.com is Europe's largest wholesale trading platform for car dealers"  https://www.auto1-group.com/press/pressrelease/auto1-group-reports-record-q1-2026-results/</t>
  </si>
  <si>
    <t xml:space="preserve">Caradisiac, 6 January 2022, citing the AutoScout24 barometer  https://www.caradisiac.com/le-prix-moyen-des-voitures-d-occasion-a-grimpe-de-13-193921.htm</t>
  </si>
  <si>
    <t xml:space="preserve">Ayvens Universal Registration Document 2024, consolidated income statement (2023 restated)  https://www.ayvens.com/-/media/ayvens/public/cp/files/events/annual-shareholders-meetings/assemblee-generale-2025/2024_ayvens_urd_en_mel_250411.pdf</t>
  </si>
  <si>
    <t xml:space="preserve">Ayvens Universal Registration Document 2025, note 8c Car sales result (2024 comparative)  https://www.ayvens.com/-/media/ayvens/public/cp/files/regulated-information/2-annual-financial-reports-registration-documents-ammendments/2026/ayvens2025_urd_2025_en_mel_26_04_09.pdf</t>
  </si>
  <si>
    <t xml:space="preserve">Ayvens Universal Registration Document 2025, note 8c Car sales result  https://www.ayvens.com/-/media/ayvens/public/cp/files/regulated-information/2-annual-financial-reports-registration-documents-ammendments/2026/ayvens2025_urd_2025_en_mel_26_04_09.pdf</t>
  </si>
  <si>
    <t xml:space="preserve">ALD | LeasePlan "PowerUP 2026" press release, 18 September 2023: "Total cumulated costs to achieve of EUR 525 million over 2022-2025" (EUR 128m in 2022, 170m in 2023, 190m in 2024, 37m in 2025)  https://www.ayvens.com/-/media/ayvens/public/cp/files/news-press-release-pdfs/2023-09-18---ald-cmd-2023-press-release.pdf?rev=6c3b9223548240a09cab42569678a786</t>
  </si>
  <si>
    <t xml:space="preserve">ALD | LeasePlan "PowerUP 2026" press release, 18 September 2023: "its global multi-channel remarketing platform (600,000 vehicles sold p.a., access to a large range of buyers in 36 countries, of which 24,000 active traders)"  https://www.ayvens.com/-/media/ayvens/public/cp/files/news-press-release-pdfs/2023-09-18---ald-cmd-2023-press-release.pdf?rev=6c3b9223548240a09cab42569678a786</t>
  </si>
  <si>
    <t xml:space="preserve">Ayvens Q4 and full-year 2024 results press release: "In 2024 synergies amounted to EUR 121 million"  https://www.ayvens.com/en-cp/news/newsroom/press-releases-2025/ayvens-q4-and-full-year-2024-results/</t>
  </si>
  <si>
    <t xml:space="preserve">ALD | LeasePlan "PowerUP 2026" press release, 18 September 2023: "Total annual pre-tax synergies confirmed at EUR 440 million by 2026" (EUR 120m by 2024, 350m by 2025), evenly split between margin and procurement synergies and cost synergies  https://www.ayvens.com/-/media/ayvens/public/cp/files/news-press-release-pdfs/2023-09-18---ald-cmd-2023-press-release.pdf?rev=6c3b9223548240a09cab42569678a786</t>
  </si>
  <si>
    <t xml:space="preserve">Ayvens Universal Registration Document 2024, section 2 financial results (2023 comparative)  https://www.ayvens.com/-/media/ayvens/public/cp/files/events/annual-shareholders-meetings/assemblee-generale-2025/2024_ayvens_urd_en_mel_250411.pdf</t>
  </si>
  <si>
    <t xml:space="preserve">Ayvens Universal Registration Document 2024, section 2 financial results  https://www.ayvens.com/-/media/ayvens/public/cp/files/events/annual-shareholders-meetings/assemblee-generale-2025/2024_ayvens_urd_en_mel_250411.pdf</t>
  </si>
  <si>
    <t xml:space="preserve">Ayvens Universal Registration Document 2025, section 2.1.3.1 financial performance  https://www.ayvens.com/-/media/ayvens/public/cp/files/regulated-information/2-annual-financial-reports-registration-documents-ammendments/2026/ayvens2025_urd_2025_en_mel_26_04_09.pdf</t>
  </si>
  <si>
    <t xml:space="preserve">Bailey et al., A meta-analysis of the weight of advice in decision-making, Current Psychology 42:24516-24541 (2023)  https://pmc.ncbi.nlm.nih.gov/articles/PMC11661855/</t>
  </si>
  <si>
    <t xml:space="preserve">Regulation (EU) 2023/1542 (Batteries), Article 77(1)  https://eur-lex.europa.eu/legal-content/EN/TXT/HTML/?uri=CELEX:32023R1542</t>
  </si>
  <si>
    <t xml:space="preserve">Regulation (EU) 2023/1542 (Batteries), Article 14(1)-(2) and Annex VII Part A (state of certified energy)  https://eur-lex.europa.eu/legal-content/EN/TXT/HTML/?uri=CELEX:32023R1542</t>
  </si>
  <si>
    <t xml:space="preserve">BCBS, An Explanatory Note on the Basel II IRB Risk Weight Functions (July 2005), section 4.4: "banks are expected in general to cover their Expected Losses on an ongoing basis, e.g. by provisions and write-offs, because it represents another cost component"; capital "would only be needed for absorbing Unexpected Losses"  https://www.bis.org/publications/explanatory-note-basel-ii-irb-risk-weight-functions.pdf</t>
  </si>
  <si>
    <t xml:space="preserve">BCBS, An Explanatory Note on the Basel II IRB Risk Weight Functions (July 2005), section 5.1: "The confidence level is fixed at 99.9%, i.e. an institution is expected to suffer losses that exceed its level of tier 1 and tier 2 capital on average once in a thousand years"  https://www.bis.org/publications/explanatory-note-basel-ii-irb-risk-weight-functions.pdf</t>
  </si>
  <si>
    <t xml:space="preserve">Budzier &amp; Flyvbjerg, "Overspend? Late? Failure? What the data say about IT project risk in the public sector", Commonwealth Governance Handbook 2012/13 (authors' copy), abstract and Exhibit 2 (abstract: 'data management (41%)')  https://arxiv.org/abs/1304.4525</t>
  </si>
  <si>
    <t xml:space="preserve">Budzier &amp; Flyvbjerg, "Overspend? Late? Failure? What the data say about IT project risk in the public sector", Commonwealth Governance Handbook 2012/13 (authors' copy), abstract and Exhibit 2  https://arxiv.org/abs/1304.4525</t>
  </si>
  <si>
    <t xml:space="preserve">Balakrishnan, Ferreira &amp; Tong, Human-Algorithm Collaboration with Private Information: Naive Advice Weighting Behavior and Mitigation, HBS working paper, 8 July 2024, abstract and p. 3  https://www.hbs.edu/ris/Publication%20Files/Human-Algorithm%20Collaboration%20with%20Private%20Information_14b8d3ac-7e23-4a41-8877-8de26238431d.pdf</t>
  </si>
  <si>
    <t xml:space="preserve">Balakrishnan, Ferreira &amp; Tong, Human-Algorithm Collaboration with Private Information: Naive Advice Weighting Behavior and Mitigation, HBS working paper, 8 July 2024, abstract (Study 3)  https://www.hbs.edu/ris/Publication%20Files/Human-Algorithm%20Collaboration%20with%20Private%20Information_14b8d3ac-7e23-4a41-8877-8de26238431d.pdf</t>
  </si>
  <si>
    <t xml:space="preserve">Balakrishnan, Ferreira &amp; Tong, Human-Algorithm Collaboration with Private Information: Naive Advice Weighting Behavior and Mitigation, HBS working paper, 8 July 2024, abstract (Study 2)  https://www.hbs.edu/ris/Publication%20Files/Human-Algorithm%20Collaboration%20with%20Private%20Information_14b8d3ac-7e23-4a41-8877-8de26238431d.pdf</t>
  </si>
  <si>
    <t xml:space="preserve">Banque PSA Finance, Rapport annuel 2021, management report p. 17: "En 2021, Banque PSA Finance (BPF) a financé 31,9% des ventes de véhicules neufs du Groupe"  https://www.stellantisfinancialservices.com/pdf/2021%20FR%20Rapport%20annuel.pdf</t>
  </si>
  <si>
    <t xml:space="preserve">Stellantis Form 20-F FY2025 consolidated statement of financial position, 2024 comparative  https://www.sec.gov/Archives/edgar/data/1605484/000160548426000021/stellantis-20251231.htm</t>
  </si>
  <si>
    <t xml:space="preserve">cap hpi, Future new car market overview, September 2021, section 3 Historic Forecast Accuracy  https://www.cap-hpi.com/wp-content/uploads/2024/06/20210825161947_CarNew_September2021.pdf</t>
  </si>
  <si>
    <t xml:space="preserve">Directive (EU) 2023/2225, Art. 29(2): "Where that period does not exceed one year, the compensation shall not exceed 0,5 % of the amount of credit subject to early repayment"  https://eur-lex.europa.eu/legal-content/EN/TXT/HTML/?uri=CELEX:32023L2225</t>
  </si>
  <si>
    <t xml:space="preserve">Directive (EU) 2023/2225, Art. 29(2): "shall not exceed 1 % of the amount of credit subject to early repayment where the period of time between the early repayment and the agreed date of termination of the credit agreement exceeds one year"; Art. 29(5): never more than the interest the consumer would have paid to the agreed end  https://eur-lex.europa.eu/legal-content/EN/TXT/HTML/?uri=CELEX:32023L2225</t>
  </si>
  <si>
    <t xml:space="preserve">Directive (EU) 2023/2225, Art. 32(2) and (4) (remuneration must not impede fair treatment; Member States may ban creditor-paid commissions where advice is given), Art. 38 (say whether tied to one or more creditors; disclose fees the consumer pays), Art. 48 (apply from 20 November 2026)  https://eur-lex.europa.eu/legal-content/EN/TXT/HTML/?uri=CELEX:32023L2225</t>
  </si>
  <si>
    <t xml:space="preserve">Anthropic API pricing (read 27 September 2026): Haiku 4.5 $1 / MTok input  https://platform.claude.com/docs/en/about-claude/pricing</t>
  </si>
  <si>
    <t xml:space="preserve">Anthropic API pricing (read 27 September 2026): Haiku 4.5 $5 / MTok output  https://platform.claude.com/docs/en/about-claude/pricing</t>
  </si>
  <si>
    <t xml:space="preserve">Anthropic API pricing (read 27 September 2026): Opus 5.5 $4 / MTok input  https://platform.claude.com/docs/en/about-claude/pricing</t>
  </si>
  <si>
    <t xml:space="preserve">Anthropic API pricing (read 27 September 2026): Opus 5.5 $20 / MTok output  https://platform.claude.com/docs/en/about-claude/pricing</t>
  </si>
  <si>
    <t xml:space="preserve">Anthropic API pricing (read 27 September 2026): Sonnet 5 $2 / MTok input  https://platform.claude.com/docs/en/about-claude/pricing</t>
  </si>
  <si>
    <t xml:space="preserve">Anthropic API pricing (read 27 September 2026): Sonnet 5 $10 / MTok output  https://platform.claude.com/docs/en/about-claude/pricing</t>
  </si>
  <si>
    <t xml:space="preserve">Anthropic, Claude pricing page (read 27 September 2026): Team Premium $100 a seat a month billed annually ($125 monthly)  https://claude.com/pricing</t>
  </si>
  <si>
    <t xml:space="preserve">Anthropic, Claude pricing page (read 27 September 2026): Team Standard $20 a seat a month billed annually ($25 monthly)  https://claude.com/pricing</t>
  </si>
  <si>
    <t xml:space="preserve">CNIL, délibération SAN-2022-015 du 7 juillet 2022 (Légifrance): "une amende administrative d'un montant de 175 000 ... euros"; location collected "tous les 500 mètres, lorsque le moteur s'allume et se coupe ou encore lorsque les portes s'ouvrent et se ferment"; kept three years after the last activity (GDPR Art 5.1.c, 5.1.e, 12)  https://www.legifrance.gouv.fr/cnil/id/CNILTEXT000046070924</t>
  </si>
  <si>
    <t xml:space="preserve">Boehm et al., COCOMO II Model Definition Manual, version 2.1 (USC Center for Software Engineering, 2000), section 2: "A = 2.94 B = 0.91 C = 3.67 D = 0.28"  https://www.rose-hulman.edu/class/cs/csse372/201310/Homework/CII_modelman2000.pdf</t>
  </si>
  <si>
    <t xml:space="preserve">Boehm et al., COCOMO II Model Definition Manual, version 2.1 (USC Center for Software Engineering, 2000), section 2  https://www.rose-hulman.edu/class/cs/csse372/201310/Homework/CII_modelman2000.pdf</t>
  </si>
  <si>
    <t xml:space="preserve">Boehm et al., COCOMO II Model Definition Manual, version 2.1 (USC Center for Software Engineering, 2000), section 3: "a nominal value of 152 hours per Person-Month"  https://www.rose-hulman.edu/class/cs/csse372/201310/Homework/CII_modelman2000.pdf</t>
  </si>
  <si>
    <t xml:space="preserve">Boehm et al., COCOMO II Model Definition Manual, version 2.1 (USC Center for Software Engineering, 2000), Table 34, SCED  https://www.rose-hulman.edu/class/cs/csse372/201310/Homework/CII_modelman2000.pdf</t>
  </si>
  <si>
    <t xml:space="preserve">Boehm et al., COCOMO II Model Definition Manual, version 2.1 (USC Center for Software Engineering, 2000), Table 10: nominal PREC 3.72, FLEX 3.04, RESL 4.24, TEAM 3.29, PMAT 4.68  https://www.rose-hulman.edu/class/cs/csse372/201310/Homework/CII_modelman2000.pdf</t>
  </si>
  <si>
    <t xml:space="preserve">3-i S.p.A., determina a contrarre I-DTM-0000011-2025 (7 July 2025), order under the Consip framework "Servizi applicativi in ottica cloud e PMO 2 - PAC", ID Sigef 2483, table of rates: Gestione del Portafoglio Applicativo, Livello Standard, canone per 1 FTE mensile, 2.000,00  https://www.3-i.gov.it/files/2026/02/Determina_a_contrarre_Servizi_Applicativi_e_accessori_SAC2L1_27062025_v1.1..pdf</t>
  </si>
  <si>
    <t xml:space="preserve">3-i S.p.A., determina a contrarre I-DTM-0000011-2025 (7 July 2025), order under the Consip framework "Servizi applicativi in ottica cloud e PMO 2 - PAC", ID Sigef 2483, table of rates: Supporto Tecnico-Specialistico ICT, 160,00  https://www.3-i.gov.it/files/2026/02/Determina_a_contrarre_Servizi_Applicativi_e_accessori_SAC2L1_27062025_v1.1..pdf</t>
  </si>
  <si>
    <t xml:space="preserve">3-i S.p.A., determina a contrarre I-DTM-0000011-2025 (7 July 2025), order under the Consip framework "Servizi applicativi in ottica cloud e PMO 2 - PAC", ID Sigef 2483, table of rates: "Tariffa omnicomprensiva per 1 Giorno/Team ottimale (8 ore lavorative)", 165,00  https://www.3-i.gov.it/files/2026/02/Determina_a_contrarre_Servizi_Applicativi_e_accessori_SAC2L1_27062025_v1.1..pdf</t>
  </si>
  <si>
    <t xml:space="preserve">Campbell, Piaggio, Elbourne &amp; Altman, Consort 2010 statement: extension to cluster randomised trials, BMJ 2012;345:e5661 (design effect 1+(m-1)rho)  https://aura.abdn.ac.uk/handle/2164/2742</t>
  </si>
  <si>
    <t xml:space="preserve">Directive 2013/36/EU (CRD), Article 129, via the EBA interactive single rulebook  https://www.eba.europa.eu/regulation-and-policy/single-rulebook/interactive-single-rulebook/101341</t>
  </si>
  <si>
    <t xml:space="preserve">CRR Article 134(7), as quoted and interpreted in EBA Q&amp;A 2014_1241  https://www.eba.europa.eu/single-rule-book-qa/qna/view/publicId/2014_1241</t>
  </si>
  <si>
    <t xml:space="preserve">Regulation (EU) No 575/2013 (CRR), Article 92(1)(c), via the EBA interactive single rulebook  https://www.eba.europa.eu/regulation-and-policy/single-rulebook/interactive-single-rulebook/16057</t>
  </si>
  <si>
    <t xml:space="preserve">Cursor pricing page (read 27 September 2026): Teams $40/user/month  https://cursor.com/pricing</t>
  </si>
  <si>
    <t xml:space="preserve">DAT Report 2026 Kurzbericht, p15, chart P20 (Gebrauchtwagenpreise, Durchschnittspreise in Euro)  https://www.dat.de/fileadmin/de/images/produkte/DAT_Report/DAT_Report_NEW/2026/DAT-Report-2026-Kurzbericht.pdf</t>
  </si>
  <si>
    <t xml:space="preserve">DAT Report 2024 Kurzbericht, p10 (Anschaffungspreise)  https://www.dat.de/fileadmin/de/images/produkte/DAT_Report/DAT_Report_NEW/2024/DAT_Report2024_Pressemitteilung.pdf</t>
  </si>
  <si>
    <t xml:space="preserve">DAT Report 2024 Kurzbericht, p10, chart P14 (Marktanteile im Gebrauchtwagengeschäft)  https://www.dat.de/fileadmin/de/images/produkte/DAT_Report/DAT_Report_NEW/2024/DAT_Report2024_Pressemitteilung.pdf</t>
  </si>
  <si>
    <t xml:space="preserve">kfz-betrieb (Vogel Communications), 'Standkosten von Gebrauchtwagen steigen deutlich an', reporting the DAT Barometer for October 2024  https://www.kfz-betrieb.vogel.de/dat-barometer-standtage-a-a1968a8a0e4cd2f5d153fe7df75b3e7d/</t>
  </si>
  <si>
    <t xml:space="preserve">Regulation (EU) 2023/2854, Art 3(1) and Art 50: "The obligation resulting from Article 3(1) shall apply to connected products and the services related to them placed on the market after 12 September 2026"  https://eur-lex.europa.eu/legal-content/EN/TXT/HTML/?uri=CELEX:32023R2854</t>
  </si>
  <si>
    <t xml:space="preserve">Regulation (EU) 2023/2854, Art. 4(13) ("A data holder shall only use any readily available data that is non-personal data on the basis of a contract with the user"), Art. 5(1) (sharing with a third party at the user's request), Art. 50 (applies from 12 September 2025; Art. 3(1) design duty for products placed on the market after 12 September 2026)  https://eur-lex.europa.eu/legal-content/EN/TXT/HTML/?uri=CELEX:32023R2854</t>
  </si>
  <si>
    <t xml:space="preserve">Regulation (EU) 2023/2854, Art 2(12): "'user' means a natural or legal person that owns a connected product or to whom temporary rights to use that connected product have been contractually transferred"; Art 4(13): the data holder uses non-personal data "on the basis of a contract with the user"  https://eur-lex.europa.eu/legal-content/EN/TXT/HTML/?uri=CELEX:32023R2854</t>
  </si>
  <si>
    <t xml:space="preserve">Morningstar DBRS, rating action of 22 April 2025 on Auto ABS Spanish Loans 2022-1 FT (originator Stellantis Financial Services Espana)  https://dbrs.morningstar.com/research/452120</t>
  </si>
  <si>
    <t xml:space="preserve">DGT, Informe de un vehículo: "Salvo el caso del informe de 'vehículos a mi nombre' ... el resto de informes están disponibles para cualquier persona, sea o no el titular del vehículo"; the detailed report includes "historial de ITV, kilometraje, número de titulares"; fee tasa 4.1  https://www.dgt.es/nuestros-servicios/tu-vehiculo/tus-vehiculos/informe-de-un-vehiculo/</t>
  </si>
  <si>
    <t xml:space="preserve">Deloitte LLP, G-Cloud 14 SFIA Rate Card, May 2024, section 2 (the two columns carry the same rates)  https://assets.applytosupply.digitalmarketplace.service.gov.uk/g-cloud-14/documents/92485/570357613487365-pricing-document-2024-04-25-1216.pdf</t>
  </si>
  <si>
    <t xml:space="preserve">Deloitte LLP, G-Cloud 14 SFIA Rate Card, May 2024, section 2  https://assets.applytosupply.digitalmarketplace.service.gov.uk/g-cloud-14/documents/92485/570357613487365-pricing-document-2024-04-25-1216.pdf</t>
  </si>
  <si>
    <t xml:space="preserve">Deloitte LLP, G-Cloud 14 SFIA Rate Card, May 2024, section 3 (offshore rate card)  https://assets.applytosupply.digitalmarketplace.service.gov.uk/g-cloud-14/documents/92485/570357613487365-pricing-document-2024-04-25-1216.pdf</t>
  </si>
  <si>
    <t xml:space="preserve">Deloitte LLP, G-Cloud 14 SFIA Rate Card, May 2024, section 3  https://assets.applytosupply.digitalmarketplace.service.gov.uk/g-cloud-14/documents/92485/570357613487365-pricing-document-2024-04-25-1216.pdf</t>
  </si>
  <si>
    <t xml:space="preserve">Dress, Lessmann &amp; von Mettenheim, "Residual value forecasting using asymmetric cost functions", International Journal of Forecasting 34(4), 551-565, 2018, abstract: "reduces costs by about 8%"  https://ideas.repec.org/a/eee/intfor/v34y2018i4p551-565.html</t>
  </si>
  <si>
    <t xml:space="preserve">DellaVigna &amp; Linos, "RCTs to scale: comprehensive evidence from two nudge units", Econometrica 90(1), 81-116, 2022, abstract: "an 8.7 percentage point take-up effect, which is a 33.4% increase over the average control"  https://www.econometricsociety.org/publications/econometrica/2022/01/01/rcts-scale-comprehensive-evidence-two-nudge-units</t>
  </si>
  <si>
    <t xml:space="preserve">DellaVigna &amp; Linos, "RCTs to scale: comprehensive evidence from two nudge units", Econometrica 90(1), 81-116, 2022, abstract: "smaller at 1.4 percentage points, an 8.0% increase"  https://www.econometricsociety.org/publications/econometrica/2022/01/01/rcts-scale-comprehensive-evidence-two-nudge-units</t>
  </si>
  <si>
    <t xml:space="preserve">DellaVigna &amp; Linos, "RCTs to scale: comprehensive evidence from two nudge units", Econometrica 90(1), 81-116, 2022, abstract: "selective publication in the Academic Journals sample, exacerbated by low statistical power, explains about 70 percent of the difference"; "different nudge characteristics account for most of the residual difference"  https://www.econometricsociety.org/publications/econometrica/2022/01/01/rcts-scale-comprehensive-evidence-two-nudge-units</t>
  </si>
  <si>
    <t xml:space="preserve">EBA Risk Assessment Questionnaire, Autumn 2024, Question 4 (p. 8)  https://www.eba.europa.eu/sites/default/files/2024-11/76fd734f-e7fb-48ec-b833-f1d788350082/RAQ%20Booklet%20graphs%20Autumn%202024.pdf</t>
  </si>
  <si>
    <t xml:space="preserve">European Commission, Study on the second hand cars market (1 October 2014), summary  https://commission.europa.eu/publications/study-second-hand-cars-market_en</t>
  </si>
  <si>
    <t xml:space="preserve">European Commission, Annual management and performance report for the EU budget, 2024 financial year, COM(2025) 824, 17 June 2025, cohesion policy  https://eur-lex.europa.eu/legal-content/EN/TXT/HTML/?uri=CELEX:52025DC0824</t>
  </si>
  <si>
    <t xml:space="preserve">European Commission, Annual management and performance report for the EU budget, 2024 financial year, COM(2025) 824, 17 June 2025, cohesion policy: "Estimated future corrections corresponded to a range of 0.5-1.4%, leading to an estimated risk at closure of 1.8%"  https://eur-lex.europa.eu/legal-content/EN/TXT/HTML/?uri=CELEX:52025DC0824</t>
  </si>
  <si>
    <t xml:space="preserve">European Commission, Annual management and performance report for the EU budget, 2024 financial year, COM(2025) 824, 17 June 2025, cohesion policy: "the overall risk at payment for cohesion is 2.9%"  https://eur-lex.europa.eu/legal-content/EN/TXT/HTML/?uri=CELEX:52025DC0824</t>
  </si>
  <si>
    <t xml:space="preserve">European Court of Auditors, 2024 EU audit in brief, printed p. 6 (the Court's opinion) and p. 13 (Figure 3): "expenditure subject to complex rules, mainly reimbursement-based, in which the estimated level of error is 5.2 %" (2023: 7.9%)  https://www.eca.europa.eu/ECAPublications/AR-2024-AIB/AR-2024-AIB_EN.pdf</t>
  </si>
  <si>
    <t xml:space="preserve">European Court of Auditors, 2024 EU audit in brief, printed p. 4: "Our estimate of the level of error in EU budget spending is at 3.6 % (2023: 5.6 %)"; printed p. 12: between 2.6% and 4.6%  https://www.eca.europa.eu/ECAPublications/AR-2024-AIB/AR-2024-AIB_EN.pdf</t>
  </si>
  <si>
    <t xml:space="preserve">European Central Bank, key ECB interest rates table, row with effect from 16 September 2026  https://www.ecb.europa.eu/stats/policy_and_exchange_rates/key_ecb_interest_rates/html/index.en.html</t>
  </si>
  <si>
    <t xml:space="preserve">EDPB Guidelines 01/2020 on processing personal data in the context of connected vehicles and mobility related applications, v2.0 (adopted 9 March 2021), para 13: "the connected vehicle and device connected to it should be considered as a 'terminal equipment' (just like a computer, a smartphone or a smart TV) and provisions of art. 5(3) ePrivacy directive apply where relevant"  https://www.edpb.europa.eu/system/files/documents/2021-03/edpb_guidelines_202001_connected_vehicles_v2.0_adopted_en.pdf</t>
  </si>
  <si>
    <t xml:space="preserve">EDPB Guidelines 01/2025 on Pseudonymisation: pseudonymised data "is to be considered information on an identifiable natural person ... This statement also holds true if pseudonymised data and additional information are not in the hands of the same person"; the risk reduction "may enable controllers to rely on legitimate interests under Art. 6(1)(f) GDPR"  https://www.edpb.europa.eu/system/files/2025-01/edpb_guidelines_202501_pseudonymisation_en.pdf</t>
  </si>
  <si>
    <t xml:space="preserve">European Parliament press release, 31 May 2018 (rapporteur Ismail Ertug), citing studies: "About 5 to 12 percent of used cars sold inside EU countries and 30 to 50 percent of those sold across borders within the EU have been clocked"  https://www.europarl.europa.eu/news/en/press-room/20180524IPR04221/car-clocking-meps-call-for-new-legislation-to-combat-odometer-fraud</t>
  </si>
  <si>
    <t xml:space="preserve">Directive 2002/58/EC, Art 13(2): "the same natural or legal person may use these electronic contact details for direct marketing of its own similar products or services"  https://eur-lex.europa.eu/legal-content/EN/TXT/HTML/?uri=CELEX:02002L0058-20091219</t>
  </si>
  <si>
    <t xml:space="preserve">Directive 2002/58/EC as amended by 2009/136/EC, Art 5(3): "only allowed on condition that the subscriber or user concerned has given his or her consent"  https://eur-lex.europa.eu/legal-content/EN/TXT/HTML/?uri=CELEX:02002L0058-20091219</t>
  </si>
  <si>
    <t xml:space="preserve">Regulation (EU) 2024/1257 (Euro 7), Annex II Table 1  https://eur-lex.europa.eu/legal-content/EN/TXT/HTML/?uri=CELEX:32024R1257</t>
  </si>
  <si>
    <t xml:space="preserve">Flyvbjerg &amp; Budzier, "Why your IT project may be riskier than you think", Harvard Business Review 89(9), September 2011 (authors' copy): "is the company strong enough to absorb the hit if its biggest technology project goes over budget by 400% or more and if only 25% to 50% of the projected benefits are realized?"  https://arxiv.org/abs/1304.0265</t>
  </si>
  <si>
    <t xml:space="preserve">FCA press release, 30 March 2026: "12.1 million agreements made between 2007 and 2024 are now eligible" (14.2m at consultation)  https://www.fca.org.uk/news/press-releases/millions-car-finance-customers-payouts-fca-goes-ahead-compensation-scheme</t>
  </si>
  <si>
    <t xml:space="preserve">FCA press release, 30 March 2026: "The average payout has increased to around £830 per agreement"  https://www.fca.org.uk/news/press-releases/millions-car-finance-customers-payouts-fca-goes-ahead-compensation-scheme</t>
  </si>
  <si>
    <t xml:space="preserve">FCA statement "FCA confirms motor finance redress scheme" (first published 30 March 2026): £7.5bn redress plus £1.6bn non-redress costs, £9.1bn (£11bn at consultation)  https://www.fca.org.uk/news/statements/fca-confirms-motor-finance-redress-scheme</t>
  </si>
  <si>
    <t xml:space="preserve">FCA press release, 30 March 2026: "total redress paid would be £7.5bn" (at 75% take-up)  https://www.fca.org.uk/news/press-releases/millions-car-finance-customers-payouts-fca-goes-ahead-compensation-scheme</t>
  </si>
  <si>
    <t xml:space="preserve">Stellantis Financial Services Europe, Rapport Annuel 2025, p. 9 (Europe): "une pénétration qui s'élève à 28,9%"  https://www.stellantisfinancialservices.com/pdf/Rapport%20Annuel%20SFSE%202025.pdf</t>
  </si>
  <si>
    <t xml:space="preserve">Fitch Ratings, Higher BEV Exposures Increase RV Risk in European Auto Lease ABS (27 January 2025), as reported by Motor Finance Online, 12 February 2025  https://www.motorfinanceonline.com/news/bev-exposure-in-european-auto-lease-abs-raises-residual-value-risk-fitch/</t>
  </si>
  <si>
    <t xml:space="preserve">Finance &amp; Leasing Association, consumer car finance statistics for March 2026 (published 12 May 2026): "FLA members funding close to 88% of private new car purchases over the past year"  https://fla.org.uk/news/consumer-car-finance-new-business-volumes-grew-by-8-in-march-2026/</t>
  </si>
  <si>
    <t xml:space="preserve">Fliegel, Hagen, Koch &amp; Ritter, CESifo Working Paper 12288, 2026, as fliegel_rate_rise_low_pp  https://www.ifo.de/en/cesifo/publications/2026/working-paper/carbon-pricing-and-household-finance-how-banks-price-transition</t>
  </si>
  <si>
    <t xml:space="preserve">Fliegel, Hagen, Koch &amp; Ritter, "Carbon pricing and household finance: how banks price transition risk in auto loans", CESifo Working Paper 12288, 2026, abstract: "raising interest rates by 0.3-0.5 percentage points ... Captive banks respond more strongly than commercial banks"  https://www.ifo.de/en/cesifo/publications/2026/working-paper/carbon-pricing-and-household-finance-how-banks-price-transition</t>
  </si>
  <si>
    <t xml:space="preserve">HM Treasury, The Green Book (2026), published 5 February 2026: "10 years as a standard measure for all other proposals"  https://www.gov.uk/government/publications/the-green-book-appraisal-and-evaluation-in-central-government/the-green-book-2026</t>
  </si>
  <si>
    <t xml:space="preserve">HM Treasury, The Green Book (2026): "a proposal to provide an organisation with IT services over a five-year period"  https://www.gov.uk/government/publications/the-green-book-appraisal-and-evaluation-in-central-government/the-green-book-2026</t>
  </si>
  <si>
    <t xml:space="preserve">HM Treasury, Supplementary Green Book guidance: optimism bias (published 21 April 2013, not withdrawn), Table 1, equipment/development projects, which it defines to include ICT development (3.10)  https://assets.publishing.service.gov.uk/media/5a74dae740f0b65f61322c72/Optimism_bias.pdf</t>
  </si>
  <si>
    <t xml:space="preserve">Gelman &amp; Carlin, "Beyond power calculations: assessing Type S (sign) and Type M (magnitude) errors", Perspectives on Psychological Science 9(6), 641-651, 2014: at power 0.80, "an expected exaggeration factor of 1.12"  https://sites.stat.columbia.edu/gelman/research/published/retropower_final.pdf</t>
  </si>
  <si>
    <t xml:space="preserve">Regulation (EU) 2016/679, Recital 47: "The processing of personal data strictly necessary for the purposes of preventing fraud also constitutes a legitimate interest of the data controller concerned"  https://eur-lex.europa.eu/legal-content/EN/TXT/HTML/?uri=CELEX:32016R0679</t>
  </si>
  <si>
    <t xml:space="preserve">Regulation (EU) 2016/679, Art 26(1): "Where two or more controllers jointly determine the purposes and means of processing, they shall be joint controllers. They shall in a transparent manner determine their respective responsibilities ... by means of an arrangement between them"  https://eur-lex.europa.eu/legal-content/EN/TXT/HTML/?uri=CELEX:32016R0679</t>
  </si>
  <si>
    <t xml:space="preserve">Geotab, What can 10,000+ EVs tell us about battery health? (22,700+ vehicles; 1.5% with little DC fast charging, 3.0% with frequent fast charging)  https://www.geotab.com/blog/ev-battery-health/</t>
  </si>
  <si>
    <t xml:space="preserve">GitHub, "GitHub Copilot is moving to usage-based billing" (27 April 2026): "$19/user/month, including $19 in monthly AI Credits"  https://github.blog/news-insights/company-news/github-copilot-is-moving-to-usage-based-billing/</t>
  </si>
  <si>
    <t xml:space="preserve">GitHub (27 April 2026): "$39/user/month, including $39 in monthly AI Credits"  https://github.blog/news-insights/company-news/github-copilot-is-moving-to-usage-based-billing/</t>
  </si>
  <si>
    <t xml:space="preserve">Goldberg G. M. and Hegde S. P., 'Residual Value Risk and Insurance: Evidence from the Consumer Automobile Industry', EFMA 2009 annual meeting paper 64, abstract (PDF p. 2)  https://www.efmaefm.org/0efmameetings/efma%20annual%20meetings/2009-Milan/papers/64.pdf</t>
  </si>
  <si>
    <t xml:space="preserve">Government Project Delivery, GPD-PN 02/26: GMPP feasibility studies (from April 2026): "independent input to ensure an outside view and robust challenge, with at least two people from outside the organisation"  https://projectdelivery.gov.uk/library-products/gpd-pn-02-26-gmpp-feasibility-studies-html/</t>
  </si>
  <si>
    <t xml:space="preserve">Stellantis Form 20-F FY2025, Note 29 related parties, 'Total for the Company' net revenues, 2024 (also the consolidated income statement)  https://www.sec.gov/Archives/edgar/data/1605484/000160548426000021/stellantis-20251231.htm</t>
  </si>
  <si>
    <t xml:space="preserve">HistoVec FAQ (Ministère de l'Intérieur): "Seul le titulaire du certificat d'immatriculation en cours de validité peut générer le rapport HistoVec de son véhicule, qu'il choisit de transmettre à des tiers"  https://histovec.interieur.gouv.fr/histovec/faq-comment-utiliser-histovec</t>
  </si>
  <si>
    <t xml:space="preserve">Humlum &amp; Vestergaard, "Large Language Models, Small Labor Market Effects", NBER Working Paper 33777 (revised): "most chatbot users (85%) report reallocating time savings from AI chatbots to other job tasks"  https://www.nber.org/system/files/working_papers/w33777/w33777.pdf</t>
  </si>
  <si>
    <t xml:space="preserve">Humlum &amp; Vestergaard, "Large Language Models, Small Labor Market Effects", NBER Working Paper 33777 (revised), section 2.2: "On average, adopters in our sample report savings of about 3% of their work hours"  https://www.nber.org/system/files/working_papers/w33777/w33777.pdf</t>
  </si>
  <si>
    <t xml:space="preserve">JATO Dynamics, 24 April 2025: "these discounts represent only about 5.7% of retail price in Germany and the UK, compared to 8.2% in Italy during that period"  https://www.jato.com/resources/news-and-insights/the-role-of-incentives-in-the-european-car-market-a-strategic-lever-for-oems-in-2025</t>
  </si>
  <si>
    <t xml:space="preserve">JATO Dynamics, "The role of incentives in the European car market: a strategic lever for OEMs in 2025", 24 April 2025: "In the first quarter of 2025 alone, the automotive industry in the four major EU countries distributed an more than €1.5 billion worth of discounts to private car buyers"  https://www.jato.com/resources/news-and-insights/the-role-of-incentives-in-the-european-car-market-a-strategic-lever-for-oems-in-2025</t>
  </si>
  <si>
    <t xml:space="preserve">Thoma Bravo press release, 1 March 2024: "J.D. Power ... today announced the completion of its acquisition of Autovista Group"; brands "Autovista, Eurotax, Glass's, Schwacke, Rødboka and EV Volumes"  https://www.thomabravo.com/press-releases/j.d.-power-sets-sights-on-european-expansion-with-completion-of-autovista-group-acquisition</t>
  </si>
  <si>
    <t xml:space="preserve">J.D. Power, "Forecast" product page (read 27 September 2026): "Accounts for inflation, supply shortages, and regulatory changes"; "Uses data curated by automotive experts including analysts and editorial teams"; "Enables easy reforecasting to revise end-of-contract values anytime"  https://www.jdpower.com/business/forecast/</t>
  </si>
  <si>
    <t xml:space="preserve">Snavely et al., JNCI Monographs 2025(68):65 (as above)  https://academic.oup.com/jncimono/article/2025/68/65/8030354</t>
  </si>
  <si>
    <t xml:space="preserve">Snavely et al., Intracluster correlation coefficients from cluster randomized trials conducted within the NCI Community Oncology Research Program, JNCI Monographs 2025(68):65  https://academic.oup.com/jncimono/article/2025/68/65/8030354</t>
  </si>
  <si>
    <t xml:space="preserve">KBA Jahresbilanz Besitzumschreibungen 2023, text  https://www.kba.de/DE/Statistik/Fahrzeuge/Besitzumschreibungen/Jahresbilanz_Besitzumschreibungen/2023/2023_u_jahresbilanz_uebersicht.html</t>
  </si>
  <si>
    <t xml:space="preserve">KBA Jahresbilanz Besitzumschreibungen 2023, table by vehicle class  https://www.kba.de/DE/Statistik/Fahrzeuge/Besitzumschreibungen/Jahresbilanz_Besitzumschreibungen/2023/2023_u_jahresbilanz_uebersicht.html</t>
  </si>
  <si>
    <t xml:space="preserve">KBA Jahresbilanz Besitzumschreibungen 2023, top-5 German and top-5 import brands  https://www.kba.de/DE/Statistik/Fahrzeuge/Besitzumschreibungen/Jahresbilanz_Besitzumschreibungen/2023/2023_u_jahresbilanz_uebersicht.html</t>
  </si>
  <si>
    <t xml:space="preserve">Kraftfahrt-Bundesamt, Auskunft aus dem ZFZR: private recipients may get information under § 39 StVG to assert or defend "Rechtsansprüchen im Zusammenhang mit der Teilnahme am Straßenverkehr" (extended: also theft or loss); written request by post; "Die Gebühr für eine Auskunft beträgt je Kraftfahrzeug oder Anhänger derzeit 5,10 Euro"  https://www.kba.de/DE/Themen/ZentraleRegister/ZFZR/Auskunft/zfzr_auskunft_inhalt.html</t>
  </si>
  <si>
    <t xml:space="preserve">KBA, Neuzulassungen von Personenkraftwagen im Jahr 2019 nach Segmenten (segment Wohnmobile)  https://www.kba.de/DE/Statistik/Fahrzeuge/Neuzulassungen/Segmente/2019/2019_segmente_uebersicht.html</t>
  </si>
  <si>
    <t xml:space="preserve">Kesavan, Kushwaha &amp; Steele, Profit Implications of Judgmental Adjustments to Forecast Inputs, Management Science 72(1):119-127 (2026), abstract  https://ideas.repec.org/a/inm/ormnsc/v72y2026i1p119-127.html</t>
  </si>
  <si>
    <t xml:space="preserve">Kesavan &amp; Kushwaha, Field Experiment on the Profit Implications of Merchants' Discretionary Power to Override Data-Driven Decision-Making Tools, Management Science 66(11):5182-5190 (2020), as reported by George Mason University  https://www.gmu.edu/news/2021-12/algorithmic-workplace-how-can-humans-excel</t>
  </si>
  <si>
    <t xml:space="preserve">Keil, Mann &amp; Rai 2000, as kmr_escalation_low_pct  https://aisel.aisnet.org/misq/vol24/iss4/4/</t>
  </si>
  <si>
    <t xml:space="preserve">Keil, Mann &amp; Rai, "Why software projects escalate: an empirical analysis and test of four theoretical models", MIS Quarterly 24(4), 631-664, 2000, abstract: "between 30% and 40% of all IS projects exhibit some degree of escalation"  https://aisel.aisnet.org/misq/vol24/iss4/4/</t>
  </si>
  <si>
    <t xml:space="preserve">Karlinsky-Shichor &amp; Netzer, Marketing Science 43(1) (2024), p. 20  https://business.columbia.edu/sites/default/files-efs/citation_file_upload/Automating_the_B2B_Salesperson1_0.pdf</t>
  </si>
  <si>
    <t xml:space="preserve">Karlinsky-Shichor &amp; Netzer, Automating the B2B Salesperson Pricing Decisions: A Human-Machine Hybrid Approach, Marketing Science 43(1) (2024), p. 4  https://business.columbia.edu/sites/default/files-efs/citation_file_upload/Automating_the_B2B_Salesperson1_0.pdf</t>
  </si>
  <si>
    <t xml:space="preserve">Larkin, "The cost of high-powered incentives: employee gaming in enterprise software sales", Journal of Labor Economics 32(2), 199-227, 2014, abstract: "mispricing that costs the vendor 6%-8% of revenue"  https://ideas.repec.org/a/ucp/jlabec/doi10.1086-673371.html</t>
  </si>
  <si>
    <t xml:space="preserve">Logg, Minson &amp; Moore, Algorithm appreciation, OBHDP 151 (2019), Experiment 4, p. 9  https://www.jennlogg.com/uploads/2/8/9/2/2892148/algorithm_appreciation__logg_minson_moore_2019_.pdf</t>
  </si>
  <si>
    <t xml:space="preserve">Lacetera, Pope &amp; Sydnor, NBER w17030 (AER 2012), p. 3  https://www.nber.org/system/files/working_papers/w17030/w17030.pdf</t>
  </si>
  <si>
    <t xml:space="preserve">Lacetera, Pope &amp; Sydnor, Heuristic Thinking and Limited Attention in the Car Market, NBER w17030 (AER 102(5) 2012), p. 3  https://www.nber.org/system/files/working_papers/w17030/w17030.pdf</t>
  </si>
  <si>
    <t xml:space="preserve">Cox Automotive, Summary Methodology for Manheim Used Vehicle Value Index: sample "All Manheim U.S. sales that fall into one of the 20 market classes"; prices adjusted for mileage within market classes, classes weighted on a 24-month rolling average of sales, then seasonally adjusted (Census X); January 1997 = 100. Data: Nov-2025-Manheim-Used-Vehicle-Value-Index.xlsx  https://site.manheim.com/wp-content/uploads/sites/2/2023/07/Used-Vehicle-Summary-Methodology.pdf</t>
  </si>
  <si>
    <t xml:space="preserve">McKinsey-Oxford study (Bloch, Blumberg &amp; Laartz, McKinsey, 1 October 2012), Exhibit 1, total row, and the article's text  https://www.mckinsey.com/capabilities/mckinsey-digital/our-insights/delivering-large-scale-it-projects-on-time-on-budget-and-on-value</t>
  </si>
  <si>
    <t xml:space="preserve">McKinsey-Oxford study (Bloch, Blumberg &amp; Laartz, McKinsey, 1 October 2012), Exhibit 1, software row  https://www.mckinsey.com/capabilities/mckinsey-digital/our-insights/delivering-large-scale-it-projects-on-time-on-budget-and-on-value</t>
  </si>
  <si>
    <t xml:space="preserve">Misra, S. and Nair, H. (2011), A structural model of sales-force compensation dynamics: estimation and field implementation, Quantitative Marketing and Economics 9(3): 211-257, abstract: "The new plan resulted in a 9% improvement in overall revenues" (about $12m a year)  https://ideas.repec.org/a/kap/qmktec/v9y2011i3p211-257.html</t>
  </si>
  <si>
    <t xml:space="preserve">mobilisights.com, EU Fleet Data Pack page (Citroen, Fiat, Opel, Peugeot, Vauxhall vans: Berlingo, Doblo, Combo, Partner, Jumpy, Expert, Ducato and others; "all Stellantis ProOne MY24 models")  https://www.mobilisights.com/en/eu-fleetdatapack.html</t>
  </si>
  <si>
    <t xml:space="preserve">Stellantis media, 6 March 2026 (rebrand: "remains a wholly owned data and software company of Stellantis", over 40 telematics partners in Europe and North America, data from fourteen brands) and 10 January 2024 ("the Company collects and shares data only with user's explicit consent"; odometer among the data)  https://www.media.stellantis.com/em-en/mobilisights/press/mobilisights-rebrands-as-mobilisights-connect-enabling-software-solutions-powered-by-trusted-vehicle-data</t>
  </si>
  <si>
    <t xml:space="preserve">Motorpoint Group PLC, FY26 Final Results (10 June 2026; year to 31 March 2026), segment note (retail: revenue 1,130.8, cost of sales (1,042.4))  https://assets.motorpoint.co.uk/plc/Reports-Results-Presentations/FY2026/Final-Results.pdf</t>
  </si>
  <si>
    <t xml:space="preserve">Motorpoint Group PLC, FY26 Final Results (10 June 2026; year to 31 March 2026): "Retail gross profit per unit increased to £1,368 (FY25: £1,335)"  https://assets.motorpoint.co.uk/plc/Reports-Results-Presentations/FY2026/Final-Results.pdf</t>
  </si>
  <si>
    <t xml:space="preserve">Motorpoint Group PLC, FY26 Final Results (10 June 2026; year to 31 March 2026), segment note and trading review: "Revenue from retail customers was up 10.0% to £1,130.8m"  https://assets.motorpoint.co.uk/plc/Reports-Results-Presentations/FY2026/Final-Results.pdf</t>
  </si>
  <si>
    <t xml:space="preserve">Motorpoint Group PLC, FY26 Final Results (10 June 2026; year to 31 March 2026): "with 64.6k (FY25: 59.9k) vehicles sold"  https://assets.motorpoint.co.uk/plc/Reports-Results-Presentations/FY2026/Final-Results.pdf</t>
  </si>
  <si>
    <t xml:space="preserve">Motorpoint Group PLC, FY26 Final Results (10 June 2026; year to 31 March 2026), note 3 revenue: "Revenue from motor related services and commissions 59.7" (commissions on finance introductions, extended guarantees and paint protection)  https://assets.motorpoint.co.uk/plc/Reports-Results-Presentations/FY2026/Final-Results.pdf</t>
  </si>
  <si>
    <t xml:space="preserve">Motorpoint Group PLC, FY26 Final Results (10 June 2026; year to 31 March 2026): "Supply of nearly new vehicles continues to improve, reflected in increased fleet channel buying activity"; "we are securing more bulk deals"; Sell Your Car purchases "roughly 10% of total purchases"  https://assets.motorpoint.co.uk/plc/Reports-Results-Presentations/FY2026/Final-Results.pdf</t>
  </si>
  <si>
    <t xml:space="preserve">Pauwels, Silva-Risso, Srinivasan and Hanssens (2004): "Over the total sample, new-product introductions have a positive long-run impact on market capitalization for 81% of all brands"  https://www.anderson.ucla.edu/sites/default/files/documents/areas/fac/marketing/npi030922(0).pdf</t>
  </si>
  <si>
    <t xml:space="preserve">Pauwels K., Silva-Risso J., Srinivasan S. and Hanssens D. M., "New Products, Sales Promotions, and Firm Value: The Case of the Automobile Industry", Journal of Marketing 68(4), 2004 (forthcoming version of 22 September 2003): "Overall, half of all brands show positive short-term promotion effects. In the long run, this is only true for 43% of the brands"; abstract: "new product introductions increase long-term financial performance and firm value, but promotions do not"  https://www.anderson.ucla.edu/sites/default/files/documents/areas/fac/marketing/npi030922(0).pdf</t>
  </si>
  <si>
    <t xml:space="preserve">Our estimate, from published European captive cost of risk  https://www.mobilize-fs.com/en/news/2025-annual-results-new-year-growth-mobilize-financial-services</t>
  </si>
  <si>
    <t xml:space="preserve">Our estimate, bracketed by a European captive's net banking income  https://www.mobilize-fs.com/en/news/2025-annual-results-new-year-growth-mobilize-financial-services</t>
  </si>
  <si>
    <t xml:space="preserve">Our estimate, against published reconditioning costs  https://www.nerdwallet.com/auto-loans/learn/what-is-a-reconditioning-fee-on-a-used-car</t>
  </si>
  <si>
    <t xml:space="preserve">Our estimate, against an independent retailer's used margin  https://www.investegate.co.uk/announcement/rns/vertu-motors--vtu/final-results-for-the-year-ended-28-february-2026/9565100</t>
  </si>
  <si>
    <t xml:space="preserve">Our estimate, bracketed by the group's own gross margin  https://www.stellantis.com/content/dam/stellantis-corporate/investors/financial-reports/Stellantis-NV-20251231-Annual-Report.pdf</t>
  </si>
  <si>
    <t xml:space="preserve">Our estimate; no source divides aftersales profit by cars on the road  https://www.investegate.co.uk/announcement/rns/vertu-motors--vtu/final-results-for-the-year-ended-28-february-2026/9565100</t>
  </si>
  <si>
    <t xml:space="preserve">Our estimate, bracketed by published warranty accrual rates  https://www.warrantyweek.com/archive/ww20260312.html</t>
  </si>
  <si>
    <t xml:space="preserve">Stellantis Form 20-F FY2025, Note 21 Provisions, roll-forward table, Sales incentives line, Additional provisions, 2024  https://www.sec.gov/Archives/edgar/data/1605484/000160548426000021/stellantis-20251231.htm</t>
  </si>
  <si>
    <t xml:space="preserve">Stellantis Form 20-F FY2025, Note 21 Provisions, roll-forward table, Sales incentives line, Additional provisions, 2025  https://www.sec.gov/Archives/edgar/data/1605484/000160548426000021/stellantis-20251231.htm</t>
  </si>
  <si>
    <t xml:space="preserve">Stellantis Form 20-F FY2025, Note 21 Provisions, Sales incentives, total at 31 December 2025 (2024: 6,343)  https://www.sec.gov/Archives/edgar/data/1605484/000160548426000021/stellantis-20251231.htm</t>
  </si>
  <si>
    <t xml:space="preserve">Stellantis Form 20-F FY2025, Note 21 Provisions, roll-forward table, Sales incentives line, Settlements, 2024  https://www.sec.gov/Archives/edgar/data/1605484/000160548426000021/stellantis-20251231.htm</t>
  </si>
  <si>
    <t xml:space="preserve">Stellantis Form 20-F FY2025, Note 21 Provisions, roll-forward table, Sales incentives line, Settlements, 2025  https://www.sec.gov/Archives/edgar/data/1605484/000160548426000021/stellantis-20251231.htm</t>
  </si>
  <si>
    <t xml:space="preserve">Schloter, Empirical analysis of the depreciation of electric vehicles compared to gasoline vehicles, Transport Policy 126 (2022) 268-279, abstract (TRID record)  https://trid.trb.org/View/2005004</t>
  </si>
  <si>
    <t xml:space="preserve">Senzing, AWS Marketplace listing, 12-month contract priced by data source records (read 27 September 2026)  https://aws.amazon.com/marketplace/pp/prodview-p3y2bvjkxcipo</t>
  </si>
  <si>
    <t xml:space="preserve">Salesforce, Automotive Cloud pricing page (read 27 September 2026)  https://www.salesforce.com/automotive/pricing/</t>
  </si>
  <si>
    <t xml:space="preserve">Stellantis Financial Services Europe, Rapport Annuel 2025, p. 10: "le volume de contrats atteint 22 411 unités, soit une hausse de 60 % par rapport à 2024"  https://www.stellantisfinancialservices.com/pdf/Rapport%20Annuel%20SFSE%202025.pdf</t>
  </si>
  <si>
    <t xml:space="preserve">Stellantis Financial Services Europe, Rapport Annuel 2025, p. 10: "Le nombre de contrats progresse sur l'année à 22 128, en hausse de 9,2%"  https://www.stellantisfinancialservices.com/pdf/Rapport%20Annuel%20SFSE%202025.pdf</t>
  </si>
  <si>
    <t xml:space="preserve">Stellantis Financial Services Europe, Rapport Annuel 2025, p. 9: "le nombre de contrats s'établit à 154 496, soit une pénétration de 27,5%"  https://www.stellantisfinancialservices.com/pdf/Rapport%20Annuel%20SFSE%202025.pdf</t>
  </si>
  <si>
    <t xml:space="preserve">Stellantis Financial Services Europe, Rapport Annuel 2025, p. 20: "Au format IFRS 8, le coût du risque s'établit à - 227 millions d'euros soit - 0,43% des encours nets moyens"  https://www.stellantisfinancialservices.com/pdf/Rapport%20Annuel%20SFSE%202025.pdf</t>
  </si>
  <si>
    <t xml:space="preserve">Stellantis Financial Services Europe, Rapport Annuel 2025, p. 20: "soit - 0,43% des encours nets moyens"  https://www.stellantisfinancialservices.com/pdf/Rapport%20Annuel%20SFSE%202025.pdf</t>
  </si>
  <si>
    <t xml:space="preserve">Stellantis Financial Services Europe, Rapport Annuel 2025, p. 19: "Au format IFRS 8, les charges générales d'exploitation s'établissent à - 708 millions d'euros"  https://www.stellantisfinancialservices.com/pdf/Rapport%20Annuel%20SFSE%202025.pdf</t>
  </si>
  <si>
    <t xml:space="preserve">Stellantis Financial Services Europe, Rapport Annuel 2025, p. 10: "avec un taux de pénétration record de 56,7 %"  https://www.stellantisfinancialservices.com/pdf/Rapport%20Annuel%20SFSE%202025.pdf</t>
  </si>
  <si>
    <t xml:space="preserve">Stellantis Financial Services Europe, Rapport Annuel 2025, p. 10: "avec une pénétration stabilisée à 26,6 %"  https://www.stellantisfinancialservices.com/pdf/Rapport%20Annuel%20SFSE%202025.pdf</t>
  </si>
  <si>
    <t xml:space="preserve">Stellantis Financial Services Europe, Rapport Annuel 2025, p. 9: "les performances se maintiennent à un haut niveau de pénétration, à plus de 33,8%"  https://www.stellantisfinancialservices.com/pdf/Rapport%20Annuel%20SFSE%202025.pdf</t>
  </si>
  <si>
    <t xml:space="preserve">Stellantis Financial Services Europe, Rapport Annuel 2025, p. 10: "les performances s'améliorent par rapport à 2024 avec une pénétration à 21,9%"  https://www.stellantisfinancialservices.com/pdf/Rapport%20Annuel%20SFSE%202025.pdf</t>
  </si>
  <si>
    <t xml:space="preserve">Stellantis Financial Services Europe, Rapport Annuel 2025, p. 9: "Sur le B2C, la pénétration atteint 68,1%"  https://www.stellantisfinancialservices.com/pdf/Rapport%20Annuel%20SFSE%202025.pdf</t>
  </si>
  <si>
    <t xml:space="preserve">Stellantis Financial Services Europe, Rapport Annuel 2025, p. 9: "avec une pénétration de 22,8 %, soit en hausse de 1,1 points"  https://www.stellantisfinancialservices.com/pdf/Rapport%20Annuel%20SFSE%202025.pdf</t>
  </si>
  <si>
    <t xml:space="preserve">Stellantis Financial Services Europe, Rapport Annuel 2025, p. 10: "la pénétration se maintient à 28,6%"  https://www.stellantisfinancialservices.com/pdf/Rapport%20Annuel%20SFSE%202025.pdf</t>
  </si>
  <si>
    <t xml:space="preserve">Stellantis Financial Services Europe, Rapport Annuel 2025, p. 10: "avec un taux de pénétration de 48,8 %"  https://www.stellantisfinancialservices.com/pdf/Rapport%20Annuel%20SFSE%202025.pdf</t>
  </si>
  <si>
    <t xml:space="preserve">Stellantis Financial Services Europe, Rapport Annuel 2025, p. 19: "Le produit net bancaire au format IFRS 8 est en augmentation de 13,2% à 2 125 millions d'euros"  https://www.stellantisfinancialservices.com/pdf/Rapport%20Annuel%20SFSE%202025.pdf</t>
  </si>
  <si>
    <t xml:space="preserve">S&amp;P Global Ratings, Global Auto ABS Methodology And Assumptions, 31 March 2022, Table 5 (initial haircuts to base residuals), case 2, 'the typical European auto ABS'  https://www.maalot.co.il/Publications/MT20220405091436.PDF</t>
  </si>
  <si>
    <t xml:space="preserve">Stellantis N.V. Form 20-F FY2025, Exhibit 8.1 (list of subsidiaries)  https://www.sec.gov/Archives/edgar/data/1605484/000160548426000021/exhibit8120251231-subsidia.htm</t>
  </si>
  <si>
    <t xml:space="preserve">Stellantis Form 20-F FY2025, Note 2 revenue recognition: "Vehicle sales to customers can include a repurchase obligation, whereby the Company is required to repurchase the vehicles at a given point in time. The Company accounts for such sales as an operating lease"; a customer put is a lease where "a significant economic incentive exists for the customer to exercise its put option"; "The Company records gains and losses upon the disposal of a leased vehicle by comparing the net proceeds at disposition to the carrying value"  https://www.sec.gov/Archives/edgar/data/1605484/000160548426000021/stellantis-20251231.htm</t>
  </si>
  <si>
    <t xml:space="preserve">Stellantis Form 20-F FY2025, Note 2, sales incentives: "subvention programs offered to customers, or lease subsidies, which reduce the retail customer's monthly lease payment or cash due at the inception of the financing arrangement, or both"  https://www.sec.gov/Archives/edgar/data/1605484/000160548426000021/stellantis-20251231.htm</t>
  </si>
  <si>
    <t xml:space="preserve">Stellantis Form 20-F FY2025, risk factors: "A deterioration in residual value could increase the cost that consumers pay to lease our vehicles, increase the amount of subvention payments that we make to support our leasing programs and negatively impact our captive finance companies"  https://www.sec.gov/Archives/edgar/data/1605484/000160548426000021/stellantis-20251231.htm</t>
  </si>
  <si>
    <t xml:space="preserve">Stellantis N.V. 2023 Annual Report and Form 20-F, Merger Synergies: "achieved EUR 8.4 billion of net cash synergies ... exceeding the EUR 5 billion annual steady state target established at the time of the merger ... more than two years earlier than planned"  https://www.sec.gov/Archives/edgar/data/1605484/000160548424000022/stellantis-20231231.htm</t>
  </si>
  <si>
    <t xml:space="preserve">Stellantis N.V. 2023 Annual Report and Form 20-F, as stla_synergies_2023_eur_bn  https://www.sec.gov/Archives/edgar/data/1605484/000160548424000022/stellantis-20231231.htm</t>
  </si>
  <si>
    <t xml:space="preserve">Stellantis N.V. 2025 Annual Report and Form 20-F, as stla_wacc_pretax_low_pct  https://www.sec.gov/Archives/edgar/data/1605484/000160548426000021/stellantis-20251231.htm</t>
  </si>
  <si>
    <t xml:space="preserve">Stellantis N.V. 2025 Annual Report and Form 20-F (filed 26 February 2026), goodwill and CGU impairment testing: "The pre-tax Weighted Average Cost of Capital ('WACC') discount rate applied ranged from 9.5 percent to 19 percent"  https://www.sec.gov/Archives/edgar/data/1605484/000160548426000021/stellantis-20251231.htm</t>
  </si>
  <si>
    <t xml:space="preserve">Tadelis &amp; Zettelmeyer, Information Disclosure as a Matching Mechanism (AER 105(2) 2015), seminar slides, p. 5  http://www.chaire-eppp.org/files_chaire/tadelis.pdf</t>
  </si>
  <si>
    <t xml:space="preserve">Stellantis Form 20-F FY2025, results of operations: "lower share of profits from financial services joint ventures, in part due to the impact of the cost recorded during 2025 from the UK motor finance redress program"  https://www.sec.gov/Archives/edgar/data/1605484/000160548426000021/stellantis-20251231.htm</t>
  </si>
  <si>
    <t xml:space="preserve">Commission Regulation (EU) 2022/720, Art. 4(a): "...the possibility of the supplier to impose a maximum sale price or recommend a sale price, provided that they do not amount to a fixed or minimum sale price as a result of pressure from, or incentives offered by, any of the parties"; expires 31 May 2034  https://eur-lex.europa.eu/legal-content/EN/TXT/HTML/?uri=CELEX:32022R0720</t>
  </si>
  <si>
    <t xml:space="preserve">Regulation (EU) 2022/720, Art 2(5): the dual-distribution exceptions "shall not apply to the exchange of information between the supplier and the buyer that is either not directly related to the implementation of the vertical agreement or is not necessary to improve the production or distribution of the contract goods"  https://eur-lex.europa.eu/legal-content/EN/TXT/HTML/?uri=CELEX:32022R0720</t>
  </si>
  <si>
    <t xml:space="preserve">Volkswagen Group Annual Report 2024, report on risks and opportunities, financial risks: "the level of existing direct residual value risk is compared against the level of the provisions recognized for risks"; direct risk is borne by the financial services companies, indirect when transferred to a third party such as a dealer  https://annualreport2024.volkswagen-group.com/group-management-report/report-on-risks-and-opportunities/risks-and-opportunities/financial-risks.html</t>
  </si>
  <si>
    <t xml:space="preserve">Weinberg, C. B. (1975), An Optimal Commission Plan for Salesmen's Control Over Price, Management Science 21(8): 937-943, abstract: "If marginal costs are constant, salesman who are paid a commission based on gross margin and who are given control over price will set prices so as to maximize simultaneously their own income and the company's profits"  https://ideas.repec.org/a/inm/ormnsc/v21y1975i8p937-943.html</t>
  </si>
  <si>
    <t xml:space="preserve">analysis/merger_kba_report.md pooled by era  https://www.kba.de/DE/Statistik/Fahrzeuge/Neuzulassungen/Kurzzulassungen/kurzzulassungen_node.html</t>
  </si>
  <si>
    <t xml:space="preserve">ACEA, New car registrations: +1.8% in 2025, press release tables (December 2025), registrations by power source, EU + EFTA + UK, p. 4  https://www.acea.auto/files/Press_release_car_registrations_December_2025.pdf</t>
  </si>
  <si>
    <t xml:space="preserve">Bigler P. and Radulescu D., 'Environmental, Redistributive and Revenue Effects of Policies Promoting Fuel Efficient and Electric Vehicles', CESifo Working Paper 9645 (2022), text on PDF pp. 5 and 25  https://www.uni-goettingen.de/de/document/download/afa340fae477aec9ccfdb3ef4548656a.pdf/cesifo1_wp9645.pdf</t>
  </si>
  <si>
    <t xml:space="preserve">Bigler P. and Radulescu D., 'Environmental, Redistributive and Revenue Effects of Policies Promoting Fuel Efficient and Electric Vehicles', CESifo Working Paper 9645 (2022), Appendix Table 14, PDF p. 47  https://www.uni-goettingen.de/de/document/download/afa340fae477aec9ccfdb3ef4548656a.pdf/cesifo1_wp9645.pdf</t>
  </si>
  <si>
    <t xml:space="preserve">ACEA, New car registrations: +1.8% in 2025, press release tables (December 2025), EU + EFTA + UK table p. 6  https://www.acea.auto/files/Press_release_car_registrations_December_2025.pdf</t>
  </si>
  <si>
    <t xml:space="preserve">Grigolon L., Reynaert M. and Verboven F., 'Consumer valuation of fuel costs and tax policy: Evidence from the European car market', TSE Working Paper 17-836 (2017), p. 25; published in AEJ: Economic Policy 2018  https://www.tse-fr.eu/sites/default/files/TSE/documents/doc/wp/2017/wp_tse_836.pdf</t>
  </si>
  <si>
    <t xml:space="preserve">Leheyda N. and Verboven F., 'Scrapping Subsidies during the Financial Crisis - Evidence from Europe', ZEW Discussion Paper 13-079 (2013), p. 6 and Table 3 p. 21  https://d.repec.org/n?u=RePEc:zbw:zewdip:13079&amp;r=</t>
  </si>
</sst>
</file>

<file path=xl/styles.xml><?xml version="1.0" encoding="utf-8"?>
<styleSheet xmlns="http://schemas.openxmlformats.org/spreadsheetml/2006/main">
  <numFmts count="13">
    <numFmt numFmtId="164" formatCode="General"/>
    <numFmt numFmtId="165" formatCode="#,##0;[RED]\-#,##0"/>
    <numFmt numFmtId="166" formatCode="0%"/>
    <numFmt numFmtId="167" formatCode="0.0"/>
    <numFmt numFmtId="168" formatCode="#,##0"/>
    <numFmt numFmtId="169" formatCode="#,##0.00"/>
    <numFmt numFmtId="170" formatCode="0.00"/>
    <numFmt numFmtId="171" formatCode="0.0%"/>
    <numFmt numFmtId="172" formatCode="0"/>
    <numFmt numFmtId="173" formatCode="0.00%"/>
    <numFmt numFmtId="174" formatCode="#,##0.0;[RED]\-#,##0.0"/>
    <numFmt numFmtId="175" formatCode="#,##0.0"/>
    <numFmt numFmtId="176" formatCode="0.0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Cambria"/>
      <family val="0"/>
      <charset val="1"/>
    </font>
    <font>
      <b val="true"/>
      <sz val="11"/>
      <name val="Cambria"/>
      <family val="0"/>
      <charset val="1"/>
    </font>
    <font>
      <b val="true"/>
      <sz val="11"/>
      <color rgb="FFFFFFFF"/>
      <name val="Cambria"/>
      <family val="0"/>
      <charset val="1"/>
    </font>
    <font>
      <i val="true"/>
      <sz val="9"/>
      <color rgb="FF595959"/>
      <name val="Cambria"/>
      <family val="0"/>
      <charset val="1"/>
    </font>
    <font>
      <sz val="11"/>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DCE4F2"/>
        <bgColor rgb="FFE4E4E4"/>
      </patternFill>
    </fill>
    <fill>
      <patternFill patternType="solid">
        <fgColor rgb="FFD6E9D6"/>
        <bgColor rgb="FFE4E4E4"/>
      </patternFill>
    </fill>
    <fill>
      <patternFill patternType="solid">
        <fgColor rgb="FFFBE6CC"/>
        <bgColor rgb="FFE4E4E4"/>
      </patternFill>
    </fill>
    <fill>
      <patternFill patternType="solid">
        <fgColor rgb="FFEAE0F0"/>
        <bgColor rgb="FFE4E4E4"/>
      </patternFill>
    </fill>
    <fill>
      <patternFill patternType="solid">
        <fgColor rgb="FFE4E4E4"/>
        <bgColor rgb="FFEAE0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false" indent="0" shrinkToFit="false"/>
      <protection locked="true" hidden="false"/>
    </xf>
    <xf numFmtId="164" fontId="0" fillId="4" borderId="1" xfId="0" applyFont="true" applyBorder="true" applyAlignment="true" applyProtection="false">
      <alignment horizontal="general"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false" indent="0" shrinkToFit="false"/>
      <protection locked="true" hidden="false"/>
    </xf>
    <xf numFmtId="164" fontId="0" fillId="6" borderId="1" xfId="0" applyFont="true" applyBorder="true" applyAlignment="true" applyProtection="false">
      <alignment horizontal="general" vertical="top" textRotation="0" wrapText="false" indent="0" shrinkToFit="false"/>
      <protection locked="true" hidden="false"/>
    </xf>
    <xf numFmtId="164" fontId="0" fillId="7"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6CC"/>
      <rgbColor rgb="FFE4E4E4"/>
      <rgbColor rgb="FF660066"/>
      <rgbColor rgb="FFFF8080"/>
      <rgbColor rgb="FF0066CC"/>
      <rgbColor rgb="FFDCE4F2"/>
      <rgbColor rgb="FF000080"/>
      <rgbColor rgb="FFFF00FF"/>
      <rgbColor rgb="FFFFFF00"/>
      <rgbColor rgb="FF00FFFF"/>
      <rgbColor rgb="FF800080"/>
      <rgbColor rgb="FF800000"/>
      <rgbColor rgb="FF008080"/>
      <rgbColor rgb="FF0000FF"/>
      <rgbColor rgb="FF00CCFF"/>
      <rgbColor rgb="FFEAE0F0"/>
      <rgbColor rgb="FFD6E9D6"/>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2"/>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45.75" hidden="false" customHeight="tru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45.75" hidden="false" customHeight="true" outlineLevel="0" collapsed="false">
      <c r="A7" s="2" t="s">
        <v>4</v>
      </c>
    </row>
    <row r="8" customFormat="false" ht="15" hidden="false" customHeight="false" outlineLevel="0" collapsed="false">
      <c r="A8" s="2"/>
    </row>
    <row r="9" customFormat="false" ht="15" hidden="false" customHeight="false" outlineLevel="0" collapsed="false">
      <c r="A9" s="3" t="s">
        <v>5</v>
      </c>
    </row>
    <row r="10" customFormat="false" ht="45.75" hidden="false" customHeight="true" outlineLevel="0" collapsed="false">
      <c r="A10" s="2" t="s">
        <v>6</v>
      </c>
    </row>
    <row r="11" customFormat="false" ht="45.75" hidden="false" customHeight="true" outlineLevel="0" collapsed="false">
      <c r="A11" s="2" t="s">
        <v>7</v>
      </c>
    </row>
    <row r="12" customFormat="false" ht="45.75" hidden="false" customHeight="true" outlineLevel="0" collapsed="false">
      <c r="A12" s="2" t="s">
        <v>8</v>
      </c>
    </row>
    <row r="13" customFormat="false" ht="45.75" hidden="false" customHeight="true" outlineLevel="0" collapsed="false">
      <c r="A13" s="2" t="s">
        <v>9</v>
      </c>
    </row>
    <row r="14" customFormat="false" ht="45.75" hidden="false" customHeight="tru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45.75" hidden="false" customHeight="true" outlineLevel="0" collapsed="false">
      <c r="A17" s="2" t="s">
        <v>12</v>
      </c>
    </row>
    <row r="18" customFormat="false" ht="15" hidden="false" customHeight="false" outlineLevel="0" collapsed="false">
      <c r="A18" s="2"/>
    </row>
    <row r="19" customFormat="false" ht="15" hidden="false" customHeight="false" outlineLevel="0" collapsed="false">
      <c r="A19" s="3" t="s">
        <v>13</v>
      </c>
    </row>
    <row r="20" customFormat="false" ht="45.75" hidden="false" customHeight="true" outlineLevel="0" collapsed="false">
      <c r="A20" s="2" t="s">
        <v>14</v>
      </c>
    </row>
    <row r="21" customFormat="false" ht="15" hidden="false" customHeight="false" outlineLevel="0" collapsed="false">
      <c r="A21" s="2"/>
    </row>
    <row r="22" customFormat="false" ht="15" hidden="false" customHeight="false" outlineLevel="0" collapsed="false">
      <c r="A22" s="3" t="s">
        <v>15</v>
      </c>
    </row>
    <row r="23" customFormat="false" ht="45.75" hidden="false" customHeight="true" outlineLevel="0" collapsed="false">
      <c r="A23" s="2" t="s">
        <v>16</v>
      </c>
    </row>
    <row r="24" customFormat="false" ht="45.75" hidden="false" customHeight="true" outlineLevel="0" collapsed="false">
      <c r="A24" s="2" t="s">
        <v>17</v>
      </c>
    </row>
    <row r="25" customFormat="false" ht="45.75" hidden="false" customHeight="true" outlineLevel="0" collapsed="false">
      <c r="A25" s="2" t="s">
        <v>18</v>
      </c>
    </row>
    <row r="26" customFormat="false" ht="15" hidden="false" customHeight="false" outlineLevel="0" collapsed="false">
      <c r="A26" s="2"/>
    </row>
    <row r="27" customFormat="false" ht="15" hidden="false" customHeight="false" outlineLevel="0" collapsed="false">
      <c r="A27" s="3" t="s">
        <v>19</v>
      </c>
    </row>
    <row r="28" customFormat="false" ht="45.75" hidden="false" customHeight="true" outlineLevel="0" collapsed="false">
      <c r="A28" s="2" t="s">
        <v>20</v>
      </c>
    </row>
    <row r="29" customFormat="false" ht="45.75" hidden="false" customHeight="true" outlineLevel="0" collapsed="false">
      <c r="A29" s="2" t="s">
        <v>21</v>
      </c>
    </row>
    <row r="30" customFormat="false" ht="15" hidden="false" customHeight="false" outlineLevel="0" collapsed="false">
      <c r="A30" s="2"/>
    </row>
    <row r="31" customFormat="false" ht="15" hidden="false" customHeight="false" outlineLevel="0" collapsed="false">
      <c r="A31" s="3" t="s">
        <v>22</v>
      </c>
    </row>
    <row r="32" customFormat="false" ht="45.75" hidden="false" customHeight="true" outlineLevel="0" collapsed="false">
      <c r="A32" s="2" t="s">
        <v>23</v>
      </c>
    </row>
    <row r="33" customFormat="false" ht="15" hidden="false" customHeight="false" outlineLevel="0" collapsed="false">
      <c r="A33" s="2"/>
    </row>
    <row r="34" customFormat="false" ht="15" hidden="false" customHeight="false" outlineLevel="0" collapsed="false">
      <c r="A34" s="3" t="s">
        <v>24</v>
      </c>
    </row>
    <row r="35" customFormat="false" ht="15" hidden="false" customHeight="false" outlineLevel="0" collapsed="false">
      <c r="A35" s="2" t="s">
        <v>25</v>
      </c>
    </row>
    <row r="36" customFormat="false" ht="15" hidden="false" customHeight="false" outlineLevel="0" collapsed="false">
      <c r="A36"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12"/>
    <col collapsed="false" customWidth="true" hidden="false" outlineLevel="0" max="5" min="4" style="0" width="9"/>
    <col collapsed="false" customWidth="true" hidden="false" outlineLevel="0" max="6" min="6" style="0" width="14"/>
    <col collapsed="false" customWidth="true" hidden="false" outlineLevel="0" max="7" min="7" style="0" width="13"/>
    <col collapsed="false" customWidth="true" hidden="false" outlineLevel="0" max="8" min="8" style="0" width="40"/>
    <col collapsed="false" customWidth="true" hidden="false" outlineLevel="0" max="9" min="9" style="0" width="44"/>
    <col collapsed="false" customWidth="true" hidden="false" outlineLevel="0" max="10" min="10" style="0" width="11"/>
    <col collapsed="false" customWidth="true" hidden="false" outlineLevel="0" max="11" min="11" style="0" width="52"/>
    <col collapsed="false" customWidth="true" hidden="false" outlineLevel="0" max="12" min="12" style="0" width="14"/>
  </cols>
  <sheetData>
    <row r="1" customFormat="false" ht="15" hidden="false" customHeight="false" outlineLevel="0" collapsed="false">
      <c r="A1" s="4" t="s">
        <v>27</v>
      </c>
      <c r="B1" s="4" t="s">
        <v>28</v>
      </c>
      <c r="C1" s="4" t="s">
        <v>29</v>
      </c>
      <c r="D1" s="4" t="s">
        <v>30</v>
      </c>
      <c r="E1" s="4" t="s">
        <v>31</v>
      </c>
      <c r="F1" s="4" t="s">
        <v>32</v>
      </c>
      <c r="G1" s="4" t="s">
        <v>33</v>
      </c>
      <c r="H1" s="4" t="s">
        <v>34</v>
      </c>
      <c r="I1" s="4" t="s">
        <v>35</v>
      </c>
      <c r="J1" s="4" t="s">
        <v>36</v>
      </c>
      <c r="K1" s="4" t="s">
        <v>37</v>
      </c>
      <c r="L1" s="4" t="s">
        <v>38</v>
      </c>
    </row>
    <row r="2" customFormat="false" ht="35.05" hidden="false" customHeight="false" outlineLevel="0" collapsed="false">
      <c r="A2" s="5" t="s">
        <v>39</v>
      </c>
      <c r="B2" s="6" t="s">
        <v>40</v>
      </c>
      <c r="C2" s="5" t="n">
        <v>2490000</v>
      </c>
      <c r="D2" s="5"/>
      <c r="E2" s="5"/>
      <c r="F2" s="5" t="s">
        <v>41</v>
      </c>
      <c r="G2" s="7" t="s">
        <v>42</v>
      </c>
      <c r="H2" s="6" t="s">
        <v>43</v>
      </c>
      <c r="I2" s="5" t="s">
        <v>44</v>
      </c>
      <c r="J2" s="5" t="s">
        <v>45</v>
      </c>
      <c r="K2" s="6" t="s">
        <v>46</v>
      </c>
      <c r="L2" s="5" t="s">
        <v>47</v>
      </c>
    </row>
    <row r="3" customFormat="false" ht="23.85" hidden="false" customHeight="false" outlineLevel="0" collapsed="false">
      <c r="A3" s="5" t="s">
        <v>48</v>
      </c>
      <c r="B3" s="6" t="s">
        <v>49</v>
      </c>
      <c r="C3" s="5" t="n">
        <v>57773</v>
      </c>
      <c r="D3" s="5"/>
      <c r="E3" s="5"/>
      <c r="F3" s="5" t="s">
        <v>50</v>
      </c>
      <c r="G3" s="7" t="s">
        <v>42</v>
      </c>
      <c r="H3" s="6" t="s">
        <v>43</v>
      </c>
      <c r="I3" s="5" t="s">
        <v>44</v>
      </c>
      <c r="J3" s="5" t="s">
        <v>45</v>
      </c>
      <c r="K3" s="6" t="s">
        <v>51</v>
      </c>
      <c r="L3" s="5" t="s">
        <v>52</v>
      </c>
    </row>
    <row r="4" customFormat="false" ht="23.85" hidden="false" customHeight="false" outlineLevel="0" collapsed="false">
      <c r="A4" s="5" t="s">
        <v>53</v>
      </c>
      <c r="B4" s="6" t="s">
        <v>54</v>
      </c>
      <c r="C4" s="5" t="n">
        <v>-651</v>
      </c>
      <c r="D4" s="5"/>
      <c r="E4" s="5"/>
      <c r="F4" s="5" t="s">
        <v>50</v>
      </c>
      <c r="G4" s="7" t="s">
        <v>42</v>
      </c>
      <c r="H4" s="6" t="s">
        <v>43</v>
      </c>
      <c r="I4" s="5" t="s">
        <v>44</v>
      </c>
      <c r="J4" s="5" t="s">
        <v>45</v>
      </c>
      <c r="K4" s="6" t="s">
        <v>55</v>
      </c>
      <c r="L4" s="5" t="s">
        <v>56</v>
      </c>
    </row>
    <row r="5" customFormat="false" ht="23.85" hidden="false" customHeight="false" outlineLevel="0" collapsed="false">
      <c r="A5" s="5" t="s">
        <v>57</v>
      </c>
      <c r="B5" s="6" t="s">
        <v>58</v>
      </c>
      <c r="C5" s="5" t="n">
        <v>5484000</v>
      </c>
      <c r="D5" s="5"/>
      <c r="E5" s="5"/>
      <c r="F5" s="5" t="s">
        <v>41</v>
      </c>
      <c r="G5" s="7" t="s">
        <v>42</v>
      </c>
      <c r="H5" s="6" t="s">
        <v>43</v>
      </c>
      <c r="I5" s="5" t="s">
        <v>44</v>
      </c>
      <c r="J5" s="5" t="s">
        <v>45</v>
      </c>
      <c r="K5" s="6"/>
      <c r="L5" s="5" t="s">
        <v>56</v>
      </c>
    </row>
    <row r="6" customFormat="false" ht="23.85" hidden="false" customHeight="false" outlineLevel="0" collapsed="false">
      <c r="A6" s="5" t="s">
        <v>59</v>
      </c>
      <c r="B6" s="6" t="s">
        <v>60</v>
      </c>
      <c r="C6" s="5" t="n">
        <v>153508</v>
      </c>
      <c r="D6" s="5"/>
      <c r="E6" s="5"/>
      <c r="F6" s="5" t="s">
        <v>50</v>
      </c>
      <c r="G6" s="7" t="s">
        <v>42</v>
      </c>
      <c r="H6" s="6" t="s">
        <v>43</v>
      </c>
      <c r="I6" s="5" t="s">
        <v>44</v>
      </c>
      <c r="J6" s="5" t="s">
        <v>45</v>
      </c>
      <c r="K6" s="6"/>
      <c r="L6" s="5" t="s">
        <v>56</v>
      </c>
    </row>
    <row r="7" customFormat="false" ht="79.85" hidden="false" customHeight="false" outlineLevel="0" collapsed="false">
      <c r="A7" s="5" t="s">
        <v>61</v>
      </c>
      <c r="B7" s="6" t="s">
        <v>62</v>
      </c>
      <c r="C7" s="5" t="n">
        <v>7889</v>
      </c>
      <c r="D7" s="5"/>
      <c r="E7" s="5"/>
      <c r="F7" s="5" t="s">
        <v>50</v>
      </c>
      <c r="G7" s="7" t="s">
        <v>42</v>
      </c>
      <c r="H7" s="6" t="s">
        <v>63</v>
      </c>
      <c r="I7" s="5" t="s">
        <v>64</v>
      </c>
      <c r="J7" s="5" t="s">
        <v>65</v>
      </c>
      <c r="K7" s="6" t="s">
        <v>66</v>
      </c>
      <c r="L7" s="5" t="s">
        <v>67</v>
      </c>
    </row>
    <row r="8" customFormat="false" ht="35.05" hidden="false" customHeight="false" outlineLevel="0" collapsed="false">
      <c r="A8" s="5" t="s">
        <v>68</v>
      </c>
      <c r="B8" s="6" t="s">
        <v>69</v>
      </c>
      <c r="C8" s="5" t="n">
        <v>5313</v>
      </c>
      <c r="D8" s="5"/>
      <c r="E8" s="5"/>
      <c r="F8" s="5" t="s">
        <v>50</v>
      </c>
      <c r="G8" s="7" t="s">
        <v>42</v>
      </c>
      <c r="H8" s="6" t="s">
        <v>70</v>
      </c>
      <c r="I8" s="5" t="s">
        <v>64</v>
      </c>
      <c r="J8" s="5" t="s">
        <v>65</v>
      </c>
      <c r="K8" s="6" t="s">
        <v>71</v>
      </c>
      <c r="L8" s="5" t="s">
        <v>67</v>
      </c>
    </row>
    <row r="9" customFormat="false" ht="68.65" hidden="false" customHeight="false" outlineLevel="0" collapsed="false">
      <c r="A9" s="5" t="s">
        <v>72</v>
      </c>
      <c r="B9" s="6" t="s">
        <v>73</v>
      </c>
      <c r="C9" s="5"/>
      <c r="D9" s="5"/>
      <c r="E9" s="5"/>
      <c r="F9" s="5" t="s">
        <v>74</v>
      </c>
      <c r="G9" s="7" t="s">
        <v>42</v>
      </c>
      <c r="H9" s="6" t="s">
        <v>75</v>
      </c>
      <c r="I9" s="5" t="s">
        <v>64</v>
      </c>
      <c r="J9" s="5" t="s">
        <v>45</v>
      </c>
      <c r="K9" s="6" t="s">
        <v>76</v>
      </c>
      <c r="L9" s="5" t="s">
        <v>56</v>
      </c>
    </row>
    <row r="10" customFormat="false" ht="91" hidden="false" customHeight="false" outlineLevel="0" collapsed="false">
      <c r="A10" s="5" t="s">
        <v>77</v>
      </c>
      <c r="B10" s="6" t="s">
        <v>78</v>
      </c>
      <c r="C10" s="5" t="n">
        <v>358</v>
      </c>
      <c r="D10" s="5"/>
      <c r="E10" s="5"/>
      <c r="F10" s="5" t="s">
        <v>50</v>
      </c>
      <c r="G10" s="7" t="s">
        <v>42</v>
      </c>
      <c r="H10" s="6" t="s">
        <v>79</v>
      </c>
      <c r="I10" s="5" t="s">
        <v>64</v>
      </c>
      <c r="J10" s="5" t="s">
        <v>45</v>
      </c>
      <c r="K10" s="6" t="s">
        <v>80</v>
      </c>
      <c r="L10" s="5" t="s">
        <v>56</v>
      </c>
    </row>
    <row r="11" customFormat="false" ht="23.85" hidden="false" customHeight="false" outlineLevel="0" collapsed="false">
      <c r="A11" s="5" t="s">
        <v>81</v>
      </c>
      <c r="B11" s="6" t="s">
        <v>82</v>
      </c>
      <c r="C11" s="5" t="n">
        <v>179</v>
      </c>
      <c r="D11" s="5"/>
      <c r="E11" s="5"/>
      <c r="F11" s="5" t="s">
        <v>50</v>
      </c>
      <c r="G11" s="7" t="s">
        <v>42</v>
      </c>
      <c r="H11" s="6" t="s">
        <v>83</v>
      </c>
      <c r="I11" s="5" t="s">
        <v>64</v>
      </c>
      <c r="J11" s="5" t="s">
        <v>84</v>
      </c>
      <c r="K11" s="6" t="s">
        <v>85</v>
      </c>
      <c r="L11" s="5" t="s">
        <v>56</v>
      </c>
    </row>
    <row r="12" customFormat="false" ht="23.85" hidden="false" customHeight="false" outlineLevel="0" collapsed="false">
      <c r="A12" s="5" t="s">
        <v>86</v>
      </c>
      <c r="B12" s="6" t="s">
        <v>87</v>
      </c>
      <c r="C12" s="5" t="n">
        <v>82</v>
      </c>
      <c r="D12" s="5"/>
      <c r="E12" s="5"/>
      <c r="F12" s="5" t="s">
        <v>50</v>
      </c>
      <c r="G12" s="7" t="s">
        <v>42</v>
      </c>
      <c r="H12" s="6" t="s">
        <v>83</v>
      </c>
      <c r="I12" s="5" t="s">
        <v>64</v>
      </c>
      <c r="J12" s="5" t="s">
        <v>88</v>
      </c>
      <c r="K12" s="6" t="s">
        <v>85</v>
      </c>
      <c r="L12" s="5" t="s">
        <v>56</v>
      </c>
    </row>
    <row r="13" customFormat="false" ht="23.85" hidden="false" customHeight="false" outlineLevel="0" collapsed="false">
      <c r="A13" s="5" t="s">
        <v>89</v>
      </c>
      <c r="B13" s="6" t="s">
        <v>90</v>
      </c>
      <c r="C13" s="5" t="n">
        <v>3616</v>
      </c>
      <c r="D13" s="5"/>
      <c r="E13" s="5"/>
      <c r="F13" s="5" t="s">
        <v>50</v>
      </c>
      <c r="G13" s="7" t="s">
        <v>42</v>
      </c>
      <c r="H13" s="6" t="s">
        <v>91</v>
      </c>
      <c r="I13" s="5" t="s">
        <v>64</v>
      </c>
      <c r="J13" s="5" t="s">
        <v>65</v>
      </c>
      <c r="K13" s="6" t="s">
        <v>92</v>
      </c>
      <c r="L13" s="5" t="s">
        <v>56</v>
      </c>
    </row>
    <row r="14" customFormat="false" ht="35.05" hidden="false" customHeight="false" outlineLevel="0" collapsed="false">
      <c r="A14" s="5" t="s">
        <v>93</v>
      </c>
      <c r="B14" s="6" t="s">
        <v>94</v>
      </c>
      <c r="C14" s="5" t="n">
        <v>3</v>
      </c>
      <c r="D14" s="5"/>
      <c r="E14" s="5"/>
      <c r="F14" s="5" t="s">
        <v>95</v>
      </c>
      <c r="G14" s="7" t="s">
        <v>42</v>
      </c>
      <c r="H14" s="6" t="s">
        <v>96</v>
      </c>
      <c r="I14" s="5" t="s">
        <v>64</v>
      </c>
      <c r="J14" s="5" t="s">
        <v>45</v>
      </c>
      <c r="K14" s="6" t="s">
        <v>97</v>
      </c>
      <c r="L14" s="5" t="s">
        <v>67</v>
      </c>
    </row>
    <row r="15" customFormat="false" ht="35.05" hidden="false" customHeight="false" outlineLevel="0" collapsed="false">
      <c r="A15" s="5" t="s">
        <v>98</v>
      </c>
      <c r="B15" s="6" t="s">
        <v>99</v>
      </c>
      <c r="C15" s="5"/>
      <c r="D15" s="5"/>
      <c r="E15" s="5"/>
      <c r="F15" s="5" t="s">
        <v>74</v>
      </c>
      <c r="G15" s="7" t="s">
        <v>42</v>
      </c>
      <c r="H15" s="6" t="s">
        <v>100</v>
      </c>
      <c r="I15" s="5" t="s">
        <v>64</v>
      </c>
      <c r="J15" s="5" t="s">
        <v>45</v>
      </c>
      <c r="K15" s="6" t="s">
        <v>101</v>
      </c>
      <c r="L15" s="5" t="s">
        <v>56</v>
      </c>
    </row>
    <row r="16" customFormat="false" ht="46.25" hidden="false" customHeight="false" outlineLevel="0" collapsed="false">
      <c r="A16" s="5" t="s">
        <v>102</v>
      </c>
      <c r="B16" s="6" t="s">
        <v>103</v>
      </c>
      <c r="C16" s="5"/>
      <c r="D16" s="5"/>
      <c r="E16" s="5"/>
      <c r="F16" s="5" t="s">
        <v>74</v>
      </c>
      <c r="G16" s="7" t="s">
        <v>42</v>
      </c>
      <c r="H16" s="6" t="s">
        <v>104</v>
      </c>
      <c r="I16" s="5" t="s">
        <v>64</v>
      </c>
      <c r="J16" s="5" t="s">
        <v>45</v>
      </c>
      <c r="K16" s="6" t="s">
        <v>105</v>
      </c>
      <c r="L16" s="5" t="s">
        <v>67</v>
      </c>
    </row>
    <row r="17" customFormat="false" ht="46.25" hidden="false" customHeight="false" outlineLevel="0" collapsed="false">
      <c r="A17" s="5" t="s">
        <v>106</v>
      </c>
      <c r="B17" s="6" t="s">
        <v>107</v>
      </c>
      <c r="C17" s="5" t="n">
        <v>1.16</v>
      </c>
      <c r="D17" s="5"/>
      <c r="E17" s="5"/>
      <c r="F17" s="5" t="s">
        <v>108</v>
      </c>
      <c r="G17" s="7" t="s">
        <v>42</v>
      </c>
      <c r="H17" s="6" t="s">
        <v>109</v>
      </c>
      <c r="I17" s="5" t="s">
        <v>110</v>
      </c>
      <c r="J17" s="5" t="s">
        <v>111</v>
      </c>
      <c r="K17" s="6" t="s">
        <v>112</v>
      </c>
      <c r="L17" s="5" t="s">
        <v>113</v>
      </c>
    </row>
    <row r="18" customFormat="false" ht="46.25" hidden="false" customHeight="false" outlineLevel="0" collapsed="false">
      <c r="A18" s="5" t="s">
        <v>114</v>
      </c>
      <c r="B18" s="6" t="s">
        <v>115</v>
      </c>
      <c r="C18" s="5" t="n">
        <v>0.87</v>
      </c>
      <c r="D18" s="5"/>
      <c r="E18" s="5"/>
      <c r="F18" s="5" t="s">
        <v>108</v>
      </c>
      <c r="G18" s="7" t="s">
        <v>42</v>
      </c>
      <c r="H18" s="6" t="s">
        <v>109</v>
      </c>
      <c r="I18" s="5" t="s">
        <v>110</v>
      </c>
      <c r="J18" s="5" t="s">
        <v>111</v>
      </c>
      <c r="K18" s="6" t="s">
        <v>116</v>
      </c>
      <c r="L18" s="5" t="s">
        <v>113</v>
      </c>
    </row>
    <row r="19" customFormat="false" ht="46.25" hidden="false" customHeight="false" outlineLevel="0" collapsed="false">
      <c r="A19" s="5" t="s">
        <v>117</v>
      </c>
      <c r="B19" s="6" t="s">
        <v>118</v>
      </c>
      <c r="C19" s="5" t="n">
        <v>11</v>
      </c>
      <c r="D19" s="5"/>
      <c r="E19" s="5"/>
      <c r="F19" s="5" t="s">
        <v>119</v>
      </c>
      <c r="G19" s="7" t="s">
        <v>42</v>
      </c>
      <c r="H19" s="6" t="s">
        <v>120</v>
      </c>
      <c r="I19" s="5" t="s">
        <v>121</v>
      </c>
      <c r="J19" s="5" t="s">
        <v>122</v>
      </c>
      <c r="K19" s="6" t="s">
        <v>123</v>
      </c>
      <c r="L19" s="5" t="s">
        <v>113</v>
      </c>
    </row>
    <row r="20" customFormat="false" ht="46.25" hidden="false" customHeight="false" outlineLevel="0" collapsed="false">
      <c r="A20" s="5" t="s">
        <v>124</v>
      </c>
      <c r="B20" s="6" t="s">
        <v>125</v>
      </c>
      <c r="C20" s="5" t="n">
        <v>80</v>
      </c>
      <c r="D20" s="5"/>
      <c r="E20" s="5"/>
      <c r="F20" s="5" t="s">
        <v>126</v>
      </c>
      <c r="G20" s="7" t="s">
        <v>42</v>
      </c>
      <c r="H20" s="6" t="s">
        <v>127</v>
      </c>
      <c r="I20" s="5" t="s">
        <v>128</v>
      </c>
      <c r="J20" s="5" t="s">
        <v>129</v>
      </c>
      <c r="K20" s="6" t="s">
        <v>130</v>
      </c>
      <c r="L20" s="5" t="s">
        <v>113</v>
      </c>
    </row>
    <row r="21" customFormat="false" ht="23.85" hidden="false" customHeight="false" outlineLevel="0" collapsed="false">
      <c r="A21" s="5" t="s">
        <v>131</v>
      </c>
      <c r="B21" s="6" t="s">
        <v>132</v>
      </c>
      <c r="C21" s="5" t="n">
        <v>72</v>
      </c>
      <c r="D21" s="5"/>
      <c r="E21" s="5"/>
      <c r="F21" s="5" t="s">
        <v>126</v>
      </c>
      <c r="G21" s="7" t="s">
        <v>42</v>
      </c>
      <c r="H21" s="6" t="s">
        <v>127</v>
      </c>
      <c r="I21" s="5" t="s">
        <v>128</v>
      </c>
      <c r="J21" s="5" t="s">
        <v>129</v>
      </c>
      <c r="K21" s="6" t="s">
        <v>133</v>
      </c>
      <c r="L21" s="5" t="s">
        <v>113</v>
      </c>
    </row>
    <row r="22" customFormat="false" ht="57.45" hidden="false" customHeight="false" outlineLevel="0" collapsed="false">
      <c r="A22" s="5" t="s">
        <v>134</v>
      </c>
      <c r="B22" s="6" t="s">
        <v>135</v>
      </c>
      <c r="C22" s="5" t="n">
        <v>2024.63</v>
      </c>
      <c r="D22" s="5"/>
      <c r="E22" s="5"/>
      <c r="F22" s="5" t="s">
        <v>136</v>
      </c>
      <c r="G22" s="7" t="s">
        <v>42</v>
      </c>
      <c r="H22" s="6" t="s">
        <v>137</v>
      </c>
      <c r="I22" s="5" t="s">
        <v>138</v>
      </c>
      <c r="J22" s="5" t="s">
        <v>139</v>
      </c>
      <c r="K22" s="6" t="s">
        <v>140</v>
      </c>
      <c r="L22" s="5" t="s">
        <v>113</v>
      </c>
    </row>
    <row r="23" customFormat="false" ht="35.05" hidden="false" customHeight="false" outlineLevel="0" collapsed="false">
      <c r="A23" s="5" t="s">
        <v>141</v>
      </c>
      <c r="B23" s="6" t="s">
        <v>142</v>
      </c>
      <c r="C23" s="5" t="n">
        <v>2027.13</v>
      </c>
      <c r="D23" s="5"/>
      <c r="E23" s="5"/>
      <c r="F23" s="5" t="s">
        <v>136</v>
      </c>
      <c r="G23" s="7" t="s">
        <v>42</v>
      </c>
      <c r="H23" s="6" t="s">
        <v>143</v>
      </c>
      <c r="I23" s="5" t="s">
        <v>138</v>
      </c>
      <c r="J23" s="5" t="s">
        <v>139</v>
      </c>
      <c r="K23" s="6" t="s">
        <v>144</v>
      </c>
      <c r="L23" s="5" t="s">
        <v>113</v>
      </c>
    </row>
    <row r="24" customFormat="false" ht="46.25" hidden="false" customHeight="false" outlineLevel="0" collapsed="false">
      <c r="A24" s="5" t="s">
        <v>145</v>
      </c>
      <c r="B24" s="6" t="s">
        <v>146</v>
      </c>
      <c r="C24" s="5" t="n">
        <v>2.3</v>
      </c>
      <c r="D24" s="5"/>
      <c r="E24" s="5"/>
      <c r="F24" s="5" t="s">
        <v>147</v>
      </c>
      <c r="G24" s="7" t="s">
        <v>42</v>
      </c>
      <c r="H24" s="6" t="s">
        <v>148</v>
      </c>
      <c r="I24" s="5" t="s">
        <v>149</v>
      </c>
      <c r="J24" s="5" t="s">
        <v>150</v>
      </c>
      <c r="K24" s="6" t="s">
        <v>151</v>
      </c>
      <c r="L24" s="5" t="s">
        <v>113</v>
      </c>
    </row>
    <row r="25" customFormat="false" ht="57.45" hidden="false" customHeight="false" outlineLevel="0" collapsed="false">
      <c r="A25" s="5" t="s">
        <v>152</v>
      </c>
      <c r="B25" s="6" t="s">
        <v>153</v>
      </c>
      <c r="C25" s="5"/>
      <c r="D25" s="5"/>
      <c r="E25" s="5"/>
      <c r="F25" s="5" t="s">
        <v>74</v>
      </c>
      <c r="G25" s="7" t="s">
        <v>42</v>
      </c>
      <c r="H25" s="6" t="s">
        <v>154</v>
      </c>
      <c r="I25" s="5" t="s">
        <v>64</v>
      </c>
      <c r="J25" s="5" t="s">
        <v>45</v>
      </c>
      <c r="K25" s="6" t="s">
        <v>155</v>
      </c>
      <c r="L25" s="5" t="s">
        <v>52</v>
      </c>
    </row>
    <row r="26" customFormat="false" ht="35.05" hidden="false" customHeight="false" outlineLevel="0" collapsed="false">
      <c r="A26" s="5" t="s">
        <v>156</v>
      </c>
      <c r="B26" s="6" t="s">
        <v>157</v>
      </c>
      <c r="C26" s="5" t="n">
        <v>26.6</v>
      </c>
      <c r="D26" s="5"/>
      <c r="E26" s="5"/>
      <c r="F26" s="5" t="s">
        <v>119</v>
      </c>
      <c r="G26" s="7" t="s">
        <v>42</v>
      </c>
      <c r="H26" s="6" t="s">
        <v>158</v>
      </c>
      <c r="I26" s="5" t="s">
        <v>159</v>
      </c>
      <c r="J26" s="5" t="s">
        <v>160</v>
      </c>
      <c r="K26" s="6" t="s">
        <v>161</v>
      </c>
      <c r="L26" s="5" t="s">
        <v>67</v>
      </c>
    </row>
    <row r="27" customFormat="false" ht="23.85" hidden="false" customHeight="false" outlineLevel="0" collapsed="false">
      <c r="A27" s="5" t="s">
        <v>162</v>
      </c>
      <c r="B27" s="6" t="s">
        <v>163</v>
      </c>
      <c r="C27" s="5" t="n">
        <v>30</v>
      </c>
      <c r="D27" s="5" t="n">
        <v>30</v>
      </c>
      <c r="E27" s="5" t="n">
        <v>40</v>
      </c>
      <c r="F27" s="5" t="s">
        <v>119</v>
      </c>
      <c r="G27" s="7" t="s">
        <v>42</v>
      </c>
      <c r="H27" s="6" t="s">
        <v>164</v>
      </c>
      <c r="I27" s="5" t="s">
        <v>165</v>
      </c>
      <c r="J27" s="5" t="s">
        <v>166</v>
      </c>
      <c r="K27" s="6" t="s">
        <v>167</v>
      </c>
      <c r="L27" s="5" t="s">
        <v>52</v>
      </c>
    </row>
    <row r="28" customFormat="false" ht="46.25" hidden="false" customHeight="false" outlineLevel="0" collapsed="false">
      <c r="A28" s="5" t="s">
        <v>168</v>
      </c>
      <c r="B28" s="6" t="s">
        <v>169</v>
      </c>
      <c r="C28" s="5" t="n">
        <v>-9.2</v>
      </c>
      <c r="D28" s="5" t="n">
        <v>-10</v>
      </c>
      <c r="E28" s="5" t="n">
        <v>-7.9</v>
      </c>
      <c r="F28" s="5" t="s">
        <v>119</v>
      </c>
      <c r="G28" s="8" t="s">
        <v>170</v>
      </c>
      <c r="H28" s="6" t="s">
        <v>171</v>
      </c>
      <c r="I28" s="5"/>
      <c r="J28" s="5" t="s">
        <v>172</v>
      </c>
      <c r="K28" s="6" t="s">
        <v>173</v>
      </c>
      <c r="L28" s="5" t="s">
        <v>174</v>
      </c>
    </row>
    <row r="29" customFormat="false" ht="35.05" hidden="false" customHeight="false" outlineLevel="0" collapsed="false">
      <c r="A29" s="5" t="s">
        <v>175</v>
      </c>
      <c r="B29" s="6" t="s">
        <v>176</v>
      </c>
      <c r="C29" s="5" t="n">
        <v>-12</v>
      </c>
      <c r="D29" s="5"/>
      <c r="E29" s="5"/>
      <c r="F29" s="5" t="s">
        <v>119</v>
      </c>
      <c r="G29" s="8" t="s">
        <v>170</v>
      </c>
      <c r="H29" s="6" t="s">
        <v>177</v>
      </c>
      <c r="I29" s="5"/>
      <c r="J29" s="5" t="s">
        <v>172</v>
      </c>
      <c r="K29" s="6" t="s">
        <v>178</v>
      </c>
      <c r="L29" s="5" t="s">
        <v>56</v>
      </c>
    </row>
    <row r="30" customFormat="false" ht="23.85" hidden="false" customHeight="false" outlineLevel="0" collapsed="false">
      <c r="A30" s="5" t="s">
        <v>179</v>
      </c>
      <c r="B30" s="6" t="s">
        <v>180</v>
      </c>
      <c r="C30" s="5" t="n">
        <v>-13.3</v>
      </c>
      <c r="D30" s="5"/>
      <c r="E30" s="5"/>
      <c r="F30" s="5" t="s">
        <v>119</v>
      </c>
      <c r="G30" s="8" t="s">
        <v>170</v>
      </c>
      <c r="H30" s="6" t="s">
        <v>181</v>
      </c>
      <c r="I30" s="5"/>
      <c r="J30" s="5" t="s">
        <v>172</v>
      </c>
      <c r="K30" s="6" t="s">
        <v>182</v>
      </c>
      <c r="L30" s="5" t="s">
        <v>67</v>
      </c>
    </row>
    <row r="31" customFormat="false" ht="23.85" hidden="false" customHeight="false" outlineLevel="0" collapsed="false">
      <c r="A31" s="5" t="s">
        <v>183</v>
      </c>
      <c r="B31" s="6" t="s">
        <v>184</v>
      </c>
      <c r="C31" s="5" t="n">
        <v>-4.9</v>
      </c>
      <c r="D31" s="5"/>
      <c r="E31" s="5"/>
      <c r="F31" s="5" t="s">
        <v>119</v>
      </c>
      <c r="G31" s="8" t="s">
        <v>170</v>
      </c>
      <c r="H31" s="6" t="s">
        <v>185</v>
      </c>
      <c r="I31" s="5"/>
      <c r="J31" s="5" t="s">
        <v>172</v>
      </c>
      <c r="K31" s="6" t="s">
        <v>186</v>
      </c>
      <c r="L31" s="5" t="s">
        <v>67</v>
      </c>
    </row>
    <row r="32" customFormat="false" ht="23.85" hidden="false" customHeight="false" outlineLevel="0" collapsed="false">
      <c r="A32" s="5" t="s">
        <v>187</v>
      </c>
      <c r="B32" s="6" t="s">
        <v>188</v>
      </c>
      <c r="C32" s="5" t="n">
        <v>-10.4</v>
      </c>
      <c r="D32" s="5"/>
      <c r="E32" s="5"/>
      <c r="F32" s="5" t="s">
        <v>119</v>
      </c>
      <c r="G32" s="8" t="s">
        <v>170</v>
      </c>
      <c r="H32" s="6" t="s">
        <v>189</v>
      </c>
      <c r="I32" s="5"/>
      <c r="J32" s="5" t="s">
        <v>172</v>
      </c>
      <c r="K32" s="6" t="s">
        <v>190</v>
      </c>
      <c r="L32" s="5" t="s">
        <v>191</v>
      </c>
    </row>
    <row r="33" customFormat="false" ht="23.85" hidden="false" customHeight="false" outlineLevel="0" collapsed="false">
      <c r="A33" s="5" t="s">
        <v>192</v>
      </c>
      <c r="B33" s="6" t="s">
        <v>193</v>
      </c>
      <c r="C33" s="5" t="n">
        <v>-13.2</v>
      </c>
      <c r="D33" s="5"/>
      <c r="E33" s="5"/>
      <c r="F33" s="5" t="s">
        <v>119</v>
      </c>
      <c r="G33" s="8" t="s">
        <v>170</v>
      </c>
      <c r="H33" s="6" t="s">
        <v>194</v>
      </c>
      <c r="I33" s="5"/>
      <c r="J33" s="5" t="s">
        <v>172</v>
      </c>
      <c r="K33" s="6" t="s">
        <v>195</v>
      </c>
      <c r="L33" s="5" t="s">
        <v>67</v>
      </c>
    </row>
    <row r="34" customFormat="false" ht="23.85" hidden="false" customHeight="false" outlineLevel="0" collapsed="false">
      <c r="A34" s="5" t="s">
        <v>196</v>
      </c>
      <c r="B34" s="6" t="s">
        <v>197</v>
      </c>
      <c r="C34" s="5" t="n">
        <v>-11.7</v>
      </c>
      <c r="D34" s="5"/>
      <c r="E34" s="5"/>
      <c r="F34" s="5" t="s">
        <v>119</v>
      </c>
      <c r="G34" s="8" t="s">
        <v>170</v>
      </c>
      <c r="H34" s="6" t="s">
        <v>194</v>
      </c>
      <c r="I34" s="5"/>
      <c r="J34" s="5" t="s">
        <v>172</v>
      </c>
      <c r="K34" s="6" t="s">
        <v>198</v>
      </c>
      <c r="L34" s="5" t="s">
        <v>67</v>
      </c>
    </row>
    <row r="35" customFormat="false" ht="46.25" hidden="false" customHeight="false" outlineLevel="0" collapsed="false">
      <c r="A35" s="5" t="s">
        <v>199</v>
      </c>
      <c r="B35" s="6" t="s">
        <v>200</v>
      </c>
      <c r="C35" s="5" t="n">
        <v>0.958</v>
      </c>
      <c r="D35" s="5"/>
      <c r="E35" s="5"/>
      <c r="F35" s="5" t="s">
        <v>201</v>
      </c>
      <c r="G35" s="8" t="s">
        <v>170</v>
      </c>
      <c r="H35" s="6" t="s">
        <v>194</v>
      </c>
      <c r="I35" s="5"/>
      <c r="J35" s="5" t="s">
        <v>172</v>
      </c>
      <c r="K35" s="6" t="s">
        <v>202</v>
      </c>
      <c r="L35" s="5" t="s">
        <v>56</v>
      </c>
    </row>
    <row r="36" customFormat="false" ht="23.85" hidden="false" customHeight="false" outlineLevel="0" collapsed="false">
      <c r="A36" s="5" t="s">
        <v>203</v>
      </c>
      <c r="B36" s="6" t="s">
        <v>204</v>
      </c>
      <c r="C36" s="5" t="n">
        <v>75</v>
      </c>
      <c r="D36" s="5"/>
      <c r="E36" s="5"/>
      <c r="F36" s="5" t="s">
        <v>205</v>
      </c>
      <c r="G36" s="8" t="s">
        <v>170</v>
      </c>
      <c r="H36" s="6" t="s">
        <v>206</v>
      </c>
      <c r="I36" s="5"/>
      <c r="J36" s="5" t="s">
        <v>172</v>
      </c>
      <c r="K36" s="6" t="s">
        <v>207</v>
      </c>
      <c r="L36" s="5" t="s">
        <v>67</v>
      </c>
    </row>
    <row r="37" customFormat="false" ht="46.25" hidden="false" customHeight="false" outlineLevel="0" collapsed="false">
      <c r="A37" s="5" t="s">
        <v>208</v>
      </c>
      <c r="B37" s="6" t="s">
        <v>209</v>
      </c>
      <c r="C37" s="5" t="n">
        <v>66</v>
      </c>
      <c r="D37" s="5"/>
      <c r="E37" s="5"/>
      <c r="F37" s="5" t="s">
        <v>205</v>
      </c>
      <c r="G37" s="8" t="s">
        <v>170</v>
      </c>
      <c r="H37" s="6" t="s">
        <v>210</v>
      </c>
      <c r="I37" s="5"/>
      <c r="J37" s="5" t="s">
        <v>172</v>
      </c>
      <c r="K37" s="6" t="s">
        <v>211</v>
      </c>
      <c r="L37" s="5" t="s">
        <v>191</v>
      </c>
    </row>
    <row r="38" customFormat="false" ht="35.05" hidden="false" customHeight="false" outlineLevel="0" collapsed="false">
      <c r="A38" s="5" t="s">
        <v>212</v>
      </c>
      <c r="B38" s="6" t="s">
        <v>213</v>
      </c>
      <c r="C38" s="5" t="n">
        <v>90</v>
      </c>
      <c r="D38" s="5"/>
      <c r="E38" s="5"/>
      <c r="F38" s="5" t="s">
        <v>205</v>
      </c>
      <c r="G38" s="8" t="s">
        <v>170</v>
      </c>
      <c r="H38" s="6" t="s">
        <v>210</v>
      </c>
      <c r="I38" s="5"/>
      <c r="J38" s="5" t="s">
        <v>172</v>
      </c>
      <c r="K38" s="6" t="s">
        <v>214</v>
      </c>
      <c r="L38" s="5" t="s">
        <v>56</v>
      </c>
    </row>
    <row r="39" customFormat="false" ht="23.85" hidden="false" customHeight="false" outlineLevel="0" collapsed="false">
      <c r="A39" s="5" t="s">
        <v>215</v>
      </c>
      <c r="B39" s="6" t="s">
        <v>216</v>
      </c>
      <c r="C39" s="5" t="n">
        <v>60</v>
      </c>
      <c r="D39" s="5"/>
      <c r="E39" s="5"/>
      <c r="F39" s="5" t="s">
        <v>205</v>
      </c>
      <c r="G39" s="8" t="s">
        <v>170</v>
      </c>
      <c r="H39" s="6" t="s">
        <v>210</v>
      </c>
      <c r="I39" s="5"/>
      <c r="J39" s="5" t="s">
        <v>217</v>
      </c>
      <c r="K39" s="6" t="s">
        <v>218</v>
      </c>
      <c r="L39" s="5" t="s">
        <v>56</v>
      </c>
    </row>
    <row r="40" customFormat="false" ht="15" hidden="false" customHeight="false" outlineLevel="0" collapsed="false">
      <c r="A40" s="5" t="s">
        <v>219</v>
      </c>
      <c r="B40" s="6" t="s">
        <v>220</v>
      </c>
      <c r="C40" s="5" t="n">
        <v>68</v>
      </c>
      <c r="D40" s="5"/>
      <c r="E40" s="5"/>
      <c r="F40" s="5" t="s">
        <v>205</v>
      </c>
      <c r="G40" s="8" t="s">
        <v>170</v>
      </c>
      <c r="H40" s="6" t="s">
        <v>210</v>
      </c>
      <c r="I40" s="5"/>
      <c r="J40" s="5" t="s">
        <v>172</v>
      </c>
      <c r="K40" s="6" t="s">
        <v>221</v>
      </c>
      <c r="L40" s="5" t="s">
        <v>56</v>
      </c>
    </row>
    <row r="41" customFormat="false" ht="15" hidden="false" customHeight="false" outlineLevel="0" collapsed="false">
      <c r="A41" s="5" t="s">
        <v>222</v>
      </c>
      <c r="B41" s="6" t="s">
        <v>223</v>
      </c>
      <c r="C41" s="5" t="n">
        <v>91</v>
      </c>
      <c r="D41" s="5"/>
      <c r="E41" s="5"/>
      <c r="F41" s="5" t="s">
        <v>205</v>
      </c>
      <c r="G41" s="8" t="s">
        <v>170</v>
      </c>
      <c r="H41" s="6" t="s">
        <v>210</v>
      </c>
      <c r="I41" s="5"/>
      <c r="J41" s="5" t="s">
        <v>172</v>
      </c>
      <c r="K41" s="6" t="s">
        <v>224</v>
      </c>
      <c r="L41" s="5" t="s">
        <v>191</v>
      </c>
    </row>
    <row r="42" customFormat="false" ht="15" hidden="false" customHeight="false" outlineLevel="0" collapsed="false">
      <c r="A42" s="5" t="s">
        <v>225</v>
      </c>
      <c r="B42" s="6" t="s">
        <v>226</v>
      </c>
      <c r="C42" s="5" t="n">
        <v>78</v>
      </c>
      <c r="D42" s="5"/>
      <c r="E42" s="5"/>
      <c r="F42" s="5" t="s">
        <v>205</v>
      </c>
      <c r="G42" s="8" t="s">
        <v>170</v>
      </c>
      <c r="H42" s="6" t="s">
        <v>210</v>
      </c>
      <c r="I42" s="5"/>
      <c r="J42" s="5" t="s">
        <v>172</v>
      </c>
      <c r="K42" s="6" t="s">
        <v>224</v>
      </c>
      <c r="L42" s="5" t="s">
        <v>191</v>
      </c>
    </row>
    <row r="43" customFormat="false" ht="15" hidden="false" customHeight="false" outlineLevel="0" collapsed="false">
      <c r="A43" s="5" t="s">
        <v>227</v>
      </c>
      <c r="B43" s="6" t="s">
        <v>228</v>
      </c>
      <c r="C43" s="5" t="n">
        <v>59</v>
      </c>
      <c r="D43" s="5"/>
      <c r="E43" s="5"/>
      <c r="F43" s="5" t="s">
        <v>205</v>
      </c>
      <c r="G43" s="8" t="s">
        <v>170</v>
      </c>
      <c r="H43" s="6" t="s">
        <v>210</v>
      </c>
      <c r="I43" s="5"/>
      <c r="J43" s="5" t="s">
        <v>172</v>
      </c>
      <c r="K43" s="6" t="s">
        <v>224</v>
      </c>
      <c r="L43" s="5" t="s">
        <v>191</v>
      </c>
    </row>
    <row r="44" customFormat="false" ht="15" hidden="false" customHeight="false" outlineLevel="0" collapsed="false">
      <c r="A44" s="5" t="s">
        <v>229</v>
      </c>
      <c r="B44" s="6" t="s">
        <v>230</v>
      </c>
      <c r="C44" s="5" t="n">
        <v>52</v>
      </c>
      <c r="D44" s="5"/>
      <c r="E44" s="5"/>
      <c r="F44" s="5" t="s">
        <v>205</v>
      </c>
      <c r="G44" s="8" t="s">
        <v>170</v>
      </c>
      <c r="H44" s="6" t="s">
        <v>210</v>
      </c>
      <c r="I44" s="5"/>
      <c r="J44" s="5" t="s">
        <v>172</v>
      </c>
      <c r="K44" s="6" t="s">
        <v>224</v>
      </c>
      <c r="L44" s="5" t="s">
        <v>191</v>
      </c>
    </row>
    <row r="45" customFormat="false" ht="23.85" hidden="false" customHeight="false" outlineLevel="0" collapsed="false">
      <c r="A45" s="5" t="s">
        <v>231</v>
      </c>
      <c r="B45" s="6" t="s">
        <v>232</v>
      </c>
      <c r="C45" s="5" t="n">
        <v>-10</v>
      </c>
      <c r="D45" s="5"/>
      <c r="E45" s="5"/>
      <c r="F45" s="5" t="s">
        <v>119</v>
      </c>
      <c r="G45" s="8" t="s">
        <v>170</v>
      </c>
      <c r="H45" s="6" t="s">
        <v>233</v>
      </c>
      <c r="I45" s="5"/>
      <c r="J45" s="5" t="s">
        <v>172</v>
      </c>
      <c r="K45" s="6" t="s">
        <v>234</v>
      </c>
      <c r="L45" s="5" t="s">
        <v>67</v>
      </c>
    </row>
    <row r="46" customFormat="false" ht="23.85" hidden="false" customHeight="false" outlineLevel="0" collapsed="false">
      <c r="A46" s="5" t="s">
        <v>235</v>
      </c>
      <c r="B46" s="6" t="s">
        <v>236</v>
      </c>
      <c r="C46" s="5" t="n">
        <v>4.2</v>
      </c>
      <c r="D46" s="5"/>
      <c r="E46" s="5"/>
      <c r="F46" s="5" t="s">
        <v>119</v>
      </c>
      <c r="G46" s="8" t="s">
        <v>170</v>
      </c>
      <c r="H46" s="6" t="s">
        <v>233</v>
      </c>
      <c r="I46" s="5"/>
      <c r="J46" s="5" t="s">
        <v>172</v>
      </c>
      <c r="K46" s="6" t="s">
        <v>237</v>
      </c>
      <c r="L46" s="5" t="s">
        <v>67</v>
      </c>
    </row>
    <row r="47" customFormat="false" ht="15" hidden="false" customHeight="false" outlineLevel="0" collapsed="false">
      <c r="A47" s="5" t="s">
        <v>238</v>
      </c>
      <c r="B47" s="6" t="s">
        <v>239</v>
      </c>
      <c r="C47" s="5" t="n">
        <v>25.3</v>
      </c>
      <c r="D47" s="5"/>
      <c r="E47" s="5"/>
      <c r="F47" s="5" t="s">
        <v>119</v>
      </c>
      <c r="G47" s="8" t="s">
        <v>170</v>
      </c>
      <c r="H47" s="6" t="s">
        <v>233</v>
      </c>
      <c r="I47" s="5"/>
      <c r="J47" s="5" t="s">
        <v>172</v>
      </c>
      <c r="K47" s="6" t="s">
        <v>237</v>
      </c>
      <c r="L47" s="5" t="s">
        <v>67</v>
      </c>
    </row>
    <row r="48" customFormat="false" ht="35.05" hidden="false" customHeight="false" outlineLevel="0" collapsed="false">
      <c r="A48" s="5" t="s">
        <v>240</v>
      </c>
      <c r="B48" s="6" t="s">
        <v>241</v>
      </c>
      <c r="C48" s="5" t="n">
        <v>-27</v>
      </c>
      <c r="D48" s="5"/>
      <c r="E48" s="5"/>
      <c r="F48" s="5" t="s">
        <v>119</v>
      </c>
      <c r="G48" s="8" t="s">
        <v>170</v>
      </c>
      <c r="H48" s="6" t="s">
        <v>233</v>
      </c>
      <c r="I48" s="5"/>
      <c r="J48" s="5" t="s">
        <v>172</v>
      </c>
      <c r="K48" s="6" t="s">
        <v>242</v>
      </c>
      <c r="L48" s="5" t="s">
        <v>67</v>
      </c>
    </row>
    <row r="49" customFormat="false" ht="35.05" hidden="false" customHeight="false" outlineLevel="0" collapsed="false">
      <c r="A49" s="5" t="s">
        <v>243</v>
      </c>
      <c r="B49" s="6" t="s">
        <v>244</v>
      </c>
      <c r="C49" s="5" t="n">
        <v>-7.7</v>
      </c>
      <c r="D49" s="5"/>
      <c r="E49" s="5"/>
      <c r="F49" s="5" t="s">
        <v>119</v>
      </c>
      <c r="G49" s="8" t="s">
        <v>170</v>
      </c>
      <c r="H49" s="6" t="s">
        <v>233</v>
      </c>
      <c r="I49" s="5"/>
      <c r="J49" s="5" t="s">
        <v>172</v>
      </c>
      <c r="K49" s="6" t="s">
        <v>245</v>
      </c>
      <c r="L49" s="5" t="s">
        <v>67</v>
      </c>
    </row>
    <row r="50" customFormat="false" ht="23.85" hidden="false" customHeight="false" outlineLevel="0" collapsed="false">
      <c r="A50" s="5" t="s">
        <v>246</v>
      </c>
      <c r="B50" s="6" t="s">
        <v>247</v>
      </c>
      <c r="C50" s="5" t="n">
        <v>-19.2</v>
      </c>
      <c r="D50" s="5"/>
      <c r="E50" s="5"/>
      <c r="F50" s="5" t="s">
        <v>119</v>
      </c>
      <c r="G50" s="8" t="s">
        <v>170</v>
      </c>
      <c r="H50" s="6" t="s">
        <v>233</v>
      </c>
      <c r="I50" s="5"/>
      <c r="J50" s="5" t="s">
        <v>172</v>
      </c>
      <c r="K50" s="6" t="s">
        <v>248</v>
      </c>
      <c r="L50" s="5" t="s">
        <v>67</v>
      </c>
    </row>
    <row r="51" customFormat="false" ht="91" hidden="false" customHeight="false" outlineLevel="0" collapsed="false">
      <c r="A51" s="5" t="s">
        <v>249</v>
      </c>
      <c r="B51" s="6" t="s">
        <v>250</v>
      </c>
      <c r="C51" s="5" t="n">
        <v>-4.5</v>
      </c>
      <c r="D51" s="5"/>
      <c r="E51" s="5"/>
      <c r="F51" s="5" t="s">
        <v>119</v>
      </c>
      <c r="G51" s="8" t="s">
        <v>170</v>
      </c>
      <c r="H51" s="6" t="s">
        <v>233</v>
      </c>
      <c r="I51" s="5"/>
      <c r="J51" s="5" t="s">
        <v>172</v>
      </c>
      <c r="K51" s="6" t="s">
        <v>251</v>
      </c>
      <c r="L51" s="5" t="s">
        <v>67</v>
      </c>
    </row>
    <row r="52" customFormat="false" ht="35.05" hidden="false" customHeight="false" outlineLevel="0" collapsed="false">
      <c r="A52" s="5" t="s">
        <v>252</v>
      </c>
      <c r="B52" s="6" t="s">
        <v>253</v>
      </c>
      <c r="C52" s="5" t="n">
        <v>-6.3</v>
      </c>
      <c r="D52" s="5"/>
      <c r="E52" s="5"/>
      <c r="F52" s="5" t="s">
        <v>119</v>
      </c>
      <c r="G52" s="8" t="s">
        <v>170</v>
      </c>
      <c r="H52" s="6" t="s">
        <v>233</v>
      </c>
      <c r="I52" s="5"/>
      <c r="J52" s="5" t="s">
        <v>172</v>
      </c>
      <c r="K52" s="6" t="s">
        <v>254</v>
      </c>
      <c r="L52" s="5" t="s">
        <v>67</v>
      </c>
    </row>
    <row r="53" customFormat="false" ht="180.55" hidden="false" customHeight="false" outlineLevel="0" collapsed="false">
      <c r="A53" s="5" t="s">
        <v>255</v>
      </c>
      <c r="B53" s="6" t="s">
        <v>256</v>
      </c>
      <c r="C53" s="5" t="n">
        <v>-1.411</v>
      </c>
      <c r="D53" s="5"/>
      <c r="E53" s="5"/>
      <c r="F53" s="5" t="s">
        <v>119</v>
      </c>
      <c r="G53" s="8" t="s">
        <v>170</v>
      </c>
      <c r="H53" s="6" t="s">
        <v>257</v>
      </c>
      <c r="I53" s="5"/>
      <c r="J53" s="5" t="s">
        <v>258</v>
      </c>
      <c r="K53" s="6" t="s">
        <v>259</v>
      </c>
      <c r="L53" s="5" t="s">
        <v>67</v>
      </c>
    </row>
    <row r="54" customFormat="false" ht="180.55" hidden="false" customHeight="false" outlineLevel="0" collapsed="false">
      <c r="A54" s="5" t="s">
        <v>260</v>
      </c>
      <c r="B54" s="6" t="s">
        <v>261</v>
      </c>
      <c r="C54" s="5" t="n">
        <v>-3.26</v>
      </c>
      <c r="D54" s="5"/>
      <c r="E54" s="5"/>
      <c r="F54" s="5" t="s">
        <v>119</v>
      </c>
      <c r="G54" s="8" t="s">
        <v>170</v>
      </c>
      <c r="H54" s="6" t="s">
        <v>257</v>
      </c>
      <c r="I54" s="5"/>
      <c r="J54" s="5" t="s">
        <v>258</v>
      </c>
      <c r="K54" s="6" t="s">
        <v>262</v>
      </c>
      <c r="L54" s="5" t="s">
        <v>67</v>
      </c>
    </row>
    <row r="55" customFormat="false" ht="79.85" hidden="false" customHeight="false" outlineLevel="0" collapsed="false">
      <c r="A55" s="5" t="s">
        <v>263</v>
      </c>
      <c r="B55" s="6" t="s">
        <v>264</v>
      </c>
      <c r="C55" s="5" t="n">
        <v>-5.87</v>
      </c>
      <c r="D55" s="5"/>
      <c r="E55" s="5"/>
      <c r="F55" s="5" t="s">
        <v>119</v>
      </c>
      <c r="G55" s="8" t="s">
        <v>170</v>
      </c>
      <c r="H55" s="6" t="s">
        <v>257</v>
      </c>
      <c r="I55" s="5"/>
      <c r="J55" s="5" t="s">
        <v>258</v>
      </c>
      <c r="K55" s="6" t="s">
        <v>265</v>
      </c>
      <c r="L55" s="5" t="s">
        <v>266</v>
      </c>
    </row>
    <row r="56" customFormat="false" ht="35.05" hidden="false" customHeight="false" outlineLevel="0" collapsed="false">
      <c r="A56" s="5" t="s">
        <v>267</v>
      </c>
      <c r="B56" s="6" t="s">
        <v>268</v>
      </c>
      <c r="C56" s="5" t="n">
        <v>-14.8</v>
      </c>
      <c r="D56" s="5"/>
      <c r="E56" s="5"/>
      <c r="F56" s="5" t="s">
        <v>119</v>
      </c>
      <c r="G56" s="8" t="s">
        <v>170</v>
      </c>
      <c r="H56" s="6" t="s">
        <v>233</v>
      </c>
      <c r="I56" s="5"/>
      <c r="J56" s="5" t="s">
        <v>172</v>
      </c>
      <c r="K56" s="6" t="s">
        <v>269</v>
      </c>
      <c r="L56" s="5" t="s">
        <v>67</v>
      </c>
    </row>
    <row r="57" customFormat="false" ht="23.85" hidden="false" customHeight="false" outlineLevel="0" collapsed="false">
      <c r="A57" s="5" t="s">
        <v>270</v>
      </c>
      <c r="B57" s="6" t="s">
        <v>271</v>
      </c>
      <c r="C57" s="5" t="n">
        <v>-1.3</v>
      </c>
      <c r="D57" s="5"/>
      <c r="E57" s="5"/>
      <c r="F57" s="5" t="s">
        <v>119</v>
      </c>
      <c r="G57" s="8" t="s">
        <v>170</v>
      </c>
      <c r="H57" s="6" t="s">
        <v>272</v>
      </c>
      <c r="I57" s="5"/>
      <c r="J57" s="5" t="s">
        <v>172</v>
      </c>
      <c r="K57" s="6" t="s">
        <v>273</v>
      </c>
      <c r="L57" s="5" t="s">
        <v>67</v>
      </c>
    </row>
    <row r="58" customFormat="false" ht="23.85" hidden="false" customHeight="false" outlineLevel="0" collapsed="false">
      <c r="A58" s="5" t="s">
        <v>274</v>
      </c>
      <c r="B58" s="6" t="s">
        <v>275</v>
      </c>
      <c r="C58" s="5" t="n">
        <v>-3</v>
      </c>
      <c r="D58" s="5"/>
      <c r="E58" s="5"/>
      <c r="F58" s="5" t="s">
        <v>119</v>
      </c>
      <c r="G58" s="8" t="s">
        <v>170</v>
      </c>
      <c r="H58" s="6" t="s">
        <v>272</v>
      </c>
      <c r="I58" s="5"/>
      <c r="J58" s="5" t="s">
        <v>172</v>
      </c>
      <c r="K58" s="6" t="s">
        <v>276</v>
      </c>
      <c r="L58" s="5" t="s">
        <v>67</v>
      </c>
    </row>
    <row r="59" customFormat="false" ht="57.45" hidden="false" customHeight="false" outlineLevel="0" collapsed="false">
      <c r="A59" s="5" t="s">
        <v>277</v>
      </c>
      <c r="B59" s="6" t="s">
        <v>278</v>
      </c>
      <c r="C59" s="5" t="n">
        <v>3.5</v>
      </c>
      <c r="D59" s="5"/>
      <c r="E59" s="5"/>
      <c r="F59" s="5" t="s">
        <v>279</v>
      </c>
      <c r="G59" s="8" t="s">
        <v>170</v>
      </c>
      <c r="H59" s="6" t="s">
        <v>280</v>
      </c>
      <c r="I59" s="5"/>
      <c r="J59" s="5" t="s">
        <v>172</v>
      </c>
      <c r="K59" s="6" t="s">
        <v>281</v>
      </c>
      <c r="L59" s="5" t="s">
        <v>56</v>
      </c>
    </row>
    <row r="60" customFormat="false" ht="57.45" hidden="false" customHeight="false" outlineLevel="0" collapsed="false">
      <c r="A60" s="5" t="s">
        <v>282</v>
      </c>
      <c r="B60" s="6" t="s">
        <v>283</v>
      </c>
      <c r="C60" s="5" t="n">
        <v>20.1</v>
      </c>
      <c r="D60" s="5"/>
      <c r="E60" s="5"/>
      <c r="F60" s="5" t="s">
        <v>279</v>
      </c>
      <c r="G60" s="8" t="s">
        <v>170</v>
      </c>
      <c r="H60" s="6" t="s">
        <v>280</v>
      </c>
      <c r="I60" s="5"/>
      <c r="J60" s="5" t="s">
        <v>172</v>
      </c>
      <c r="K60" s="6" t="s">
        <v>284</v>
      </c>
      <c r="L60" s="5" t="s">
        <v>56</v>
      </c>
    </row>
    <row r="61" customFormat="false" ht="46.25" hidden="false" customHeight="false" outlineLevel="0" collapsed="false">
      <c r="A61" s="5" t="s">
        <v>285</v>
      </c>
      <c r="B61" s="6" t="s">
        <v>286</v>
      </c>
      <c r="C61" s="5" t="n">
        <v>2.4</v>
      </c>
      <c r="D61" s="5"/>
      <c r="E61" s="5"/>
      <c r="F61" s="5" t="s">
        <v>279</v>
      </c>
      <c r="G61" s="8" t="s">
        <v>170</v>
      </c>
      <c r="H61" s="6" t="s">
        <v>280</v>
      </c>
      <c r="I61" s="5"/>
      <c r="J61" s="5" t="s">
        <v>172</v>
      </c>
      <c r="K61" s="6" t="s">
        <v>287</v>
      </c>
      <c r="L61" s="5" t="s">
        <v>67</v>
      </c>
    </row>
    <row r="62" customFormat="false" ht="46.25" hidden="false" customHeight="false" outlineLevel="0" collapsed="false">
      <c r="A62" s="5" t="s">
        <v>288</v>
      </c>
      <c r="B62" s="6" t="s">
        <v>289</v>
      </c>
      <c r="C62" s="5" t="n">
        <v>12.6</v>
      </c>
      <c r="D62" s="5"/>
      <c r="E62" s="5"/>
      <c r="F62" s="5" t="s">
        <v>279</v>
      </c>
      <c r="G62" s="8" t="s">
        <v>170</v>
      </c>
      <c r="H62" s="6" t="s">
        <v>280</v>
      </c>
      <c r="I62" s="5"/>
      <c r="J62" s="5" t="s">
        <v>172</v>
      </c>
      <c r="K62" s="6" t="s">
        <v>290</v>
      </c>
      <c r="L62" s="5" t="s">
        <v>67</v>
      </c>
    </row>
    <row r="63" customFormat="false" ht="23.85" hidden="false" customHeight="false" outlineLevel="0" collapsed="false">
      <c r="A63" s="5" t="s">
        <v>291</v>
      </c>
      <c r="B63" s="6" t="s">
        <v>292</v>
      </c>
      <c r="C63" s="5" t="n">
        <v>90.8</v>
      </c>
      <c r="D63" s="5"/>
      <c r="E63" s="5"/>
      <c r="F63" s="5" t="s">
        <v>205</v>
      </c>
      <c r="G63" s="8" t="s">
        <v>170</v>
      </c>
      <c r="H63" s="6" t="s">
        <v>293</v>
      </c>
      <c r="I63" s="5"/>
      <c r="J63" s="5" t="s">
        <v>172</v>
      </c>
      <c r="K63" s="6" t="s">
        <v>294</v>
      </c>
      <c r="L63" s="5" t="s">
        <v>67</v>
      </c>
    </row>
    <row r="64" customFormat="false" ht="23.85" hidden="false" customHeight="false" outlineLevel="0" collapsed="false">
      <c r="A64" s="5" t="s">
        <v>295</v>
      </c>
      <c r="B64" s="6" t="s">
        <v>296</v>
      </c>
      <c r="C64" s="5" t="n">
        <v>1</v>
      </c>
      <c r="D64" s="5"/>
      <c r="E64" s="5"/>
      <c r="F64" s="5" t="s">
        <v>279</v>
      </c>
      <c r="G64" s="8" t="s">
        <v>170</v>
      </c>
      <c r="H64" s="6" t="s">
        <v>297</v>
      </c>
      <c r="I64" s="5"/>
      <c r="J64" s="5" t="s">
        <v>172</v>
      </c>
      <c r="K64" s="6" t="s">
        <v>298</v>
      </c>
      <c r="L64" s="5" t="s">
        <v>67</v>
      </c>
    </row>
    <row r="65" customFormat="false" ht="23.85" hidden="false" customHeight="false" outlineLevel="0" collapsed="false">
      <c r="A65" s="5" t="s">
        <v>299</v>
      </c>
      <c r="B65" s="6" t="s">
        <v>300</v>
      </c>
      <c r="C65" s="5" t="n">
        <v>5.1</v>
      </c>
      <c r="D65" s="5"/>
      <c r="E65" s="5"/>
      <c r="F65" s="5" t="s">
        <v>279</v>
      </c>
      <c r="G65" s="8" t="s">
        <v>170</v>
      </c>
      <c r="H65" s="6" t="s">
        <v>297</v>
      </c>
      <c r="I65" s="5"/>
      <c r="J65" s="5" t="s">
        <v>172</v>
      </c>
      <c r="K65" s="6" t="s">
        <v>301</v>
      </c>
      <c r="L65" s="5" t="s">
        <v>67</v>
      </c>
    </row>
    <row r="66" customFormat="false" ht="35.05" hidden="false" customHeight="false" outlineLevel="0" collapsed="false">
      <c r="A66" s="5" t="s">
        <v>302</v>
      </c>
      <c r="B66" s="6" t="s">
        <v>303</v>
      </c>
      <c r="C66" s="5" t="n">
        <v>26.5</v>
      </c>
      <c r="D66" s="5"/>
      <c r="E66" s="5"/>
      <c r="F66" s="5" t="s">
        <v>279</v>
      </c>
      <c r="G66" s="8" t="s">
        <v>170</v>
      </c>
      <c r="H66" s="6" t="s">
        <v>280</v>
      </c>
      <c r="I66" s="5"/>
      <c r="J66" s="5" t="s">
        <v>172</v>
      </c>
      <c r="K66" s="6" t="s">
        <v>304</v>
      </c>
      <c r="L66" s="5" t="s">
        <v>56</v>
      </c>
    </row>
    <row r="67" customFormat="false" ht="46.25" hidden="false" customHeight="false" outlineLevel="0" collapsed="false">
      <c r="A67" s="5" t="s">
        <v>305</v>
      </c>
      <c r="B67" s="6" t="s">
        <v>306</v>
      </c>
      <c r="C67" s="5" t="n">
        <v>4.3</v>
      </c>
      <c r="D67" s="5"/>
      <c r="E67" s="5"/>
      <c r="F67" s="5" t="s">
        <v>119</v>
      </c>
      <c r="G67" s="8" t="s">
        <v>170</v>
      </c>
      <c r="H67" s="6" t="s">
        <v>307</v>
      </c>
      <c r="I67" s="5"/>
      <c r="J67" s="5" t="s">
        <v>172</v>
      </c>
      <c r="K67" s="6" t="s">
        <v>308</v>
      </c>
      <c r="L67" s="5" t="s">
        <v>67</v>
      </c>
    </row>
    <row r="68" customFormat="false" ht="23.85" hidden="false" customHeight="false" outlineLevel="0" collapsed="false">
      <c r="A68" s="5" t="s">
        <v>309</v>
      </c>
      <c r="B68" s="6" t="s">
        <v>310</v>
      </c>
      <c r="C68" s="5" t="n">
        <v>0.2</v>
      </c>
      <c r="D68" s="5"/>
      <c r="E68" s="5"/>
      <c r="F68" s="5" t="s">
        <v>119</v>
      </c>
      <c r="G68" s="8" t="s">
        <v>170</v>
      </c>
      <c r="H68" s="6" t="s">
        <v>307</v>
      </c>
      <c r="I68" s="5"/>
      <c r="J68" s="5" t="s">
        <v>172</v>
      </c>
      <c r="K68" s="6" t="s">
        <v>311</v>
      </c>
      <c r="L68" s="5" t="s">
        <v>67</v>
      </c>
    </row>
    <row r="69" customFormat="false" ht="23.85" hidden="false" customHeight="false" outlineLevel="0" collapsed="false">
      <c r="A69" s="5" t="s">
        <v>312</v>
      </c>
      <c r="B69" s="6" t="s">
        <v>313</v>
      </c>
      <c r="C69" s="5" t="n">
        <v>2.7</v>
      </c>
      <c r="D69" s="5"/>
      <c r="E69" s="5"/>
      <c r="F69" s="5" t="s">
        <v>119</v>
      </c>
      <c r="G69" s="8" t="s">
        <v>170</v>
      </c>
      <c r="H69" s="6" t="s">
        <v>314</v>
      </c>
      <c r="I69" s="5"/>
      <c r="J69" s="5" t="s">
        <v>172</v>
      </c>
      <c r="K69" s="6" t="s">
        <v>315</v>
      </c>
      <c r="L69" s="5" t="s">
        <v>56</v>
      </c>
    </row>
    <row r="70" customFormat="false" ht="57.45" hidden="false" customHeight="false" outlineLevel="0" collapsed="false">
      <c r="A70" s="5" t="s">
        <v>316</v>
      </c>
      <c r="B70" s="6" t="s">
        <v>317</v>
      </c>
      <c r="C70" s="5" t="n">
        <v>31.6</v>
      </c>
      <c r="D70" s="5"/>
      <c r="E70" s="5"/>
      <c r="F70" s="5" t="s">
        <v>119</v>
      </c>
      <c r="G70" s="8" t="s">
        <v>170</v>
      </c>
      <c r="H70" s="6" t="s">
        <v>314</v>
      </c>
      <c r="I70" s="5"/>
      <c r="J70" s="5" t="s">
        <v>172</v>
      </c>
      <c r="K70" s="6" t="s">
        <v>318</v>
      </c>
      <c r="L70" s="5" t="s">
        <v>56</v>
      </c>
    </row>
    <row r="71" customFormat="false" ht="46.25" hidden="false" customHeight="false" outlineLevel="0" collapsed="false">
      <c r="A71" s="5" t="s">
        <v>319</v>
      </c>
      <c r="B71" s="6" t="s">
        <v>320</v>
      </c>
      <c r="C71" s="5" t="n">
        <v>2</v>
      </c>
      <c r="D71" s="5"/>
      <c r="E71" s="5"/>
      <c r="F71" s="5" t="s">
        <v>119</v>
      </c>
      <c r="G71" s="8" t="s">
        <v>170</v>
      </c>
      <c r="H71" s="6" t="s">
        <v>314</v>
      </c>
      <c r="I71" s="5"/>
      <c r="J71" s="5" t="s">
        <v>172</v>
      </c>
      <c r="K71" s="6" t="s">
        <v>321</v>
      </c>
      <c r="L71" s="5" t="s">
        <v>56</v>
      </c>
    </row>
    <row r="72" customFormat="false" ht="23.85" hidden="false" customHeight="false" outlineLevel="0" collapsed="false">
      <c r="A72" s="5" t="s">
        <v>322</v>
      </c>
      <c r="B72" s="6" t="s">
        <v>323</v>
      </c>
      <c r="C72" s="5" t="n">
        <v>11.4</v>
      </c>
      <c r="D72" s="5"/>
      <c r="E72" s="5"/>
      <c r="F72" s="5" t="s">
        <v>119</v>
      </c>
      <c r="G72" s="8" t="s">
        <v>170</v>
      </c>
      <c r="H72" s="6" t="s">
        <v>324</v>
      </c>
      <c r="I72" s="5"/>
      <c r="J72" s="5" t="s">
        <v>172</v>
      </c>
      <c r="K72" s="6" t="s">
        <v>325</v>
      </c>
      <c r="L72" s="5" t="s">
        <v>67</v>
      </c>
    </row>
    <row r="73" customFormat="false" ht="23.85" hidden="false" customHeight="false" outlineLevel="0" collapsed="false">
      <c r="A73" s="5" t="s">
        <v>326</v>
      </c>
      <c r="B73" s="6" t="s">
        <v>327</v>
      </c>
      <c r="C73" s="5" t="n">
        <v>41.4</v>
      </c>
      <c r="D73" s="5"/>
      <c r="E73" s="5"/>
      <c r="F73" s="5" t="s">
        <v>119</v>
      </c>
      <c r="G73" s="8" t="s">
        <v>170</v>
      </c>
      <c r="H73" s="6" t="s">
        <v>328</v>
      </c>
      <c r="I73" s="5"/>
      <c r="J73" s="5" t="s">
        <v>172</v>
      </c>
      <c r="K73" s="6" t="s">
        <v>329</v>
      </c>
      <c r="L73" s="5" t="s">
        <v>67</v>
      </c>
    </row>
    <row r="74" customFormat="false" ht="23.85" hidden="false" customHeight="false" outlineLevel="0" collapsed="false">
      <c r="A74" s="5" t="s">
        <v>330</v>
      </c>
      <c r="B74" s="6" t="s">
        <v>331</v>
      </c>
      <c r="C74" s="5" t="n">
        <v>11.9</v>
      </c>
      <c r="D74" s="5"/>
      <c r="E74" s="5"/>
      <c r="F74" s="5" t="s">
        <v>119</v>
      </c>
      <c r="G74" s="8" t="s">
        <v>170</v>
      </c>
      <c r="H74" s="6" t="s">
        <v>328</v>
      </c>
      <c r="I74" s="5"/>
      <c r="J74" s="5" t="s">
        <v>172</v>
      </c>
      <c r="K74" s="6" t="s">
        <v>332</v>
      </c>
      <c r="L74" s="5" t="s">
        <v>67</v>
      </c>
    </row>
    <row r="75" customFormat="false" ht="23.85" hidden="false" customHeight="false" outlineLevel="0" collapsed="false">
      <c r="A75" s="5" t="s">
        <v>333</v>
      </c>
      <c r="B75" s="6" t="s">
        <v>334</v>
      </c>
      <c r="C75" s="5" t="n">
        <v>10.5</v>
      </c>
      <c r="D75" s="5"/>
      <c r="E75" s="5"/>
      <c r="F75" s="5" t="s">
        <v>119</v>
      </c>
      <c r="G75" s="8" t="s">
        <v>170</v>
      </c>
      <c r="H75" s="6" t="s">
        <v>328</v>
      </c>
      <c r="I75" s="5"/>
      <c r="J75" s="5" t="s">
        <v>172</v>
      </c>
      <c r="K75" s="6" t="s">
        <v>335</v>
      </c>
      <c r="L75" s="5" t="s">
        <v>67</v>
      </c>
    </row>
    <row r="76" customFormat="false" ht="35.05" hidden="false" customHeight="false" outlineLevel="0" collapsed="false">
      <c r="A76" s="5" t="s">
        <v>336</v>
      </c>
      <c r="B76" s="6" t="s">
        <v>337</v>
      </c>
      <c r="C76" s="5" t="n">
        <v>96</v>
      </c>
      <c r="D76" s="5"/>
      <c r="E76" s="5"/>
      <c r="F76" s="5" t="s">
        <v>119</v>
      </c>
      <c r="G76" s="8" t="s">
        <v>170</v>
      </c>
      <c r="H76" s="6" t="s">
        <v>328</v>
      </c>
      <c r="I76" s="5"/>
      <c r="J76" s="5" t="s">
        <v>172</v>
      </c>
      <c r="K76" s="6" t="s">
        <v>338</v>
      </c>
      <c r="L76" s="5" t="s">
        <v>67</v>
      </c>
    </row>
    <row r="77" customFormat="false" ht="23.85" hidden="false" customHeight="false" outlineLevel="0" collapsed="false">
      <c r="A77" s="5" t="s">
        <v>339</v>
      </c>
      <c r="B77" s="6" t="s">
        <v>340</v>
      </c>
      <c r="C77" s="5" t="n">
        <v>61</v>
      </c>
      <c r="D77" s="5"/>
      <c r="E77" s="5"/>
      <c r="F77" s="5" t="s">
        <v>205</v>
      </c>
      <c r="G77" s="8" t="s">
        <v>170</v>
      </c>
      <c r="H77" s="6" t="s">
        <v>328</v>
      </c>
      <c r="I77" s="5"/>
      <c r="J77" s="5" t="s">
        <v>172</v>
      </c>
      <c r="K77" s="6" t="s">
        <v>341</v>
      </c>
      <c r="L77" s="5" t="s">
        <v>67</v>
      </c>
    </row>
    <row r="78" customFormat="false" ht="23.85" hidden="false" customHeight="false" outlineLevel="0" collapsed="false">
      <c r="A78" s="5" t="s">
        <v>342</v>
      </c>
      <c r="B78" s="6" t="s">
        <v>343</v>
      </c>
      <c r="C78" s="5" t="n">
        <v>91</v>
      </c>
      <c r="D78" s="5"/>
      <c r="E78" s="5"/>
      <c r="F78" s="5" t="s">
        <v>205</v>
      </c>
      <c r="G78" s="8" t="s">
        <v>170</v>
      </c>
      <c r="H78" s="6" t="s">
        <v>328</v>
      </c>
      <c r="I78" s="5"/>
      <c r="J78" s="5" t="s">
        <v>172</v>
      </c>
      <c r="K78" s="6" t="s">
        <v>344</v>
      </c>
      <c r="L78" s="5" t="s">
        <v>67</v>
      </c>
    </row>
    <row r="79" customFormat="false" ht="23.85" hidden="false" customHeight="false" outlineLevel="0" collapsed="false">
      <c r="A79" s="5" t="s">
        <v>345</v>
      </c>
      <c r="B79" s="6" t="s">
        <v>346</v>
      </c>
      <c r="C79" s="5" t="n">
        <v>27.6</v>
      </c>
      <c r="D79" s="5"/>
      <c r="E79" s="5"/>
      <c r="F79" s="5" t="s">
        <v>119</v>
      </c>
      <c r="G79" s="8" t="s">
        <v>170</v>
      </c>
      <c r="H79" s="6" t="s">
        <v>328</v>
      </c>
      <c r="I79" s="5"/>
      <c r="J79" s="5" t="s">
        <v>172</v>
      </c>
      <c r="K79" s="6" t="s">
        <v>347</v>
      </c>
      <c r="L79" s="5" t="s">
        <v>56</v>
      </c>
    </row>
    <row r="80" customFormat="false" ht="23.85" hidden="false" customHeight="false" outlineLevel="0" collapsed="false">
      <c r="A80" s="5" t="s">
        <v>348</v>
      </c>
      <c r="B80" s="6" t="s">
        <v>349</v>
      </c>
      <c r="C80" s="5" t="n">
        <v>80</v>
      </c>
      <c r="D80" s="5"/>
      <c r="E80" s="5"/>
      <c r="F80" s="5" t="s">
        <v>119</v>
      </c>
      <c r="G80" s="8" t="s">
        <v>170</v>
      </c>
      <c r="H80" s="6" t="s">
        <v>350</v>
      </c>
      <c r="I80" s="5"/>
      <c r="J80" s="5" t="s">
        <v>172</v>
      </c>
      <c r="K80" s="6" t="s">
        <v>351</v>
      </c>
      <c r="L80" s="5" t="s">
        <v>56</v>
      </c>
    </row>
    <row r="81" customFormat="false" ht="35.05" hidden="false" customHeight="false" outlineLevel="0" collapsed="false">
      <c r="A81" s="5" t="s">
        <v>352</v>
      </c>
      <c r="B81" s="6" t="s">
        <v>353</v>
      </c>
      <c r="C81" s="5" t="n">
        <v>55</v>
      </c>
      <c r="D81" s="5"/>
      <c r="E81" s="5"/>
      <c r="F81" s="5" t="s">
        <v>119</v>
      </c>
      <c r="G81" s="8" t="s">
        <v>170</v>
      </c>
      <c r="H81" s="6" t="s">
        <v>350</v>
      </c>
      <c r="I81" s="5"/>
      <c r="J81" s="5" t="s">
        <v>172</v>
      </c>
      <c r="K81" s="6" t="s">
        <v>354</v>
      </c>
      <c r="L81" s="5" t="s">
        <v>56</v>
      </c>
    </row>
    <row r="82" customFormat="false" ht="57.45" hidden="false" customHeight="false" outlineLevel="0" collapsed="false">
      <c r="A82" s="5" t="s">
        <v>355</v>
      </c>
      <c r="B82" s="6" t="s">
        <v>356</v>
      </c>
      <c r="C82" s="5" t="n">
        <v>68</v>
      </c>
      <c r="D82" s="5"/>
      <c r="E82" s="5"/>
      <c r="F82" s="5" t="s">
        <v>119</v>
      </c>
      <c r="G82" s="8" t="s">
        <v>170</v>
      </c>
      <c r="H82" s="6" t="s">
        <v>357</v>
      </c>
      <c r="I82" s="5"/>
      <c r="J82" s="5" t="s">
        <v>172</v>
      </c>
      <c r="K82" s="6" t="s">
        <v>358</v>
      </c>
      <c r="L82" s="5" t="s">
        <v>56</v>
      </c>
    </row>
    <row r="83" customFormat="false" ht="23.85" hidden="false" customHeight="false" outlineLevel="0" collapsed="false">
      <c r="A83" s="5" t="s">
        <v>359</v>
      </c>
      <c r="B83" s="6" t="s">
        <v>360</v>
      </c>
      <c r="C83" s="5" t="n">
        <v>7.3</v>
      </c>
      <c r="D83" s="5" t="n">
        <v>5.2</v>
      </c>
      <c r="E83" s="5" t="n">
        <v>9.5</v>
      </c>
      <c r="F83" s="5" t="s">
        <v>119</v>
      </c>
      <c r="G83" s="8" t="s">
        <v>170</v>
      </c>
      <c r="H83" s="6" t="s">
        <v>361</v>
      </c>
      <c r="I83" s="5"/>
      <c r="J83" s="5" t="s">
        <v>172</v>
      </c>
      <c r="K83" s="6" t="s">
        <v>362</v>
      </c>
      <c r="L83" s="5" t="s">
        <v>56</v>
      </c>
    </row>
    <row r="84" customFormat="false" ht="79.85" hidden="false" customHeight="false" outlineLevel="0" collapsed="false">
      <c r="A84" s="5" t="s">
        <v>363</v>
      </c>
      <c r="B84" s="6" t="s">
        <v>364</v>
      </c>
      <c r="C84" s="5" t="n">
        <v>8</v>
      </c>
      <c r="D84" s="5" t="n">
        <v>5</v>
      </c>
      <c r="E84" s="5" t="n">
        <v>12</v>
      </c>
      <c r="F84" s="5" t="s">
        <v>119</v>
      </c>
      <c r="G84" s="9" t="s">
        <v>365</v>
      </c>
      <c r="H84" s="6" t="s">
        <v>366</v>
      </c>
      <c r="I84" s="5"/>
      <c r="J84" s="5" t="s">
        <v>172</v>
      </c>
      <c r="K84" s="6" t="s">
        <v>367</v>
      </c>
      <c r="L84" s="5" t="s">
        <v>368</v>
      </c>
    </row>
    <row r="85" customFormat="false" ht="79.85" hidden="false" customHeight="false" outlineLevel="0" collapsed="false">
      <c r="A85" s="5" t="s">
        <v>369</v>
      </c>
      <c r="B85" s="6" t="s">
        <v>370</v>
      </c>
      <c r="C85" s="5" t="n">
        <v>6.75</v>
      </c>
      <c r="D85" s="5"/>
      <c r="E85" s="5"/>
      <c r="F85" s="5" t="s">
        <v>371</v>
      </c>
      <c r="G85" s="8" t="s">
        <v>170</v>
      </c>
      <c r="H85" s="6" t="s">
        <v>372</v>
      </c>
      <c r="I85" s="5"/>
      <c r="J85" s="5" t="s">
        <v>258</v>
      </c>
      <c r="K85" s="6" t="s">
        <v>373</v>
      </c>
      <c r="L85" s="5" t="s">
        <v>52</v>
      </c>
    </row>
    <row r="86" customFormat="false" ht="68.65" hidden="false" customHeight="false" outlineLevel="0" collapsed="false">
      <c r="A86" s="5" t="s">
        <v>374</v>
      </c>
      <c r="B86" s="6" t="s">
        <v>375</v>
      </c>
      <c r="C86" s="5" t="n">
        <v>6.44</v>
      </c>
      <c r="D86" s="5"/>
      <c r="E86" s="5"/>
      <c r="F86" s="5" t="s">
        <v>371</v>
      </c>
      <c r="G86" s="8" t="s">
        <v>170</v>
      </c>
      <c r="H86" s="6" t="s">
        <v>372</v>
      </c>
      <c r="I86" s="5"/>
      <c r="J86" s="5" t="s">
        <v>258</v>
      </c>
      <c r="K86" s="6" t="s">
        <v>376</v>
      </c>
      <c r="L86" s="5" t="s">
        <v>52</v>
      </c>
    </row>
    <row r="87" customFormat="false" ht="79.85" hidden="false" customHeight="false" outlineLevel="0" collapsed="false">
      <c r="A87" s="5" t="s">
        <v>377</v>
      </c>
      <c r="B87" s="6" t="s">
        <v>378</v>
      </c>
      <c r="C87" s="5" t="n">
        <v>7.14</v>
      </c>
      <c r="D87" s="5"/>
      <c r="E87" s="5"/>
      <c r="F87" s="5" t="s">
        <v>371</v>
      </c>
      <c r="G87" s="8" t="s">
        <v>170</v>
      </c>
      <c r="H87" s="6" t="s">
        <v>372</v>
      </c>
      <c r="I87" s="5"/>
      <c r="J87" s="5" t="s">
        <v>258</v>
      </c>
      <c r="K87" s="6" t="s">
        <v>379</v>
      </c>
      <c r="L87" s="5" t="s">
        <v>52</v>
      </c>
    </row>
    <row r="88" customFormat="false" ht="91" hidden="false" customHeight="false" outlineLevel="0" collapsed="false">
      <c r="A88" s="5" t="s">
        <v>380</v>
      </c>
      <c r="B88" s="6" t="s">
        <v>381</v>
      </c>
      <c r="C88" s="5"/>
      <c r="D88" s="5"/>
      <c r="E88" s="5"/>
      <c r="F88" s="5" t="s">
        <v>74</v>
      </c>
      <c r="G88" s="7" t="s">
        <v>42</v>
      </c>
      <c r="H88" s="6" t="s">
        <v>382</v>
      </c>
      <c r="I88" s="5" t="s">
        <v>383</v>
      </c>
      <c r="J88" s="5" t="s">
        <v>384</v>
      </c>
      <c r="K88" s="6" t="s">
        <v>385</v>
      </c>
      <c r="L88" s="5" t="s">
        <v>386</v>
      </c>
    </row>
    <row r="89" customFormat="false" ht="79.85" hidden="false" customHeight="false" outlineLevel="0" collapsed="false">
      <c r="A89" s="5" t="s">
        <v>387</v>
      </c>
      <c r="B89" s="6" t="s">
        <v>388</v>
      </c>
      <c r="C89" s="5"/>
      <c r="D89" s="5"/>
      <c r="E89" s="5"/>
      <c r="F89" s="5" t="s">
        <v>74</v>
      </c>
      <c r="G89" s="7" t="s">
        <v>42</v>
      </c>
      <c r="H89" s="6" t="s">
        <v>389</v>
      </c>
      <c r="I89" s="5" t="s">
        <v>390</v>
      </c>
      <c r="J89" s="5" t="s">
        <v>391</v>
      </c>
      <c r="K89" s="6" t="s">
        <v>392</v>
      </c>
      <c r="L89" s="5" t="s">
        <v>386</v>
      </c>
    </row>
    <row r="90" customFormat="false" ht="79.85" hidden="false" customHeight="false" outlineLevel="0" collapsed="false">
      <c r="A90" s="5" t="s">
        <v>393</v>
      </c>
      <c r="B90" s="6" t="s">
        <v>394</v>
      </c>
      <c r="C90" s="5" t="n">
        <v>15</v>
      </c>
      <c r="D90" s="5"/>
      <c r="E90" s="5"/>
      <c r="F90" s="5" t="s">
        <v>50</v>
      </c>
      <c r="G90" s="7" t="s">
        <v>42</v>
      </c>
      <c r="H90" s="6" t="s">
        <v>395</v>
      </c>
      <c r="I90" s="5" t="s">
        <v>396</v>
      </c>
      <c r="J90" s="5" t="s">
        <v>150</v>
      </c>
      <c r="K90" s="6" t="s">
        <v>397</v>
      </c>
      <c r="L90" s="5" t="s">
        <v>386</v>
      </c>
    </row>
    <row r="91" customFormat="false" ht="68.65" hidden="false" customHeight="false" outlineLevel="0" collapsed="false">
      <c r="A91" s="5" t="s">
        <v>398</v>
      </c>
      <c r="B91" s="6" t="s">
        <v>399</v>
      </c>
      <c r="C91" s="5" t="n">
        <v>6.7</v>
      </c>
      <c r="D91" s="5"/>
      <c r="E91" s="5"/>
      <c r="F91" s="5" t="s">
        <v>119</v>
      </c>
      <c r="G91" s="8" t="s">
        <v>170</v>
      </c>
      <c r="H91" s="6" t="s">
        <v>400</v>
      </c>
      <c r="I91" s="5"/>
      <c r="J91" s="5" t="s">
        <v>258</v>
      </c>
      <c r="K91" s="6" t="s">
        <v>401</v>
      </c>
      <c r="L91" s="5" t="s">
        <v>386</v>
      </c>
    </row>
    <row r="92" customFormat="false" ht="68.65" hidden="false" customHeight="false" outlineLevel="0" collapsed="false">
      <c r="A92" s="5" t="s">
        <v>402</v>
      </c>
      <c r="B92" s="6" t="s">
        <v>403</v>
      </c>
      <c r="C92" s="5" t="n">
        <v>7.8</v>
      </c>
      <c r="D92" s="5"/>
      <c r="E92" s="5"/>
      <c r="F92" s="5" t="s">
        <v>119</v>
      </c>
      <c r="G92" s="8" t="s">
        <v>170</v>
      </c>
      <c r="H92" s="6" t="s">
        <v>400</v>
      </c>
      <c r="I92" s="5"/>
      <c r="J92" s="5" t="s">
        <v>258</v>
      </c>
      <c r="K92" s="6" t="s">
        <v>401</v>
      </c>
      <c r="L92" s="5" t="s">
        <v>386</v>
      </c>
    </row>
    <row r="93" customFormat="false" ht="113.4" hidden="false" customHeight="false" outlineLevel="0" collapsed="false">
      <c r="A93" s="5" t="s">
        <v>404</v>
      </c>
      <c r="B93" s="6" t="s">
        <v>405</v>
      </c>
      <c r="C93" s="5" t="n">
        <v>7.5</v>
      </c>
      <c r="D93" s="5"/>
      <c r="E93" s="5"/>
      <c r="F93" s="5" t="s">
        <v>406</v>
      </c>
      <c r="G93" s="7" t="s">
        <v>42</v>
      </c>
      <c r="H93" s="6" t="s">
        <v>407</v>
      </c>
      <c r="I93" s="5" t="s">
        <v>408</v>
      </c>
      <c r="J93" s="5" t="s">
        <v>409</v>
      </c>
      <c r="K93" s="6" t="s">
        <v>410</v>
      </c>
      <c r="L93" s="5" t="s">
        <v>411</v>
      </c>
    </row>
    <row r="94" customFormat="false" ht="113.4" hidden="false" customHeight="false" outlineLevel="0" collapsed="false">
      <c r="A94" s="5" t="s">
        <v>412</v>
      </c>
      <c r="B94" s="6" t="s">
        <v>413</v>
      </c>
      <c r="C94" s="5" t="n">
        <v>9.1</v>
      </c>
      <c r="D94" s="5"/>
      <c r="E94" s="5"/>
      <c r="F94" s="5" t="s">
        <v>406</v>
      </c>
      <c r="G94" s="7" t="s">
        <v>42</v>
      </c>
      <c r="H94" s="6" t="s">
        <v>414</v>
      </c>
      <c r="I94" s="5" t="s">
        <v>415</v>
      </c>
      <c r="J94" s="5" t="s">
        <v>409</v>
      </c>
      <c r="K94" s="6" t="s">
        <v>410</v>
      </c>
      <c r="L94" s="5" t="s">
        <v>411</v>
      </c>
    </row>
    <row r="95" customFormat="false" ht="113.4" hidden="false" customHeight="false" outlineLevel="0" collapsed="false">
      <c r="A95" s="5" t="s">
        <v>416</v>
      </c>
      <c r="B95" s="6" t="s">
        <v>417</v>
      </c>
      <c r="C95" s="5" t="n">
        <v>12.1</v>
      </c>
      <c r="D95" s="5"/>
      <c r="E95" s="5"/>
      <c r="F95" s="5" t="s">
        <v>418</v>
      </c>
      <c r="G95" s="7" t="s">
        <v>42</v>
      </c>
      <c r="H95" s="6" t="s">
        <v>419</v>
      </c>
      <c r="I95" s="5" t="s">
        <v>408</v>
      </c>
      <c r="J95" s="5" t="s">
        <v>409</v>
      </c>
      <c r="K95" s="6" t="s">
        <v>410</v>
      </c>
      <c r="L95" s="5" t="s">
        <v>411</v>
      </c>
    </row>
    <row r="96" customFormat="false" ht="113.4" hidden="false" customHeight="false" outlineLevel="0" collapsed="false">
      <c r="A96" s="5" t="s">
        <v>420</v>
      </c>
      <c r="B96" s="6" t="s">
        <v>421</v>
      </c>
      <c r="C96" s="5" t="n">
        <v>830</v>
      </c>
      <c r="D96" s="5"/>
      <c r="E96" s="5"/>
      <c r="F96" s="5" t="s">
        <v>422</v>
      </c>
      <c r="G96" s="7" t="s">
        <v>42</v>
      </c>
      <c r="H96" s="6" t="s">
        <v>423</v>
      </c>
      <c r="I96" s="5" t="s">
        <v>408</v>
      </c>
      <c r="J96" s="5" t="s">
        <v>409</v>
      </c>
      <c r="K96" s="6" t="s">
        <v>410</v>
      </c>
      <c r="L96" s="5" t="s">
        <v>411</v>
      </c>
    </row>
    <row r="97" customFormat="false" ht="57.45" hidden="false" customHeight="false" outlineLevel="0" collapsed="false">
      <c r="A97" s="5" t="s">
        <v>424</v>
      </c>
      <c r="B97" s="6" t="s">
        <v>425</v>
      </c>
      <c r="C97" s="5"/>
      <c r="D97" s="5"/>
      <c r="E97" s="5"/>
      <c r="F97" s="5" t="s">
        <v>74</v>
      </c>
      <c r="G97" s="7" t="s">
        <v>42</v>
      </c>
      <c r="H97" s="6" t="s">
        <v>426</v>
      </c>
      <c r="I97" s="5" t="s">
        <v>64</v>
      </c>
      <c r="J97" s="5" t="s">
        <v>45</v>
      </c>
      <c r="K97" s="6" t="s">
        <v>427</v>
      </c>
      <c r="L97" s="5" t="s">
        <v>411</v>
      </c>
    </row>
    <row r="98" customFormat="false" ht="79.85" hidden="false" customHeight="false" outlineLevel="0" collapsed="false">
      <c r="A98" s="5" t="s">
        <v>428</v>
      </c>
      <c r="B98" s="6" t="s">
        <v>429</v>
      </c>
      <c r="C98" s="5"/>
      <c r="D98" s="5"/>
      <c r="E98" s="5"/>
      <c r="F98" s="5" t="s">
        <v>74</v>
      </c>
      <c r="G98" s="7" t="s">
        <v>42</v>
      </c>
      <c r="H98" s="6" t="s">
        <v>430</v>
      </c>
      <c r="I98" s="5" t="s">
        <v>431</v>
      </c>
      <c r="J98" s="5" t="s">
        <v>432</v>
      </c>
      <c r="K98" s="6" t="s">
        <v>433</v>
      </c>
      <c r="L98" s="5" t="s">
        <v>434</v>
      </c>
    </row>
    <row r="99" customFormat="false" ht="91" hidden="false" customHeight="false" outlineLevel="0" collapsed="false">
      <c r="A99" s="5" t="s">
        <v>435</v>
      </c>
      <c r="B99" s="6" t="s">
        <v>436</v>
      </c>
      <c r="C99" s="5"/>
      <c r="D99" s="5"/>
      <c r="E99" s="5"/>
      <c r="F99" s="5" t="s">
        <v>74</v>
      </c>
      <c r="G99" s="7" t="s">
        <v>42</v>
      </c>
      <c r="H99" s="6" t="s">
        <v>437</v>
      </c>
      <c r="I99" s="5" t="s">
        <v>438</v>
      </c>
      <c r="J99" s="5" t="s">
        <v>439</v>
      </c>
      <c r="K99" s="6" t="s">
        <v>440</v>
      </c>
      <c r="L99" s="5" t="s">
        <v>441</v>
      </c>
    </row>
    <row r="100" customFormat="false" ht="57.45" hidden="false" customHeight="false" outlineLevel="0" collapsed="false">
      <c r="A100" s="5" t="s">
        <v>442</v>
      </c>
      <c r="B100" s="6" t="s">
        <v>443</v>
      </c>
      <c r="C100" s="5"/>
      <c r="D100" s="5"/>
      <c r="E100" s="5"/>
      <c r="F100" s="5" t="s">
        <v>74</v>
      </c>
      <c r="G100" s="7" t="s">
        <v>42</v>
      </c>
      <c r="H100" s="6" t="s">
        <v>444</v>
      </c>
      <c r="I100" s="5" t="s">
        <v>445</v>
      </c>
      <c r="J100" s="5" t="s">
        <v>446</v>
      </c>
      <c r="K100" s="6" t="s">
        <v>447</v>
      </c>
      <c r="L100" s="5" t="s">
        <v>441</v>
      </c>
    </row>
    <row r="101" customFormat="false" ht="91" hidden="false" customHeight="false" outlineLevel="0" collapsed="false">
      <c r="A101" s="5" t="s">
        <v>448</v>
      </c>
      <c r="B101" s="6" t="s">
        <v>449</v>
      </c>
      <c r="C101" s="5"/>
      <c r="D101" s="5"/>
      <c r="E101" s="5"/>
      <c r="F101" s="5" t="s">
        <v>74</v>
      </c>
      <c r="G101" s="7" t="s">
        <v>42</v>
      </c>
      <c r="H101" s="6" t="s">
        <v>450</v>
      </c>
      <c r="I101" s="5" t="s">
        <v>451</v>
      </c>
      <c r="J101" s="5" t="s">
        <v>452</v>
      </c>
      <c r="K101" s="6" t="s">
        <v>453</v>
      </c>
      <c r="L101" s="5" t="s">
        <v>441</v>
      </c>
    </row>
    <row r="102" customFormat="false" ht="57.45" hidden="false" customHeight="false" outlineLevel="0" collapsed="false">
      <c r="A102" s="5" t="s">
        <v>454</v>
      </c>
      <c r="B102" s="6" t="s">
        <v>455</v>
      </c>
      <c r="C102" s="5" t="n">
        <v>525</v>
      </c>
      <c r="D102" s="5"/>
      <c r="E102" s="5"/>
      <c r="F102" s="5" t="s">
        <v>50</v>
      </c>
      <c r="G102" s="7" t="s">
        <v>42</v>
      </c>
      <c r="H102" s="6" t="s">
        <v>456</v>
      </c>
      <c r="I102" s="5" t="s">
        <v>457</v>
      </c>
      <c r="J102" s="5" t="s">
        <v>458</v>
      </c>
      <c r="K102" s="6" t="s">
        <v>459</v>
      </c>
      <c r="L102" s="5" t="s">
        <v>460</v>
      </c>
    </row>
    <row r="103" customFormat="false" ht="68.65" hidden="false" customHeight="false" outlineLevel="0" collapsed="false">
      <c r="A103" s="5" t="s">
        <v>461</v>
      </c>
      <c r="B103" s="6" t="s">
        <v>462</v>
      </c>
      <c r="C103" s="5" t="n">
        <v>440</v>
      </c>
      <c r="D103" s="5"/>
      <c r="E103" s="5"/>
      <c r="F103" s="5" t="s">
        <v>463</v>
      </c>
      <c r="G103" s="7" t="s">
        <v>42</v>
      </c>
      <c r="H103" s="6" t="s">
        <v>464</v>
      </c>
      <c r="I103" s="5" t="s">
        <v>457</v>
      </c>
      <c r="J103" s="5" t="s">
        <v>458</v>
      </c>
      <c r="K103" s="6" t="s">
        <v>465</v>
      </c>
      <c r="L103" s="5" t="s">
        <v>460</v>
      </c>
    </row>
    <row r="104" customFormat="false" ht="68.65" hidden="false" customHeight="false" outlineLevel="0" collapsed="false">
      <c r="A104" s="5" t="s">
        <v>466</v>
      </c>
      <c r="B104" s="6" t="s">
        <v>467</v>
      </c>
      <c r="C104" s="5" t="n">
        <v>121</v>
      </c>
      <c r="D104" s="5"/>
      <c r="E104" s="5"/>
      <c r="F104" s="5" t="s">
        <v>50</v>
      </c>
      <c r="G104" s="7" t="s">
        <v>42</v>
      </c>
      <c r="H104" s="6" t="s">
        <v>468</v>
      </c>
      <c r="I104" s="5" t="s">
        <v>469</v>
      </c>
      <c r="J104" s="5" t="s">
        <v>84</v>
      </c>
      <c r="K104" s="6" t="s">
        <v>470</v>
      </c>
      <c r="L104" s="5" t="s">
        <v>460</v>
      </c>
    </row>
    <row r="105" customFormat="false" ht="68.65" hidden="false" customHeight="false" outlineLevel="0" collapsed="false">
      <c r="A105" s="5" t="s">
        <v>471</v>
      </c>
      <c r="B105" s="6" t="s">
        <v>472</v>
      </c>
      <c r="C105" s="5" t="n">
        <v>600</v>
      </c>
      <c r="D105" s="5"/>
      <c r="E105" s="5"/>
      <c r="F105" s="5" t="s">
        <v>473</v>
      </c>
      <c r="G105" s="7" t="s">
        <v>42</v>
      </c>
      <c r="H105" s="6" t="s">
        <v>474</v>
      </c>
      <c r="I105" s="5" t="s">
        <v>457</v>
      </c>
      <c r="J105" s="5" t="s">
        <v>458</v>
      </c>
      <c r="K105" s="6" t="s">
        <v>475</v>
      </c>
      <c r="L105" s="5" t="s">
        <v>476</v>
      </c>
    </row>
    <row r="106" customFormat="false" ht="91" hidden="false" customHeight="false" outlineLevel="0" collapsed="false">
      <c r="A106" s="5" t="s">
        <v>477</v>
      </c>
      <c r="B106" s="6" t="s">
        <v>478</v>
      </c>
      <c r="C106" s="5" t="n">
        <v>10362</v>
      </c>
      <c r="D106" s="5"/>
      <c r="E106" s="5"/>
      <c r="F106" s="5" t="s">
        <v>50</v>
      </c>
      <c r="G106" s="7" t="s">
        <v>42</v>
      </c>
      <c r="H106" s="6" t="s">
        <v>479</v>
      </c>
      <c r="I106" s="5" t="s">
        <v>64</v>
      </c>
      <c r="J106" s="5" t="s">
        <v>45</v>
      </c>
      <c r="K106" s="6" t="s">
        <v>480</v>
      </c>
      <c r="L106" s="5" t="s">
        <v>481</v>
      </c>
    </row>
    <row r="107" customFormat="false" ht="91" hidden="false" customHeight="false" outlineLevel="0" collapsed="false">
      <c r="A107" s="5" t="s">
        <v>482</v>
      </c>
      <c r="B107" s="6" t="s">
        <v>483</v>
      </c>
      <c r="C107" s="5" t="n">
        <v>10954</v>
      </c>
      <c r="D107" s="5"/>
      <c r="E107" s="5"/>
      <c r="F107" s="5" t="s">
        <v>50</v>
      </c>
      <c r="G107" s="7" t="s">
        <v>42</v>
      </c>
      <c r="H107" s="6" t="s">
        <v>484</v>
      </c>
      <c r="I107" s="5" t="s">
        <v>64</v>
      </c>
      <c r="J107" s="5" t="s">
        <v>45</v>
      </c>
      <c r="K107" s="6" t="s">
        <v>480</v>
      </c>
      <c r="L107" s="5" t="s">
        <v>481</v>
      </c>
    </row>
    <row r="108" customFormat="false" ht="91" hidden="false" customHeight="false" outlineLevel="0" collapsed="false">
      <c r="A108" s="5" t="s">
        <v>485</v>
      </c>
      <c r="B108" s="6" t="s">
        <v>486</v>
      </c>
      <c r="C108" s="5" t="n">
        <v>10229</v>
      </c>
      <c r="D108" s="5"/>
      <c r="E108" s="5"/>
      <c r="F108" s="5" t="s">
        <v>50</v>
      </c>
      <c r="G108" s="7" t="s">
        <v>42</v>
      </c>
      <c r="H108" s="6" t="s">
        <v>487</v>
      </c>
      <c r="I108" s="5" t="s">
        <v>64</v>
      </c>
      <c r="J108" s="5" t="s">
        <v>84</v>
      </c>
      <c r="K108" s="6" t="s">
        <v>480</v>
      </c>
      <c r="L108" s="5" t="s">
        <v>481</v>
      </c>
    </row>
    <row r="109" customFormat="false" ht="91" hidden="false" customHeight="false" outlineLevel="0" collapsed="false">
      <c r="A109" s="5" t="s">
        <v>488</v>
      </c>
      <c r="B109" s="6" t="s">
        <v>489</v>
      </c>
      <c r="C109" s="5" t="n">
        <v>10110</v>
      </c>
      <c r="D109" s="5"/>
      <c r="E109" s="5"/>
      <c r="F109" s="5" t="s">
        <v>50</v>
      </c>
      <c r="G109" s="7" t="s">
        <v>42</v>
      </c>
      <c r="H109" s="6" t="s">
        <v>490</v>
      </c>
      <c r="I109" s="5" t="s">
        <v>64</v>
      </c>
      <c r="J109" s="5" t="s">
        <v>84</v>
      </c>
      <c r="K109" s="6" t="s">
        <v>480</v>
      </c>
      <c r="L109" s="5" t="s">
        <v>481</v>
      </c>
    </row>
    <row r="110" customFormat="false" ht="113.4" hidden="false" customHeight="false" outlineLevel="0" collapsed="false">
      <c r="A110" s="5" t="s">
        <v>491</v>
      </c>
      <c r="B110" s="6" t="s">
        <v>492</v>
      </c>
      <c r="C110" s="5" t="n">
        <v>5321</v>
      </c>
      <c r="D110" s="5"/>
      <c r="E110" s="5"/>
      <c r="F110" s="5" t="s">
        <v>50</v>
      </c>
      <c r="G110" s="7" t="s">
        <v>42</v>
      </c>
      <c r="H110" s="6" t="s">
        <v>493</v>
      </c>
      <c r="I110" s="5" t="s">
        <v>64</v>
      </c>
      <c r="J110" s="5" t="s">
        <v>65</v>
      </c>
      <c r="K110" s="6" t="s">
        <v>494</v>
      </c>
      <c r="L110" s="5" t="s">
        <v>495</v>
      </c>
    </row>
    <row r="111" customFormat="false" ht="46.25" hidden="false" customHeight="false" outlineLevel="0" collapsed="false">
      <c r="A111" s="5" t="s">
        <v>496</v>
      </c>
      <c r="B111" s="6" t="s">
        <v>497</v>
      </c>
      <c r="C111" s="5" t="n">
        <v>156878</v>
      </c>
      <c r="D111" s="5"/>
      <c r="E111" s="5"/>
      <c r="F111" s="5" t="s">
        <v>50</v>
      </c>
      <c r="G111" s="7" t="s">
        <v>42</v>
      </c>
      <c r="H111" s="6" t="s">
        <v>498</v>
      </c>
      <c r="I111" s="5" t="s">
        <v>64</v>
      </c>
      <c r="J111" s="5" t="s">
        <v>84</v>
      </c>
      <c r="K111" s="6" t="s">
        <v>499</v>
      </c>
      <c r="L111" s="5" t="s">
        <v>481</v>
      </c>
    </row>
    <row r="112" customFormat="false" ht="68.65" hidden="false" customHeight="false" outlineLevel="0" collapsed="false">
      <c r="A112" s="5" t="s">
        <v>500</v>
      </c>
      <c r="B112" s="6" t="s">
        <v>501</v>
      </c>
      <c r="C112" s="5" t="n">
        <v>5.2</v>
      </c>
      <c r="D112" s="5"/>
      <c r="E112" s="5"/>
      <c r="F112" s="5" t="s">
        <v>119</v>
      </c>
      <c r="G112" s="7" t="s">
        <v>42</v>
      </c>
      <c r="H112" s="6" t="s">
        <v>502</v>
      </c>
      <c r="I112" s="5" t="s">
        <v>503</v>
      </c>
      <c r="J112" s="5" t="s">
        <v>84</v>
      </c>
      <c r="K112" s="6" t="s">
        <v>504</v>
      </c>
      <c r="L112" s="5" t="s">
        <v>505</v>
      </c>
    </row>
    <row r="113" customFormat="false" ht="57.45" hidden="false" customHeight="false" outlineLevel="0" collapsed="false">
      <c r="A113" s="5" t="s">
        <v>506</v>
      </c>
      <c r="B113" s="6" t="s">
        <v>507</v>
      </c>
      <c r="C113" s="5" t="n">
        <v>3.6</v>
      </c>
      <c r="D113" s="5"/>
      <c r="E113" s="5"/>
      <c r="F113" s="5" t="s">
        <v>119</v>
      </c>
      <c r="G113" s="7" t="s">
        <v>42</v>
      </c>
      <c r="H113" s="6" t="s">
        <v>508</v>
      </c>
      <c r="I113" s="5" t="s">
        <v>503</v>
      </c>
      <c r="J113" s="5" t="s">
        <v>84</v>
      </c>
      <c r="K113" s="6" t="s">
        <v>509</v>
      </c>
      <c r="L113" s="5" t="s">
        <v>505</v>
      </c>
    </row>
    <row r="114" customFormat="false" ht="68.65" hidden="false" customHeight="false" outlineLevel="0" collapsed="false">
      <c r="A114" s="5" t="s">
        <v>510</v>
      </c>
      <c r="B114" s="6" t="s">
        <v>511</v>
      </c>
      <c r="C114" s="5" t="n">
        <v>2</v>
      </c>
      <c r="D114" s="5" t="n">
        <v>0.5</v>
      </c>
      <c r="E114" s="5" t="n">
        <v>5</v>
      </c>
      <c r="F114" s="5" t="s">
        <v>119</v>
      </c>
      <c r="G114" s="9" t="s">
        <v>365</v>
      </c>
      <c r="H114" s="6" t="s">
        <v>512</v>
      </c>
      <c r="I114" s="5"/>
      <c r="J114" s="5" t="s">
        <v>172</v>
      </c>
      <c r="K114" s="6" t="s">
        <v>513</v>
      </c>
      <c r="L114" s="5" t="s">
        <v>52</v>
      </c>
    </row>
    <row r="115" customFormat="false" ht="102.2" hidden="false" customHeight="false" outlineLevel="0" collapsed="false">
      <c r="A115" s="5" t="s">
        <v>514</v>
      </c>
      <c r="B115" s="6" t="s">
        <v>515</v>
      </c>
      <c r="C115" s="5" t="n">
        <v>30</v>
      </c>
      <c r="D115" s="5" t="n">
        <v>10</v>
      </c>
      <c r="E115" s="5" t="n">
        <v>50</v>
      </c>
      <c r="F115" s="5" t="s">
        <v>119</v>
      </c>
      <c r="G115" s="9" t="s">
        <v>365</v>
      </c>
      <c r="H115" s="6" t="s">
        <v>516</v>
      </c>
      <c r="I115" s="5"/>
      <c r="J115" s="5" t="s">
        <v>517</v>
      </c>
      <c r="K115" s="6" t="s">
        <v>518</v>
      </c>
      <c r="L115" s="5" t="s">
        <v>52</v>
      </c>
    </row>
    <row r="116" customFormat="false" ht="57.45" hidden="false" customHeight="false" outlineLevel="0" collapsed="false">
      <c r="A116" s="5" t="s">
        <v>519</v>
      </c>
      <c r="B116" s="6" t="s">
        <v>520</v>
      </c>
      <c r="C116" s="5" t="n">
        <v>10</v>
      </c>
      <c r="D116" s="5" t="n">
        <v>5</v>
      </c>
      <c r="E116" s="5" t="n">
        <v>20</v>
      </c>
      <c r="F116" s="5" t="s">
        <v>119</v>
      </c>
      <c r="G116" s="9" t="s">
        <v>365</v>
      </c>
      <c r="H116" s="6" t="s">
        <v>512</v>
      </c>
      <c r="I116" s="5"/>
      <c r="J116" s="5" t="s">
        <v>172</v>
      </c>
      <c r="K116" s="6" t="s">
        <v>521</v>
      </c>
      <c r="L116" s="5" t="s">
        <v>522</v>
      </c>
    </row>
    <row r="117" customFormat="false" ht="113.4" hidden="false" customHeight="false" outlineLevel="0" collapsed="false">
      <c r="A117" s="5" t="s">
        <v>523</v>
      </c>
      <c r="B117" s="6" t="s">
        <v>524</v>
      </c>
      <c r="C117" s="5" t="n">
        <v>25</v>
      </c>
      <c r="D117" s="5" t="n">
        <v>10</v>
      </c>
      <c r="E117" s="5" t="n">
        <v>40</v>
      </c>
      <c r="F117" s="5" t="s">
        <v>119</v>
      </c>
      <c r="G117" s="9" t="s">
        <v>365</v>
      </c>
      <c r="H117" s="6" t="s">
        <v>512</v>
      </c>
      <c r="I117" s="5"/>
      <c r="J117" s="5" t="s">
        <v>172</v>
      </c>
      <c r="K117" s="6" t="s">
        <v>525</v>
      </c>
      <c r="L117" s="5" t="s">
        <v>67</v>
      </c>
    </row>
    <row r="118" customFormat="false" ht="158.2" hidden="false" customHeight="false" outlineLevel="0" collapsed="false">
      <c r="A118" s="5" t="s">
        <v>526</v>
      </c>
      <c r="B118" s="6" t="s">
        <v>527</v>
      </c>
      <c r="C118" s="5" t="n">
        <v>28.9</v>
      </c>
      <c r="D118" s="5"/>
      <c r="E118" s="5"/>
      <c r="F118" s="5" t="s">
        <v>119</v>
      </c>
      <c r="G118" s="7" t="s">
        <v>42</v>
      </c>
      <c r="H118" s="6" t="s">
        <v>528</v>
      </c>
      <c r="I118" s="5" t="s">
        <v>529</v>
      </c>
      <c r="J118" s="5" t="s">
        <v>530</v>
      </c>
      <c r="K118" s="6" t="s">
        <v>531</v>
      </c>
      <c r="L118" s="5" t="s">
        <v>532</v>
      </c>
    </row>
    <row r="119" customFormat="false" ht="135.8" hidden="false" customHeight="false" outlineLevel="0" collapsed="false">
      <c r="A119" s="5" t="s">
        <v>533</v>
      </c>
      <c r="B119" s="6" t="s">
        <v>534</v>
      </c>
      <c r="C119" s="5" t="n">
        <v>646138</v>
      </c>
      <c r="D119" s="5"/>
      <c r="E119" s="5"/>
      <c r="F119" s="5" t="s">
        <v>535</v>
      </c>
      <c r="G119" s="7" t="s">
        <v>42</v>
      </c>
      <c r="H119" s="6" t="s">
        <v>536</v>
      </c>
      <c r="I119" s="5" t="s">
        <v>529</v>
      </c>
      <c r="J119" s="5" t="s">
        <v>530</v>
      </c>
      <c r="K119" s="6" t="s">
        <v>537</v>
      </c>
      <c r="L119" s="5" t="s">
        <v>191</v>
      </c>
    </row>
    <row r="120" customFormat="false" ht="46.25" hidden="false" customHeight="false" outlineLevel="0" collapsed="false">
      <c r="A120" s="5" t="s">
        <v>538</v>
      </c>
      <c r="B120" s="6" t="s">
        <v>539</v>
      </c>
      <c r="C120" s="5" t="n">
        <v>31.9</v>
      </c>
      <c r="D120" s="5"/>
      <c r="E120" s="5"/>
      <c r="F120" s="5" t="s">
        <v>119</v>
      </c>
      <c r="G120" s="7" t="s">
        <v>42</v>
      </c>
      <c r="H120" s="6" t="s">
        <v>540</v>
      </c>
      <c r="I120" s="5" t="s">
        <v>541</v>
      </c>
      <c r="J120" s="5" t="s">
        <v>542</v>
      </c>
      <c r="K120" s="6" t="s">
        <v>543</v>
      </c>
      <c r="L120" s="5" t="s">
        <v>495</v>
      </c>
    </row>
    <row r="121" customFormat="false" ht="57.45" hidden="false" customHeight="false" outlineLevel="0" collapsed="false">
      <c r="A121" s="5" t="s">
        <v>544</v>
      </c>
      <c r="B121" s="6" t="s">
        <v>545</v>
      </c>
      <c r="C121" s="5" t="n">
        <v>88</v>
      </c>
      <c r="D121" s="5"/>
      <c r="E121" s="5"/>
      <c r="F121" s="5" t="s">
        <v>119</v>
      </c>
      <c r="G121" s="7" t="s">
        <v>42</v>
      </c>
      <c r="H121" s="6" t="s">
        <v>546</v>
      </c>
      <c r="I121" s="5" t="s">
        <v>547</v>
      </c>
      <c r="J121" s="5" t="s">
        <v>548</v>
      </c>
      <c r="K121" s="6" t="s">
        <v>549</v>
      </c>
      <c r="L121" s="5" t="s">
        <v>495</v>
      </c>
    </row>
    <row r="122" customFormat="false" ht="46.25" hidden="false" customHeight="false" outlineLevel="0" collapsed="false">
      <c r="A122" s="5" t="s">
        <v>550</v>
      </c>
      <c r="B122" s="6" t="s">
        <v>551</v>
      </c>
      <c r="C122" s="5" t="n">
        <v>27.5</v>
      </c>
      <c r="D122" s="5"/>
      <c r="E122" s="5"/>
      <c r="F122" s="5" t="s">
        <v>119</v>
      </c>
      <c r="G122" s="7" t="s">
        <v>42</v>
      </c>
      <c r="H122" s="6" t="s">
        <v>552</v>
      </c>
      <c r="I122" s="5" t="s">
        <v>529</v>
      </c>
      <c r="J122" s="5" t="s">
        <v>530</v>
      </c>
      <c r="K122" s="6" t="s">
        <v>553</v>
      </c>
      <c r="L122" s="5" t="s">
        <v>554</v>
      </c>
    </row>
    <row r="123" customFormat="false" ht="46.25" hidden="false" customHeight="false" outlineLevel="0" collapsed="false">
      <c r="A123" s="5" t="s">
        <v>555</v>
      </c>
      <c r="B123" s="6" t="s">
        <v>556</v>
      </c>
      <c r="C123" s="5" t="n">
        <v>154496</v>
      </c>
      <c r="D123" s="5"/>
      <c r="E123" s="5"/>
      <c r="F123" s="5" t="s">
        <v>535</v>
      </c>
      <c r="G123" s="7" t="s">
        <v>42</v>
      </c>
      <c r="H123" s="6" t="s">
        <v>552</v>
      </c>
      <c r="I123" s="5" t="s">
        <v>529</v>
      </c>
      <c r="J123" s="5" t="s">
        <v>530</v>
      </c>
      <c r="K123" s="6" t="s">
        <v>557</v>
      </c>
      <c r="L123" s="5" t="s">
        <v>554</v>
      </c>
    </row>
    <row r="124" customFormat="false" ht="46.25" hidden="false" customHeight="false" outlineLevel="0" collapsed="false">
      <c r="A124" s="5" t="s">
        <v>558</v>
      </c>
      <c r="B124" s="6" t="s">
        <v>559</v>
      </c>
      <c r="C124" s="5" t="n">
        <v>68.1</v>
      </c>
      <c r="D124" s="5"/>
      <c r="E124" s="5"/>
      <c r="F124" s="5" t="s">
        <v>119</v>
      </c>
      <c r="G124" s="7" t="s">
        <v>42</v>
      </c>
      <c r="H124" s="6" t="s">
        <v>560</v>
      </c>
      <c r="I124" s="5" t="s">
        <v>529</v>
      </c>
      <c r="J124" s="5" t="s">
        <v>530</v>
      </c>
      <c r="K124" s="6" t="s">
        <v>561</v>
      </c>
      <c r="L124" s="5" t="s">
        <v>554</v>
      </c>
    </row>
    <row r="125" customFormat="false" ht="46.25" hidden="false" customHeight="false" outlineLevel="0" collapsed="false">
      <c r="A125" s="5" t="s">
        <v>562</v>
      </c>
      <c r="B125" s="6" t="s">
        <v>563</v>
      </c>
      <c r="C125" s="5" t="n">
        <v>33.8</v>
      </c>
      <c r="D125" s="5"/>
      <c r="E125" s="5"/>
      <c r="F125" s="5" t="s">
        <v>119</v>
      </c>
      <c r="G125" s="7" t="s">
        <v>42</v>
      </c>
      <c r="H125" s="6" t="s">
        <v>564</v>
      </c>
      <c r="I125" s="5" t="s">
        <v>529</v>
      </c>
      <c r="J125" s="5" t="s">
        <v>530</v>
      </c>
      <c r="K125" s="6" t="s">
        <v>565</v>
      </c>
      <c r="L125" s="5" t="s">
        <v>554</v>
      </c>
    </row>
    <row r="126" customFormat="false" ht="35.05" hidden="false" customHeight="false" outlineLevel="0" collapsed="false">
      <c r="A126" s="5" t="s">
        <v>566</v>
      </c>
      <c r="B126" s="6" t="s">
        <v>567</v>
      </c>
      <c r="C126" s="5" t="n">
        <v>22.8</v>
      </c>
      <c r="D126" s="5"/>
      <c r="E126" s="5"/>
      <c r="F126" s="5" t="s">
        <v>119</v>
      </c>
      <c r="G126" s="7" t="s">
        <v>42</v>
      </c>
      <c r="H126" s="6" t="s">
        <v>568</v>
      </c>
      <c r="I126" s="5" t="s">
        <v>529</v>
      </c>
      <c r="J126" s="5" t="s">
        <v>530</v>
      </c>
      <c r="K126" s="6" t="s">
        <v>569</v>
      </c>
      <c r="L126" s="5" t="s">
        <v>554</v>
      </c>
    </row>
    <row r="127" customFormat="false" ht="46.25" hidden="false" customHeight="false" outlineLevel="0" collapsed="false">
      <c r="A127" s="5" t="s">
        <v>570</v>
      </c>
      <c r="B127" s="6" t="s">
        <v>571</v>
      </c>
      <c r="C127" s="5" t="n">
        <v>21.9</v>
      </c>
      <c r="D127" s="5"/>
      <c r="E127" s="5"/>
      <c r="F127" s="5" t="s">
        <v>119</v>
      </c>
      <c r="G127" s="7" t="s">
        <v>42</v>
      </c>
      <c r="H127" s="6" t="s">
        <v>572</v>
      </c>
      <c r="I127" s="5" t="s">
        <v>529</v>
      </c>
      <c r="J127" s="5" t="s">
        <v>530</v>
      </c>
      <c r="K127" s="6" t="s">
        <v>573</v>
      </c>
      <c r="L127" s="5" t="s">
        <v>554</v>
      </c>
    </row>
    <row r="128" customFormat="false" ht="35.05" hidden="false" customHeight="false" outlineLevel="0" collapsed="false">
      <c r="A128" s="5" t="s">
        <v>574</v>
      </c>
      <c r="B128" s="6" t="s">
        <v>575</v>
      </c>
      <c r="C128" s="5" t="n">
        <v>28.6</v>
      </c>
      <c r="D128" s="5"/>
      <c r="E128" s="5"/>
      <c r="F128" s="5" t="s">
        <v>119</v>
      </c>
      <c r="G128" s="7" t="s">
        <v>42</v>
      </c>
      <c r="H128" s="6" t="s">
        <v>576</v>
      </c>
      <c r="I128" s="5" t="s">
        <v>529</v>
      </c>
      <c r="J128" s="5" t="s">
        <v>530</v>
      </c>
      <c r="K128" s="6" t="s">
        <v>577</v>
      </c>
      <c r="L128" s="5" t="s">
        <v>554</v>
      </c>
    </row>
    <row r="129" customFormat="false" ht="35.05" hidden="false" customHeight="false" outlineLevel="0" collapsed="false">
      <c r="A129" s="5" t="s">
        <v>578</v>
      </c>
      <c r="B129" s="6" t="s">
        <v>579</v>
      </c>
      <c r="C129" s="5" t="n">
        <v>26.6</v>
      </c>
      <c r="D129" s="5"/>
      <c r="E129" s="5"/>
      <c r="F129" s="5" t="s">
        <v>119</v>
      </c>
      <c r="G129" s="7" t="s">
        <v>42</v>
      </c>
      <c r="H129" s="6" t="s">
        <v>580</v>
      </c>
      <c r="I129" s="5" t="s">
        <v>529</v>
      </c>
      <c r="J129" s="5" t="s">
        <v>530</v>
      </c>
      <c r="K129" s="6" t="s">
        <v>581</v>
      </c>
      <c r="L129" s="5" t="s">
        <v>554</v>
      </c>
    </row>
    <row r="130" customFormat="false" ht="46.25" hidden="false" customHeight="false" outlineLevel="0" collapsed="false">
      <c r="A130" s="5" t="s">
        <v>582</v>
      </c>
      <c r="B130" s="6" t="s">
        <v>583</v>
      </c>
      <c r="C130" s="5" t="n">
        <v>22128</v>
      </c>
      <c r="D130" s="5"/>
      <c r="E130" s="5"/>
      <c r="F130" s="5" t="s">
        <v>535</v>
      </c>
      <c r="G130" s="7" t="s">
        <v>42</v>
      </c>
      <c r="H130" s="6" t="s">
        <v>584</v>
      </c>
      <c r="I130" s="5" t="s">
        <v>529</v>
      </c>
      <c r="J130" s="5" t="s">
        <v>530</v>
      </c>
      <c r="K130" s="6" t="s">
        <v>577</v>
      </c>
      <c r="L130" s="5" t="s">
        <v>554</v>
      </c>
    </row>
    <row r="131" customFormat="false" ht="46.25" hidden="false" customHeight="false" outlineLevel="0" collapsed="false">
      <c r="A131" s="5" t="s">
        <v>585</v>
      </c>
      <c r="B131" s="6" t="s">
        <v>586</v>
      </c>
      <c r="C131" s="5" t="n">
        <v>56.7</v>
      </c>
      <c r="D131" s="5"/>
      <c r="E131" s="5"/>
      <c r="F131" s="5" t="s">
        <v>119</v>
      </c>
      <c r="G131" s="7" t="s">
        <v>42</v>
      </c>
      <c r="H131" s="6" t="s">
        <v>587</v>
      </c>
      <c r="I131" s="5" t="s">
        <v>529</v>
      </c>
      <c r="J131" s="5" t="s">
        <v>530</v>
      </c>
      <c r="K131" s="6" t="s">
        <v>588</v>
      </c>
      <c r="L131" s="5" t="s">
        <v>554</v>
      </c>
    </row>
    <row r="132" customFormat="false" ht="46.25" hidden="false" customHeight="false" outlineLevel="0" collapsed="false">
      <c r="A132" s="5" t="s">
        <v>589</v>
      </c>
      <c r="B132" s="6" t="s">
        <v>590</v>
      </c>
      <c r="C132" s="5" t="n">
        <v>22411</v>
      </c>
      <c r="D132" s="5"/>
      <c r="E132" s="5"/>
      <c r="F132" s="5" t="s">
        <v>535</v>
      </c>
      <c r="G132" s="7" t="s">
        <v>42</v>
      </c>
      <c r="H132" s="6" t="s">
        <v>591</v>
      </c>
      <c r="I132" s="5" t="s">
        <v>529</v>
      </c>
      <c r="J132" s="5" t="s">
        <v>530</v>
      </c>
      <c r="K132" s="6" t="s">
        <v>592</v>
      </c>
      <c r="L132" s="5" t="s">
        <v>554</v>
      </c>
    </row>
    <row r="133" customFormat="false" ht="35.05" hidden="false" customHeight="false" outlineLevel="0" collapsed="false">
      <c r="A133" s="5" t="s">
        <v>593</v>
      </c>
      <c r="B133" s="6" t="s">
        <v>594</v>
      </c>
      <c r="C133" s="5" t="n">
        <v>48.8</v>
      </c>
      <c r="D133" s="5"/>
      <c r="E133" s="5"/>
      <c r="F133" s="5" t="s">
        <v>119</v>
      </c>
      <c r="G133" s="7" t="s">
        <v>42</v>
      </c>
      <c r="H133" s="6" t="s">
        <v>595</v>
      </c>
      <c r="I133" s="5" t="s">
        <v>529</v>
      </c>
      <c r="J133" s="5" t="s">
        <v>530</v>
      </c>
      <c r="K133" s="6" t="s">
        <v>577</v>
      </c>
      <c r="L133" s="5" t="s">
        <v>554</v>
      </c>
    </row>
    <row r="134" customFormat="false" ht="23.85" hidden="false" customHeight="false" outlineLevel="0" collapsed="false">
      <c r="A134" s="5" t="s">
        <v>596</v>
      </c>
      <c r="B134" s="6" t="s">
        <v>597</v>
      </c>
      <c r="C134" s="5" t="n">
        <v>3</v>
      </c>
      <c r="D134" s="5" t="n">
        <v>1</v>
      </c>
      <c r="E134" s="5" t="n">
        <v>6</v>
      </c>
      <c r="F134" s="5" t="s">
        <v>598</v>
      </c>
      <c r="G134" s="9" t="s">
        <v>365</v>
      </c>
      <c r="H134" s="6" t="s">
        <v>512</v>
      </c>
      <c r="I134" s="5"/>
      <c r="J134" s="5" t="s">
        <v>172</v>
      </c>
      <c r="K134" s="6" t="s">
        <v>599</v>
      </c>
      <c r="L134" s="5" t="s">
        <v>191</v>
      </c>
    </row>
    <row r="135" customFormat="false" ht="23.85" hidden="false" customHeight="false" outlineLevel="0" collapsed="false">
      <c r="A135" s="5" t="s">
        <v>600</v>
      </c>
      <c r="B135" s="6" t="s">
        <v>601</v>
      </c>
      <c r="C135" s="5" t="n">
        <v>2000</v>
      </c>
      <c r="D135" s="5" t="n">
        <v>1000</v>
      </c>
      <c r="E135" s="5" t="n">
        <v>3500</v>
      </c>
      <c r="F135" s="5" t="s">
        <v>602</v>
      </c>
      <c r="G135" s="9" t="s">
        <v>365</v>
      </c>
      <c r="H135" s="6" t="s">
        <v>512</v>
      </c>
      <c r="I135" s="5"/>
      <c r="J135" s="5" t="s">
        <v>172</v>
      </c>
      <c r="K135" s="6" t="s">
        <v>603</v>
      </c>
      <c r="L135" s="5" t="s">
        <v>191</v>
      </c>
    </row>
    <row r="136" customFormat="false" ht="23.85" hidden="false" customHeight="false" outlineLevel="0" collapsed="false">
      <c r="A136" s="5" t="s">
        <v>604</v>
      </c>
      <c r="B136" s="6" t="s">
        <v>605</v>
      </c>
      <c r="C136" s="5" t="n">
        <v>15</v>
      </c>
      <c r="D136" s="5" t="n">
        <v>10</v>
      </c>
      <c r="E136" s="5" t="n">
        <v>25</v>
      </c>
      <c r="F136" s="5" t="s">
        <v>119</v>
      </c>
      <c r="G136" s="9" t="s">
        <v>365</v>
      </c>
      <c r="H136" s="6" t="s">
        <v>512</v>
      </c>
      <c r="I136" s="5"/>
      <c r="J136" s="5" t="s">
        <v>172</v>
      </c>
      <c r="K136" s="6" t="s">
        <v>606</v>
      </c>
      <c r="L136" s="5" t="s">
        <v>191</v>
      </c>
    </row>
    <row r="137" customFormat="false" ht="15" hidden="false" customHeight="false" outlineLevel="0" collapsed="false">
      <c r="A137" s="5" t="s">
        <v>607</v>
      </c>
      <c r="B137" s="6" t="s">
        <v>608</v>
      </c>
      <c r="C137" s="5" t="n">
        <v>48</v>
      </c>
      <c r="D137" s="5" t="n">
        <v>36</v>
      </c>
      <c r="E137" s="5" t="n">
        <v>60</v>
      </c>
      <c r="F137" s="5" t="s">
        <v>95</v>
      </c>
      <c r="G137" s="9" t="s">
        <v>365</v>
      </c>
      <c r="H137" s="6" t="s">
        <v>512</v>
      </c>
      <c r="I137" s="5"/>
      <c r="J137" s="5" t="s">
        <v>172</v>
      </c>
      <c r="K137" s="6" t="s">
        <v>237</v>
      </c>
      <c r="L137" s="5" t="s">
        <v>191</v>
      </c>
    </row>
    <row r="138" customFormat="false" ht="15" hidden="false" customHeight="false" outlineLevel="0" collapsed="false">
      <c r="A138" s="5" t="s">
        <v>609</v>
      </c>
      <c r="B138" s="6" t="s">
        <v>610</v>
      </c>
      <c r="C138" s="5" t="n">
        <v>7</v>
      </c>
      <c r="D138" s="5" t="n">
        <v>4</v>
      </c>
      <c r="E138" s="5" t="n">
        <v>10</v>
      </c>
      <c r="F138" s="5" t="s">
        <v>119</v>
      </c>
      <c r="G138" s="9" t="s">
        <v>365</v>
      </c>
      <c r="H138" s="6" t="s">
        <v>512</v>
      </c>
      <c r="I138" s="5"/>
      <c r="J138" s="5" t="s">
        <v>172</v>
      </c>
      <c r="K138" s="6" t="s">
        <v>237</v>
      </c>
      <c r="L138" s="5" t="s">
        <v>191</v>
      </c>
    </row>
    <row r="139" customFormat="false" ht="23.85" hidden="false" customHeight="false" outlineLevel="0" collapsed="false">
      <c r="A139" s="5" t="s">
        <v>611</v>
      </c>
      <c r="B139" s="6" t="s">
        <v>612</v>
      </c>
      <c r="C139" s="5" t="n">
        <v>10420</v>
      </c>
      <c r="D139" s="5"/>
      <c r="E139" s="5"/>
      <c r="F139" s="5" t="s">
        <v>422</v>
      </c>
      <c r="G139" s="8" t="s">
        <v>170</v>
      </c>
      <c r="H139" s="6" t="s">
        <v>613</v>
      </c>
      <c r="I139" s="5"/>
      <c r="J139" s="5" t="s">
        <v>172</v>
      </c>
      <c r="K139" s="6" t="s">
        <v>614</v>
      </c>
      <c r="L139" s="5" t="s">
        <v>191</v>
      </c>
    </row>
    <row r="140" customFormat="false" ht="35.05" hidden="false" customHeight="false" outlineLevel="0" collapsed="false">
      <c r="A140" s="5" t="s">
        <v>615</v>
      </c>
      <c r="B140" s="6" t="s">
        <v>616</v>
      </c>
      <c r="C140" s="5" t="n">
        <v>-13.1</v>
      </c>
      <c r="D140" s="5"/>
      <c r="E140" s="5"/>
      <c r="F140" s="5" t="s">
        <v>119</v>
      </c>
      <c r="G140" s="8" t="s">
        <v>170</v>
      </c>
      <c r="H140" s="6" t="s">
        <v>171</v>
      </c>
      <c r="I140" s="5"/>
      <c r="J140" s="5" t="s">
        <v>172</v>
      </c>
      <c r="K140" s="6" t="s">
        <v>617</v>
      </c>
      <c r="L140" s="5" t="s">
        <v>67</v>
      </c>
    </row>
    <row r="141" customFormat="false" ht="23.85" hidden="false" customHeight="false" outlineLevel="0" collapsed="false">
      <c r="A141" s="5" t="s">
        <v>618</v>
      </c>
      <c r="B141" s="6" t="s">
        <v>619</v>
      </c>
      <c r="C141" s="5" t="n">
        <v>-5</v>
      </c>
      <c r="D141" s="5"/>
      <c r="E141" s="5"/>
      <c r="F141" s="5" t="s">
        <v>119</v>
      </c>
      <c r="G141" s="8" t="s">
        <v>170</v>
      </c>
      <c r="H141" s="6" t="s">
        <v>171</v>
      </c>
      <c r="I141" s="5"/>
      <c r="J141" s="5" t="s">
        <v>172</v>
      </c>
      <c r="K141" s="6" t="s">
        <v>237</v>
      </c>
      <c r="L141" s="5" t="s">
        <v>67</v>
      </c>
    </row>
    <row r="142" customFormat="false" ht="35.05" hidden="false" customHeight="false" outlineLevel="0" collapsed="false">
      <c r="A142" s="5" t="s">
        <v>620</v>
      </c>
      <c r="B142" s="6" t="s">
        <v>621</v>
      </c>
      <c r="C142" s="5" t="n">
        <v>-38</v>
      </c>
      <c r="D142" s="5"/>
      <c r="E142" s="5"/>
      <c r="F142" s="5" t="s">
        <v>119</v>
      </c>
      <c r="G142" s="8" t="s">
        <v>170</v>
      </c>
      <c r="H142" s="6" t="s">
        <v>171</v>
      </c>
      <c r="I142" s="5"/>
      <c r="J142" s="5" t="s">
        <v>172</v>
      </c>
      <c r="K142" s="6" t="s">
        <v>622</v>
      </c>
      <c r="L142" s="5" t="s">
        <v>56</v>
      </c>
    </row>
    <row r="143" customFormat="false" ht="23.85" hidden="false" customHeight="false" outlineLevel="0" collapsed="false">
      <c r="A143" s="5" t="s">
        <v>623</v>
      </c>
      <c r="B143" s="6" t="s">
        <v>624</v>
      </c>
      <c r="C143" s="5" t="n">
        <v>59.9</v>
      </c>
      <c r="D143" s="5"/>
      <c r="E143" s="5"/>
      <c r="F143" s="5" t="s">
        <v>119</v>
      </c>
      <c r="G143" s="8" t="s">
        <v>170</v>
      </c>
      <c r="H143" s="6" t="s">
        <v>171</v>
      </c>
      <c r="I143" s="5"/>
      <c r="J143" s="5" t="s">
        <v>172</v>
      </c>
      <c r="K143" s="6" t="s">
        <v>237</v>
      </c>
      <c r="L143" s="5" t="s">
        <v>56</v>
      </c>
    </row>
    <row r="144" customFormat="false" ht="46.25" hidden="false" customHeight="false" outlineLevel="0" collapsed="false">
      <c r="A144" s="5" t="s">
        <v>625</v>
      </c>
      <c r="B144" s="6" t="s">
        <v>626</v>
      </c>
      <c r="C144" s="5" t="n">
        <v>276902</v>
      </c>
      <c r="D144" s="5"/>
      <c r="E144" s="5"/>
      <c r="F144" s="5" t="s">
        <v>627</v>
      </c>
      <c r="G144" s="8" t="s">
        <v>170</v>
      </c>
      <c r="H144" s="6" t="s">
        <v>628</v>
      </c>
      <c r="I144" s="5"/>
      <c r="J144" s="5" t="s">
        <v>172</v>
      </c>
      <c r="K144" s="6" t="s">
        <v>629</v>
      </c>
      <c r="L144" s="5" t="s">
        <v>56</v>
      </c>
    </row>
    <row r="145" customFormat="false" ht="68.65" hidden="false" customHeight="false" outlineLevel="0" collapsed="false">
      <c r="A145" s="5" t="s">
        <v>630</v>
      </c>
      <c r="B145" s="6" t="s">
        <v>631</v>
      </c>
      <c r="C145" s="5" t="n">
        <v>17.4</v>
      </c>
      <c r="D145" s="5"/>
      <c r="E145" s="5"/>
      <c r="F145" s="5" t="s">
        <v>119</v>
      </c>
      <c r="G145" s="8" t="s">
        <v>170</v>
      </c>
      <c r="H145" s="6" t="s">
        <v>632</v>
      </c>
      <c r="I145" s="5"/>
      <c r="J145" s="5" t="s">
        <v>172</v>
      </c>
      <c r="K145" s="6" t="s">
        <v>633</v>
      </c>
      <c r="L145" s="5" t="s">
        <v>56</v>
      </c>
    </row>
    <row r="146" customFormat="false" ht="79.85" hidden="false" customHeight="false" outlineLevel="0" collapsed="false">
      <c r="A146" s="5" t="s">
        <v>634</v>
      </c>
      <c r="B146" s="6" t="s">
        <v>635</v>
      </c>
      <c r="C146" s="5" t="n">
        <v>21.9</v>
      </c>
      <c r="D146" s="5"/>
      <c r="E146" s="5"/>
      <c r="F146" s="5" t="s">
        <v>119</v>
      </c>
      <c r="G146" s="8" t="s">
        <v>170</v>
      </c>
      <c r="H146" s="6" t="s">
        <v>636</v>
      </c>
      <c r="I146" s="5"/>
      <c r="J146" s="5" t="s">
        <v>172</v>
      </c>
      <c r="K146" s="6" t="s">
        <v>637</v>
      </c>
      <c r="L146" s="5" t="s">
        <v>56</v>
      </c>
    </row>
    <row r="147" customFormat="false" ht="79.85" hidden="false" customHeight="false" outlineLevel="0" collapsed="false">
      <c r="A147" s="5" t="s">
        <v>638</v>
      </c>
      <c r="B147" s="6" t="s">
        <v>639</v>
      </c>
      <c r="C147" s="5" t="n">
        <v>98.7</v>
      </c>
      <c r="D147" s="5"/>
      <c r="E147" s="5"/>
      <c r="F147" s="5" t="s">
        <v>119</v>
      </c>
      <c r="G147" s="8" t="s">
        <v>170</v>
      </c>
      <c r="H147" s="6" t="s">
        <v>640</v>
      </c>
      <c r="I147" s="5"/>
      <c r="J147" s="5" t="s">
        <v>172</v>
      </c>
      <c r="K147" s="6" t="s">
        <v>641</v>
      </c>
      <c r="L147" s="5" t="s">
        <v>56</v>
      </c>
    </row>
    <row r="148" customFormat="false" ht="57.45" hidden="false" customHeight="false" outlineLevel="0" collapsed="false">
      <c r="A148" s="5" t="s">
        <v>642</v>
      </c>
      <c r="B148" s="6" t="s">
        <v>643</v>
      </c>
      <c r="C148" s="5" t="n">
        <v>96.7</v>
      </c>
      <c r="D148" s="5"/>
      <c r="E148" s="5"/>
      <c r="F148" s="5" t="s">
        <v>119</v>
      </c>
      <c r="G148" s="8" t="s">
        <v>170</v>
      </c>
      <c r="H148" s="6" t="s">
        <v>640</v>
      </c>
      <c r="I148" s="5"/>
      <c r="J148" s="5" t="s">
        <v>172</v>
      </c>
      <c r="K148" s="6" t="s">
        <v>644</v>
      </c>
      <c r="L148" s="5" t="s">
        <v>56</v>
      </c>
    </row>
    <row r="149" customFormat="false" ht="57.45" hidden="false" customHeight="false" outlineLevel="0" collapsed="false">
      <c r="A149" s="5" t="s">
        <v>645</v>
      </c>
      <c r="B149" s="6" t="s">
        <v>646</v>
      </c>
      <c r="C149" s="5" t="n">
        <v>20.7</v>
      </c>
      <c r="D149" s="5"/>
      <c r="E149" s="5"/>
      <c r="F149" s="5" t="s">
        <v>119</v>
      </c>
      <c r="G149" s="8" t="s">
        <v>170</v>
      </c>
      <c r="H149" s="6" t="s">
        <v>640</v>
      </c>
      <c r="I149" s="5"/>
      <c r="J149" s="5" t="s">
        <v>172</v>
      </c>
      <c r="K149" s="6" t="s">
        <v>647</v>
      </c>
      <c r="L149" s="5" t="s">
        <v>56</v>
      </c>
    </row>
    <row r="150" customFormat="false" ht="91" hidden="false" customHeight="false" outlineLevel="0" collapsed="false">
      <c r="A150" s="5" t="s">
        <v>648</v>
      </c>
      <c r="B150" s="6" t="s">
        <v>649</v>
      </c>
      <c r="C150" s="5" t="n">
        <v>7.4</v>
      </c>
      <c r="D150" s="5"/>
      <c r="E150" s="5"/>
      <c r="F150" s="5" t="s">
        <v>119</v>
      </c>
      <c r="G150" s="8" t="s">
        <v>170</v>
      </c>
      <c r="H150" s="6" t="s">
        <v>650</v>
      </c>
      <c r="I150" s="5"/>
      <c r="J150" s="5" t="s">
        <v>172</v>
      </c>
      <c r="K150" s="6" t="s">
        <v>651</v>
      </c>
      <c r="L150" s="5" t="s">
        <v>56</v>
      </c>
    </row>
    <row r="151" customFormat="false" ht="57.45" hidden="false" customHeight="false" outlineLevel="0" collapsed="false">
      <c r="A151" s="5" t="s">
        <v>652</v>
      </c>
      <c r="B151" s="6" t="s">
        <v>653</v>
      </c>
      <c r="C151" s="5" t="n">
        <v>80.3</v>
      </c>
      <c r="D151" s="5"/>
      <c r="E151" s="5"/>
      <c r="F151" s="5" t="s">
        <v>119</v>
      </c>
      <c r="G151" s="8" t="s">
        <v>170</v>
      </c>
      <c r="H151" s="6" t="s">
        <v>654</v>
      </c>
      <c r="I151" s="5"/>
      <c r="J151" s="5" t="s">
        <v>172</v>
      </c>
      <c r="K151" s="6" t="s">
        <v>655</v>
      </c>
      <c r="L151" s="5" t="s">
        <v>56</v>
      </c>
    </row>
    <row r="152" customFormat="false" ht="57.45" hidden="false" customHeight="false" outlineLevel="0" collapsed="false">
      <c r="A152" s="5" t="s">
        <v>656</v>
      </c>
      <c r="B152" s="6" t="s">
        <v>657</v>
      </c>
      <c r="C152" s="5" t="n">
        <v>96</v>
      </c>
      <c r="D152" s="5"/>
      <c r="E152" s="5"/>
      <c r="F152" s="5" t="s">
        <v>119</v>
      </c>
      <c r="G152" s="8" t="s">
        <v>170</v>
      </c>
      <c r="H152" s="6" t="s">
        <v>654</v>
      </c>
      <c r="I152" s="5"/>
      <c r="J152" s="5" t="s">
        <v>172</v>
      </c>
      <c r="K152" s="6" t="s">
        <v>658</v>
      </c>
      <c r="L152" s="5" t="s">
        <v>56</v>
      </c>
    </row>
    <row r="153" customFormat="false" ht="57.45" hidden="false" customHeight="false" outlineLevel="0" collapsed="false">
      <c r="A153" s="5" t="s">
        <v>659</v>
      </c>
      <c r="B153" s="6" t="s">
        <v>660</v>
      </c>
      <c r="C153" s="5" t="n">
        <v>8344</v>
      </c>
      <c r="D153" s="5"/>
      <c r="E153" s="5"/>
      <c r="F153" s="5" t="s">
        <v>627</v>
      </c>
      <c r="G153" s="8" t="s">
        <v>170</v>
      </c>
      <c r="H153" s="6" t="s">
        <v>654</v>
      </c>
      <c r="I153" s="5"/>
      <c r="J153" s="5" t="s">
        <v>172</v>
      </c>
      <c r="K153" s="6" t="s">
        <v>661</v>
      </c>
      <c r="L153" s="5" t="s">
        <v>56</v>
      </c>
    </row>
    <row r="154" customFormat="false" ht="35.05" hidden="false" customHeight="false" outlineLevel="0" collapsed="false">
      <c r="A154" s="5" t="s">
        <v>662</v>
      </c>
      <c r="B154" s="6" t="s">
        <v>663</v>
      </c>
      <c r="C154" s="5" t="n">
        <v>64.6</v>
      </c>
      <c r="D154" s="5"/>
      <c r="E154" s="5"/>
      <c r="F154" s="5" t="s">
        <v>664</v>
      </c>
      <c r="G154" s="8" t="s">
        <v>170</v>
      </c>
      <c r="H154" s="6" t="s">
        <v>194</v>
      </c>
      <c r="I154" s="5"/>
      <c r="J154" s="5" t="s">
        <v>665</v>
      </c>
      <c r="K154" s="6" t="s">
        <v>666</v>
      </c>
      <c r="L154" s="5" t="s">
        <v>56</v>
      </c>
    </row>
    <row r="155" customFormat="false" ht="35.05" hidden="false" customHeight="false" outlineLevel="0" collapsed="false">
      <c r="A155" s="5" t="s">
        <v>667</v>
      </c>
      <c r="B155" s="6" t="s">
        <v>668</v>
      </c>
      <c r="C155" s="5" t="n">
        <v>1.53</v>
      </c>
      <c r="D155" s="5"/>
      <c r="E155" s="5"/>
      <c r="F155" s="5" t="s">
        <v>669</v>
      </c>
      <c r="G155" s="8" t="s">
        <v>170</v>
      </c>
      <c r="H155" s="6" t="s">
        <v>194</v>
      </c>
      <c r="I155" s="5"/>
      <c r="J155" s="5" t="s">
        <v>665</v>
      </c>
      <c r="K155" s="6" t="s">
        <v>670</v>
      </c>
      <c r="L155" s="5" t="s">
        <v>56</v>
      </c>
    </row>
    <row r="156" customFormat="false" ht="57.45" hidden="false" customHeight="false" outlineLevel="0" collapsed="false">
      <c r="A156" s="5" t="s">
        <v>671</v>
      </c>
      <c r="B156" s="6" t="s">
        <v>672</v>
      </c>
      <c r="C156" s="5" t="n">
        <v>42.3</v>
      </c>
      <c r="D156" s="5"/>
      <c r="E156" s="5"/>
      <c r="F156" s="5" t="s">
        <v>673</v>
      </c>
      <c r="G156" s="8" t="s">
        <v>170</v>
      </c>
      <c r="H156" s="6" t="s">
        <v>194</v>
      </c>
      <c r="I156" s="5"/>
      <c r="J156" s="5" t="s">
        <v>665</v>
      </c>
      <c r="K156" s="6" t="s">
        <v>674</v>
      </c>
      <c r="L156" s="5" t="s">
        <v>56</v>
      </c>
    </row>
    <row r="157" customFormat="false" ht="46.25" hidden="false" customHeight="false" outlineLevel="0" collapsed="false">
      <c r="A157" s="5" t="s">
        <v>675</v>
      </c>
      <c r="B157" s="6" t="s">
        <v>676</v>
      </c>
      <c r="C157" s="5" t="n">
        <v>11969</v>
      </c>
      <c r="D157" s="5"/>
      <c r="E157" s="5"/>
      <c r="F157" s="5" t="s">
        <v>602</v>
      </c>
      <c r="G157" s="8" t="s">
        <v>170</v>
      </c>
      <c r="H157" s="6" t="s">
        <v>328</v>
      </c>
      <c r="I157" s="5"/>
      <c r="J157" s="5" t="s">
        <v>665</v>
      </c>
      <c r="K157" s="6" t="s">
        <v>677</v>
      </c>
      <c r="L157" s="5" t="s">
        <v>678</v>
      </c>
    </row>
    <row r="158" customFormat="false" ht="46.25" hidden="false" customHeight="false" outlineLevel="0" collapsed="false">
      <c r="A158" s="5" t="s">
        <v>679</v>
      </c>
      <c r="B158" s="6" t="s">
        <v>680</v>
      </c>
      <c r="C158" s="5" t="n">
        <v>10.5</v>
      </c>
      <c r="D158" s="5"/>
      <c r="E158" s="5"/>
      <c r="F158" s="5" t="s">
        <v>119</v>
      </c>
      <c r="G158" s="8" t="s">
        <v>170</v>
      </c>
      <c r="H158" s="6" t="s">
        <v>350</v>
      </c>
      <c r="I158" s="5"/>
      <c r="J158" s="5" t="s">
        <v>665</v>
      </c>
      <c r="K158" s="6" t="s">
        <v>681</v>
      </c>
      <c r="L158" s="5" t="s">
        <v>56</v>
      </c>
    </row>
    <row r="159" customFormat="false" ht="35.05" hidden="false" customHeight="false" outlineLevel="0" collapsed="false">
      <c r="A159" s="5" t="s">
        <v>682</v>
      </c>
      <c r="B159" s="6" t="s">
        <v>683</v>
      </c>
      <c r="C159" s="5" t="n">
        <v>2419</v>
      </c>
      <c r="D159" s="5"/>
      <c r="E159" s="5"/>
      <c r="F159" s="5" t="s">
        <v>50</v>
      </c>
      <c r="G159" s="7" t="s">
        <v>42</v>
      </c>
      <c r="H159" s="6" t="s">
        <v>684</v>
      </c>
      <c r="I159" s="5" t="s">
        <v>44</v>
      </c>
      <c r="J159" s="5" t="s">
        <v>665</v>
      </c>
      <c r="K159" s="6" t="s">
        <v>685</v>
      </c>
      <c r="L159" s="5" t="s">
        <v>56</v>
      </c>
    </row>
    <row r="160" customFormat="false" ht="35.05" hidden="false" customHeight="false" outlineLevel="0" collapsed="false">
      <c r="A160" s="5" t="s">
        <v>686</v>
      </c>
      <c r="B160" s="6" t="s">
        <v>687</v>
      </c>
      <c r="C160" s="5" t="n">
        <v>2576000</v>
      </c>
      <c r="D160" s="5"/>
      <c r="E160" s="5"/>
      <c r="F160" s="5" t="s">
        <v>41</v>
      </c>
      <c r="G160" s="7" t="s">
        <v>42</v>
      </c>
      <c r="H160" s="6" t="s">
        <v>684</v>
      </c>
      <c r="I160" s="5" t="s">
        <v>44</v>
      </c>
      <c r="J160" s="5" t="s">
        <v>665</v>
      </c>
      <c r="K160" s="6" t="s">
        <v>688</v>
      </c>
      <c r="L160" s="5" t="s">
        <v>56</v>
      </c>
    </row>
    <row r="161" customFormat="false" ht="46.25" hidden="false" customHeight="false" outlineLevel="0" collapsed="false">
      <c r="A161" s="5" t="s">
        <v>689</v>
      </c>
      <c r="B161" s="6" t="s">
        <v>690</v>
      </c>
      <c r="C161" s="5" t="n">
        <v>2576</v>
      </c>
      <c r="D161" s="5"/>
      <c r="E161" s="5"/>
      <c r="F161" s="5" t="s">
        <v>50</v>
      </c>
      <c r="G161" s="7" t="s">
        <v>42</v>
      </c>
      <c r="H161" s="6" t="s">
        <v>63</v>
      </c>
      <c r="I161" s="5" t="s">
        <v>64</v>
      </c>
      <c r="J161" s="5" t="s">
        <v>665</v>
      </c>
      <c r="K161" s="6" t="s">
        <v>691</v>
      </c>
      <c r="L161" s="5" t="s">
        <v>67</v>
      </c>
    </row>
    <row r="162" customFormat="false" ht="102.2" hidden="false" customHeight="false" outlineLevel="0" collapsed="false">
      <c r="A162" s="5" t="s">
        <v>692</v>
      </c>
      <c r="B162" s="6" t="s">
        <v>693</v>
      </c>
      <c r="C162" s="5" t="n">
        <v>10</v>
      </c>
      <c r="D162" s="5" t="n">
        <v>-1.4</v>
      </c>
      <c r="E162" s="5" t="n">
        <v>13.1</v>
      </c>
      <c r="F162" s="5" t="s">
        <v>205</v>
      </c>
      <c r="G162" s="9" t="s">
        <v>365</v>
      </c>
      <c r="H162" s="6" t="s">
        <v>694</v>
      </c>
      <c r="I162" s="5" t="s">
        <v>695</v>
      </c>
      <c r="J162" s="5" t="s">
        <v>665</v>
      </c>
      <c r="K162" s="6" t="s">
        <v>696</v>
      </c>
      <c r="L162" s="5" t="s">
        <v>678</v>
      </c>
    </row>
    <row r="163" customFormat="false" ht="113.4" hidden="false" customHeight="false" outlineLevel="0" collapsed="false">
      <c r="A163" s="5" t="s">
        <v>697</v>
      </c>
      <c r="B163" s="6" t="s">
        <v>698</v>
      </c>
      <c r="C163" s="5" t="n">
        <v>8</v>
      </c>
      <c r="D163" s="5" t="n">
        <v>5</v>
      </c>
      <c r="E163" s="5" t="n">
        <v>12</v>
      </c>
      <c r="F163" s="5" t="s">
        <v>205</v>
      </c>
      <c r="G163" s="9" t="s">
        <v>365</v>
      </c>
      <c r="H163" s="6" t="s">
        <v>699</v>
      </c>
      <c r="I163" s="5"/>
      <c r="J163" s="5" t="s">
        <v>665</v>
      </c>
      <c r="K163" s="6" t="s">
        <v>700</v>
      </c>
      <c r="L163" s="5" t="s">
        <v>678</v>
      </c>
    </row>
    <row r="164" customFormat="false" ht="102.2" hidden="false" customHeight="false" outlineLevel="0" collapsed="false">
      <c r="A164" s="5" t="s">
        <v>701</v>
      </c>
      <c r="B164" s="6" t="s">
        <v>702</v>
      </c>
      <c r="C164" s="5" t="n">
        <v>2.5</v>
      </c>
      <c r="D164" s="5" t="n">
        <v>1.25</v>
      </c>
      <c r="E164" s="5" t="n">
        <v>4</v>
      </c>
      <c r="F164" s="5" t="s">
        <v>205</v>
      </c>
      <c r="G164" s="9" t="s">
        <v>365</v>
      </c>
      <c r="H164" s="6" t="s">
        <v>703</v>
      </c>
      <c r="I164" s="5" t="s">
        <v>704</v>
      </c>
      <c r="J164" s="5" t="s">
        <v>665</v>
      </c>
      <c r="K164" s="6" t="s">
        <v>705</v>
      </c>
      <c r="L164" s="5" t="s">
        <v>678</v>
      </c>
    </row>
    <row r="165" customFormat="false" ht="102.2" hidden="false" customHeight="false" outlineLevel="0" collapsed="false">
      <c r="A165" s="5" t="s">
        <v>706</v>
      </c>
      <c r="B165" s="6" t="s">
        <v>707</v>
      </c>
      <c r="C165" s="5" t="n">
        <v>450</v>
      </c>
      <c r="D165" s="5" t="n">
        <v>399</v>
      </c>
      <c r="E165" s="5" t="n">
        <v>797</v>
      </c>
      <c r="F165" s="5" t="s">
        <v>602</v>
      </c>
      <c r="G165" s="9" t="s">
        <v>365</v>
      </c>
      <c r="H165" s="6" t="s">
        <v>708</v>
      </c>
      <c r="I165" s="5" t="s">
        <v>709</v>
      </c>
      <c r="J165" s="5" t="s">
        <v>665</v>
      </c>
      <c r="K165" s="6" t="s">
        <v>710</v>
      </c>
      <c r="L165" s="5" t="s">
        <v>678</v>
      </c>
    </row>
    <row r="166" customFormat="false" ht="79.85" hidden="false" customHeight="false" outlineLevel="0" collapsed="false">
      <c r="A166" s="5" t="s">
        <v>711</v>
      </c>
      <c r="B166" s="6" t="s">
        <v>712</v>
      </c>
      <c r="C166" s="5" t="n">
        <v>-66</v>
      </c>
      <c r="D166" s="5" t="n">
        <v>-106</v>
      </c>
      <c r="E166" s="5" t="n">
        <v>-64</v>
      </c>
      <c r="F166" s="5" t="s">
        <v>602</v>
      </c>
      <c r="G166" s="9" t="s">
        <v>365</v>
      </c>
      <c r="H166" s="6" t="s">
        <v>713</v>
      </c>
      <c r="I166" s="5" t="s">
        <v>709</v>
      </c>
      <c r="J166" s="5" t="s">
        <v>665</v>
      </c>
      <c r="K166" s="6" t="s">
        <v>714</v>
      </c>
      <c r="L166" s="5" t="s">
        <v>678</v>
      </c>
    </row>
    <row r="167" customFormat="false" ht="91" hidden="false" customHeight="false" outlineLevel="0" collapsed="false">
      <c r="A167" s="5" t="s">
        <v>715</v>
      </c>
      <c r="B167" s="6" t="s">
        <v>716</v>
      </c>
      <c r="C167" s="5" t="n">
        <v>400</v>
      </c>
      <c r="D167" s="5" t="n">
        <v>200</v>
      </c>
      <c r="E167" s="5" t="n">
        <v>900</v>
      </c>
      <c r="F167" s="5" t="s">
        <v>602</v>
      </c>
      <c r="G167" s="9" t="s">
        <v>365</v>
      </c>
      <c r="H167" s="6" t="s">
        <v>717</v>
      </c>
      <c r="I167" s="5" t="s">
        <v>718</v>
      </c>
      <c r="J167" s="5" t="s">
        <v>665</v>
      </c>
      <c r="K167" s="6" t="s">
        <v>719</v>
      </c>
      <c r="L167" s="5" t="s">
        <v>678</v>
      </c>
    </row>
    <row r="168" customFormat="false" ht="91" hidden="false" customHeight="false" outlineLevel="0" collapsed="false">
      <c r="A168" s="5" t="s">
        <v>720</v>
      </c>
      <c r="B168" s="6" t="s">
        <v>721</v>
      </c>
      <c r="C168" s="5" t="n">
        <v>-500</v>
      </c>
      <c r="D168" s="5" t="n">
        <v>-1020</v>
      </c>
      <c r="E168" s="5" t="n">
        <v>-300</v>
      </c>
      <c r="F168" s="5" t="s">
        <v>602</v>
      </c>
      <c r="G168" s="9" t="s">
        <v>365</v>
      </c>
      <c r="H168" s="6" t="s">
        <v>722</v>
      </c>
      <c r="I168" s="5" t="s">
        <v>723</v>
      </c>
      <c r="J168" s="5" t="s">
        <v>665</v>
      </c>
      <c r="K168" s="6" t="s">
        <v>724</v>
      </c>
      <c r="L168" s="5" t="s">
        <v>678</v>
      </c>
    </row>
    <row r="169" customFormat="false" ht="102.2" hidden="false" customHeight="false" outlineLevel="0" collapsed="false">
      <c r="A169" s="5" t="s">
        <v>725</v>
      </c>
      <c r="B169" s="6" t="s">
        <v>726</v>
      </c>
      <c r="C169" s="5" t="n">
        <v>300</v>
      </c>
      <c r="D169" s="5" t="n">
        <v>100</v>
      </c>
      <c r="E169" s="5" t="n">
        <v>1725</v>
      </c>
      <c r="F169" s="5" t="s">
        <v>602</v>
      </c>
      <c r="G169" s="9" t="s">
        <v>365</v>
      </c>
      <c r="H169" s="6" t="s">
        <v>727</v>
      </c>
      <c r="I169" s="5" t="s">
        <v>718</v>
      </c>
      <c r="J169" s="5" t="s">
        <v>665</v>
      </c>
      <c r="K169" s="6" t="s">
        <v>728</v>
      </c>
      <c r="L169" s="5" t="s">
        <v>678</v>
      </c>
    </row>
    <row r="170" customFormat="false" ht="124.6" hidden="false" customHeight="false" outlineLevel="0" collapsed="false">
      <c r="A170" s="5" t="s">
        <v>729</v>
      </c>
      <c r="B170" s="6" t="s">
        <v>730</v>
      </c>
      <c r="C170" s="5" t="n">
        <v>4</v>
      </c>
      <c r="D170" s="5" t="n">
        <v>3</v>
      </c>
      <c r="E170" s="5" t="n">
        <v>6</v>
      </c>
      <c r="F170" s="5" t="s">
        <v>50</v>
      </c>
      <c r="G170" s="9" t="s">
        <v>365</v>
      </c>
      <c r="H170" s="6" t="s">
        <v>731</v>
      </c>
      <c r="I170" s="5"/>
      <c r="J170" s="5" t="s">
        <v>665</v>
      </c>
      <c r="K170" s="6" t="s">
        <v>732</v>
      </c>
      <c r="L170" s="5" t="s">
        <v>733</v>
      </c>
    </row>
    <row r="171" customFormat="false" ht="124.6" hidden="false" customHeight="false" outlineLevel="0" collapsed="false">
      <c r="A171" s="5" t="s">
        <v>734</v>
      </c>
      <c r="B171" s="6" t="s">
        <v>735</v>
      </c>
      <c r="C171" s="5" t="n">
        <v>3</v>
      </c>
      <c r="D171" s="5" t="n">
        <v>2</v>
      </c>
      <c r="E171" s="5" t="n">
        <v>4</v>
      </c>
      <c r="F171" s="5" t="s">
        <v>50</v>
      </c>
      <c r="G171" s="9" t="s">
        <v>365</v>
      </c>
      <c r="H171" s="6" t="s">
        <v>731</v>
      </c>
      <c r="I171" s="5"/>
      <c r="J171" s="5" t="s">
        <v>665</v>
      </c>
      <c r="K171" s="6" t="s">
        <v>736</v>
      </c>
      <c r="L171" s="5" t="s">
        <v>733</v>
      </c>
    </row>
    <row r="172" customFormat="false" ht="79.85" hidden="false" customHeight="false" outlineLevel="0" collapsed="false">
      <c r="A172" s="5" t="s">
        <v>737</v>
      </c>
      <c r="B172" s="6" t="s">
        <v>738</v>
      </c>
      <c r="C172" s="5" t="n">
        <v>95</v>
      </c>
      <c r="D172" s="5"/>
      <c r="E172" s="5"/>
      <c r="F172" s="5" t="s">
        <v>739</v>
      </c>
      <c r="G172" s="10" t="s">
        <v>740</v>
      </c>
      <c r="H172" s="6" t="s">
        <v>741</v>
      </c>
      <c r="I172" s="5"/>
      <c r="J172" s="5" t="s">
        <v>517</v>
      </c>
      <c r="K172" s="6" t="s">
        <v>742</v>
      </c>
      <c r="L172" s="5" t="s">
        <v>743</v>
      </c>
    </row>
    <row r="173" customFormat="false" ht="46.25" hidden="false" customHeight="false" outlineLevel="0" collapsed="false">
      <c r="A173" s="5" t="s">
        <v>744</v>
      </c>
      <c r="B173" s="6" t="s">
        <v>745</v>
      </c>
      <c r="C173" s="5" t="n">
        <v>95</v>
      </c>
      <c r="D173" s="5"/>
      <c r="E173" s="5"/>
      <c r="F173" s="5" t="s">
        <v>739</v>
      </c>
      <c r="G173" s="10" t="s">
        <v>740</v>
      </c>
      <c r="H173" s="6" t="s">
        <v>741</v>
      </c>
      <c r="I173" s="5"/>
      <c r="J173" s="5" t="s">
        <v>517</v>
      </c>
      <c r="K173" s="6" t="s">
        <v>746</v>
      </c>
      <c r="L173" s="5" t="s">
        <v>743</v>
      </c>
    </row>
    <row r="174" customFormat="false" ht="124.6" hidden="false" customHeight="false" outlineLevel="0" collapsed="false">
      <c r="A174" s="5" t="s">
        <v>747</v>
      </c>
      <c r="B174" s="6" t="s">
        <v>748</v>
      </c>
      <c r="C174" s="5" t="n">
        <v>90</v>
      </c>
      <c r="D174" s="5"/>
      <c r="E174" s="5"/>
      <c r="F174" s="5" t="s">
        <v>119</v>
      </c>
      <c r="G174" s="10" t="s">
        <v>740</v>
      </c>
      <c r="H174" s="6" t="s">
        <v>741</v>
      </c>
      <c r="I174" s="5"/>
      <c r="J174" s="5" t="s">
        <v>517</v>
      </c>
      <c r="K174" s="6" t="s">
        <v>749</v>
      </c>
      <c r="L174" s="5" t="s">
        <v>743</v>
      </c>
    </row>
    <row r="175" customFormat="false" ht="124.6" hidden="false" customHeight="false" outlineLevel="0" collapsed="false">
      <c r="A175" s="5" t="s">
        <v>750</v>
      </c>
      <c r="B175" s="6" t="s">
        <v>751</v>
      </c>
      <c r="C175" s="5" t="n">
        <v>70</v>
      </c>
      <c r="D175" s="5"/>
      <c r="E175" s="5"/>
      <c r="F175" s="5" t="s">
        <v>119</v>
      </c>
      <c r="G175" s="10" t="s">
        <v>740</v>
      </c>
      <c r="H175" s="6" t="s">
        <v>741</v>
      </c>
      <c r="I175" s="5"/>
      <c r="J175" s="5" t="s">
        <v>517</v>
      </c>
      <c r="K175" s="6" t="s">
        <v>752</v>
      </c>
      <c r="L175" s="5" t="s">
        <v>743</v>
      </c>
    </row>
    <row r="176" customFormat="false" ht="46.25" hidden="false" customHeight="false" outlineLevel="0" collapsed="false">
      <c r="A176" s="5" t="s">
        <v>753</v>
      </c>
      <c r="B176" s="6" t="s">
        <v>754</v>
      </c>
      <c r="C176" s="5" t="n">
        <v>0.5</v>
      </c>
      <c r="D176" s="5"/>
      <c r="E176" s="5"/>
      <c r="F176" s="5" t="s">
        <v>755</v>
      </c>
      <c r="G176" s="10" t="s">
        <v>740</v>
      </c>
      <c r="H176" s="6" t="s">
        <v>741</v>
      </c>
      <c r="I176" s="5"/>
      <c r="J176" s="5" t="s">
        <v>517</v>
      </c>
      <c r="K176" s="6" t="s">
        <v>756</v>
      </c>
      <c r="L176" s="5" t="s">
        <v>743</v>
      </c>
    </row>
    <row r="177" customFormat="false" ht="180.55" hidden="false" customHeight="false" outlineLevel="0" collapsed="false">
      <c r="A177" s="5" t="s">
        <v>757</v>
      </c>
      <c r="B177" s="6" t="s">
        <v>758</v>
      </c>
      <c r="C177" s="5" t="n">
        <v>2</v>
      </c>
      <c r="D177" s="5"/>
      <c r="E177" s="5"/>
      <c r="F177" s="5" t="s">
        <v>598</v>
      </c>
      <c r="G177" s="10" t="s">
        <v>740</v>
      </c>
      <c r="H177" s="6" t="s">
        <v>741</v>
      </c>
      <c r="I177" s="5"/>
      <c r="J177" s="5" t="s">
        <v>517</v>
      </c>
      <c r="K177" s="6" t="s">
        <v>759</v>
      </c>
      <c r="L177" s="5" t="s">
        <v>743</v>
      </c>
    </row>
    <row r="178" customFormat="false" ht="46.25" hidden="false" customHeight="false" outlineLevel="0" collapsed="false">
      <c r="A178" s="5" t="s">
        <v>760</v>
      </c>
      <c r="B178" s="6" t="s">
        <v>761</v>
      </c>
      <c r="C178" s="5" t="n">
        <v>95</v>
      </c>
      <c r="D178" s="5"/>
      <c r="E178" s="5"/>
      <c r="F178" s="5" t="s">
        <v>119</v>
      </c>
      <c r="G178" s="10" t="s">
        <v>740</v>
      </c>
      <c r="H178" s="6" t="s">
        <v>741</v>
      </c>
      <c r="I178" s="5"/>
      <c r="J178" s="5" t="s">
        <v>665</v>
      </c>
      <c r="K178" s="6" t="s">
        <v>762</v>
      </c>
      <c r="L178" s="5" t="s">
        <v>743</v>
      </c>
    </row>
    <row r="179" customFormat="false" ht="202.95" hidden="false" customHeight="false" outlineLevel="0" collapsed="false">
      <c r="A179" s="5" t="s">
        <v>763</v>
      </c>
      <c r="B179" s="6" t="s">
        <v>764</v>
      </c>
      <c r="C179" s="5" t="n">
        <v>58</v>
      </c>
      <c r="D179" s="5"/>
      <c r="E179" s="5"/>
      <c r="F179" s="5" t="s">
        <v>463</v>
      </c>
      <c r="G179" s="10" t="s">
        <v>740</v>
      </c>
      <c r="H179" s="6" t="s">
        <v>765</v>
      </c>
      <c r="I179" s="5"/>
      <c r="J179" s="5" t="s">
        <v>517</v>
      </c>
      <c r="K179" s="6" t="s">
        <v>766</v>
      </c>
      <c r="L179" s="5" t="s">
        <v>743</v>
      </c>
    </row>
    <row r="180" customFormat="false" ht="35.05" hidden="false" customHeight="false" outlineLevel="0" collapsed="false">
      <c r="A180" s="5" t="s">
        <v>767</v>
      </c>
      <c r="B180" s="6" t="s">
        <v>768</v>
      </c>
      <c r="C180" s="5" t="n">
        <v>10</v>
      </c>
      <c r="D180" s="5"/>
      <c r="E180" s="5"/>
      <c r="F180" s="5" t="s">
        <v>769</v>
      </c>
      <c r="G180" s="10" t="s">
        <v>740</v>
      </c>
      <c r="H180" s="6" t="s">
        <v>741</v>
      </c>
      <c r="I180" s="5"/>
      <c r="J180" s="5" t="s">
        <v>665</v>
      </c>
      <c r="K180" s="6" t="s">
        <v>770</v>
      </c>
      <c r="L180" s="5" t="s">
        <v>771</v>
      </c>
    </row>
    <row r="181" customFormat="false" ht="57.45" hidden="false" customHeight="false" outlineLevel="0" collapsed="false">
      <c r="A181" s="5" t="s">
        <v>772</v>
      </c>
      <c r="B181" s="6" t="s">
        <v>773</v>
      </c>
      <c r="C181" s="5" t="n">
        <v>5</v>
      </c>
      <c r="D181" s="5"/>
      <c r="E181" s="5"/>
      <c r="F181" s="5" t="s">
        <v>774</v>
      </c>
      <c r="G181" s="10" t="s">
        <v>740</v>
      </c>
      <c r="H181" s="6" t="s">
        <v>741</v>
      </c>
      <c r="I181" s="5"/>
      <c r="J181" s="5" t="s">
        <v>665</v>
      </c>
      <c r="K181" s="6" t="s">
        <v>775</v>
      </c>
      <c r="L181" s="5" t="s">
        <v>771</v>
      </c>
    </row>
    <row r="182" customFormat="false" ht="57.45" hidden="false" customHeight="false" outlineLevel="0" collapsed="false">
      <c r="A182" s="5" t="s">
        <v>776</v>
      </c>
      <c r="B182" s="6" t="s">
        <v>777</v>
      </c>
      <c r="C182" s="5" t="n">
        <v>1.5</v>
      </c>
      <c r="D182" s="5"/>
      <c r="E182" s="5"/>
      <c r="F182" s="5" t="s">
        <v>119</v>
      </c>
      <c r="G182" s="10" t="s">
        <v>740</v>
      </c>
      <c r="H182" s="6" t="s">
        <v>741</v>
      </c>
      <c r="I182" s="5"/>
      <c r="J182" s="5" t="s">
        <v>665</v>
      </c>
      <c r="K182" s="6" t="s">
        <v>778</v>
      </c>
      <c r="L182" s="5" t="s">
        <v>771</v>
      </c>
    </row>
    <row r="183" customFormat="false" ht="57.45" hidden="false" customHeight="false" outlineLevel="0" collapsed="false">
      <c r="A183" s="5" t="s">
        <v>779</v>
      </c>
      <c r="B183" s="6" t="s">
        <v>780</v>
      </c>
      <c r="C183" s="5" t="n">
        <v>3</v>
      </c>
      <c r="D183" s="5"/>
      <c r="E183" s="5"/>
      <c r="F183" s="5" t="s">
        <v>669</v>
      </c>
      <c r="G183" s="10" t="s">
        <v>740</v>
      </c>
      <c r="H183" s="6" t="s">
        <v>741</v>
      </c>
      <c r="I183" s="5"/>
      <c r="J183" s="5" t="s">
        <v>665</v>
      </c>
      <c r="K183" s="6" t="s">
        <v>781</v>
      </c>
      <c r="L183" s="5" t="s">
        <v>771</v>
      </c>
    </row>
    <row r="184" customFormat="false" ht="147" hidden="false" customHeight="false" outlineLevel="0" collapsed="false">
      <c r="A184" s="5" t="s">
        <v>782</v>
      </c>
      <c r="B184" s="6" t="s">
        <v>783</v>
      </c>
      <c r="C184" s="5" t="n">
        <v>5</v>
      </c>
      <c r="D184" s="5"/>
      <c r="E184" s="5"/>
      <c r="F184" s="5" t="s">
        <v>755</v>
      </c>
      <c r="G184" s="10" t="s">
        <v>740</v>
      </c>
      <c r="H184" s="6" t="s">
        <v>784</v>
      </c>
      <c r="I184" s="5"/>
      <c r="J184" s="5" t="s">
        <v>258</v>
      </c>
      <c r="K184" s="6" t="s">
        <v>785</v>
      </c>
      <c r="L184" s="5" t="s">
        <v>786</v>
      </c>
    </row>
    <row r="185" customFormat="false" ht="79.85" hidden="false" customHeight="false" outlineLevel="0" collapsed="false">
      <c r="A185" s="5" t="s">
        <v>787</v>
      </c>
      <c r="B185" s="6" t="s">
        <v>788</v>
      </c>
      <c r="C185" s="5" t="n">
        <v>0.3</v>
      </c>
      <c r="D185" s="5" t="n">
        <v>0.239</v>
      </c>
      <c r="E185" s="5" t="n">
        <v>0.361</v>
      </c>
      <c r="F185" s="5" t="s">
        <v>789</v>
      </c>
      <c r="G185" s="8" t="s">
        <v>170</v>
      </c>
      <c r="H185" s="6" t="s">
        <v>790</v>
      </c>
      <c r="I185" s="5"/>
      <c r="J185" s="5" t="s">
        <v>791</v>
      </c>
      <c r="K185" s="6" t="s">
        <v>792</v>
      </c>
      <c r="L185" s="5" t="s">
        <v>67</v>
      </c>
    </row>
    <row r="186" customFormat="false" ht="57.45" hidden="false" customHeight="false" outlineLevel="0" collapsed="false">
      <c r="A186" s="5" t="s">
        <v>793</v>
      </c>
      <c r="B186" s="6" t="s">
        <v>794</v>
      </c>
      <c r="C186" s="5" t="n">
        <v>3.1</v>
      </c>
      <c r="D186" s="5" t="n">
        <v>2.5</v>
      </c>
      <c r="E186" s="5" t="n">
        <v>3.7</v>
      </c>
      <c r="F186" s="5" t="s">
        <v>795</v>
      </c>
      <c r="G186" s="8" t="s">
        <v>170</v>
      </c>
      <c r="H186" s="6" t="s">
        <v>790</v>
      </c>
      <c r="I186" s="5"/>
      <c r="J186" s="5" t="s">
        <v>791</v>
      </c>
      <c r="K186" s="6" t="s">
        <v>796</v>
      </c>
      <c r="L186" s="5" t="s">
        <v>67</v>
      </c>
    </row>
    <row r="187" customFormat="false" ht="46.25" hidden="false" customHeight="false" outlineLevel="0" collapsed="false">
      <c r="A187" s="5" t="s">
        <v>797</v>
      </c>
      <c r="B187" s="6" t="s">
        <v>798</v>
      </c>
      <c r="C187" s="5" t="n">
        <v>0.033</v>
      </c>
      <c r="D187" s="5"/>
      <c r="E187" s="5"/>
      <c r="F187" s="5" t="s">
        <v>789</v>
      </c>
      <c r="G187" s="8" t="s">
        <v>170</v>
      </c>
      <c r="H187" s="6" t="s">
        <v>790</v>
      </c>
      <c r="I187" s="5"/>
      <c r="J187" s="5" t="s">
        <v>791</v>
      </c>
      <c r="K187" s="6" t="s">
        <v>799</v>
      </c>
      <c r="L187" s="5" t="s">
        <v>56</v>
      </c>
    </row>
    <row r="188" customFormat="false" ht="46.25" hidden="false" customHeight="false" outlineLevel="0" collapsed="false">
      <c r="A188" s="5" t="s">
        <v>800</v>
      </c>
      <c r="B188" s="6" t="s">
        <v>801</v>
      </c>
      <c r="C188" s="5" t="n">
        <v>-10.3</v>
      </c>
      <c r="D188" s="5" t="n">
        <v>-13.2</v>
      </c>
      <c r="E188" s="5" t="n">
        <v>-7.3</v>
      </c>
      <c r="F188" s="5" t="s">
        <v>119</v>
      </c>
      <c r="G188" s="8" t="s">
        <v>170</v>
      </c>
      <c r="H188" s="6" t="s">
        <v>790</v>
      </c>
      <c r="I188" s="5"/>
      <c r="J188" s="5" t="s">
        <v>791</v>
      </c>
      <c r="K188" s="6" t="s">
        <v>802</v>
      </c>
      <c r="L188" s="5" t="s">
        <v>56</v>
      </c>
    </row>
    <row r="189" customFormat="false" ht="68.65" hidden="false" customHeight="false" outlineLevel="0" collapsed="false">
      <c r="A189" s="5" t="s">
        <v>803</v>
      </c>
      <c r="B189" s="6" t="s">
        <v>804</v>
      </c>
      <c r="C189" s="5" t="n">
        <v>-1.1</v>
      </c>
      <c r="D189" s="5" t="n">
        <v>-6.3</v>
      </c>
      <c r="E189" s="5" t="n">
        <v>4.5</v>
      </c>
      <c r="F189" s="5" t="s">
        <v>119</v>
      </c>
      <c r="G189" s="8" t="s">
        <v>170</v>
      </c>
      <c r="H189" s="6" t="s">
        <v>790</v>
      </c>
      <c r="I189" s="5"/>
      <c r="J189" s="5" t="s">
        <v>791</v>
      </c>
      <c r="K189" s="6" t="s">
        <v>805</v>
      </c>
      <c r="L189" s="5" t="s">
        <v>56</v>
      </c>
    </row>
    <row r="190" customFormat="false" ht="57.45" hidden="false" customHeight="false" outlineLevel="0" collapsed="false">
      <c r="A190" s="5" t="s">
        <v>806</v>
      </c>
      <c r="B190" s="6" t="s">
        <v>807</v>
      </c>
      <c r="C190" s="5" t="n">
        <v>-0.013</v>
      </c>
      <c r="D190" s="5"/>
      <c r="E190" s="5"/>
      <c r="F190" s="5" t="s">
        <v>789</v>
      </c>
      <c r="G190" s="8" t="s">
        <v>170</v>
      </c>
      <c r="H190" s="6" t="s">
        <v>790</v>
      </c>
      <c r="I190" s="5"/>
      <c r="J190" s="5" t="s">
        <v>791</v>
      </c>
      <c r="K190" s="6" t="s">
        <v>808</v>
      </c>
      <c r="L190" s="5" t="s">
        <v>56</v>
      </c>
    </row>
    <row r="191" customFormat="false" ht="46.25" hidden="false" customHeight="false" outlineLevel="0" collapsed="false">
      <c r="A191" s="5" t="s">
        <v>809</v>
      </c>
      <c r="B191" s="6" t="s">
        <v>810</v>
      </c>
      <c r="C191" s="5" t="n">
        <v>0.056</v>
      </c>
      <c r="D191" s="5"/>
      <c r="E191" s="5"/>
      <c r="F191" s="5" t="s">
        <v>789</v>
      </c>
      <c r="G191" s="8" t="s">
        <v>170</v>
      </c>
      <c r="H191" s="6" t="s">
        <v>790</v>
      </c>
      <c r="I191" s="5"/>
      <c r="J191" s="5" t="s">
        <v>791</v>
      </c>
      <c r="K191" s="6" t="s">
        <v>811</v>
      </c>
      <c r="L191" s="5" t="s">
        <v>56</v>
      </c>
    </row>
    <row r="192" customFormat="false" ht="113.4" hidden="false" customHeight="false" outlineLevel="0" collapsed="false">
      <c r="A192" s="5" t="s">
        <v>812</v>
      </c>
      <c r="B192" s="6" t="s">
        <v>813</v>
      </c>
      <c r="C192" s="5" t="n">
        <v>6.5</v>
      </c>
      <c r="D192" s="5"/>
      <c r="E192" s="5"/>
      <c r="F192" s="5" t="s">
        <v>814</v>
      </c>
      <c r="G192" s="7" t="s">
        <v>42</v>
      </c>
      <c r="H192" s="6" t="s">
        <v>815</v>
      </c>
      <c r="I192" s="5" t="s">
        <v>816</v>
      </c>
      <c r="J192" s="5" t="s">
        <v>817</v>
      </c>
      <c r="K192" s="6" t="s">
        <v>818</v>
      </c>
      <c r="L192" s="5" t="s">
        <v>67</v>
      </c>
    </row>
    <row r="193" customFormat="false" ht="124.6" hidden="false" customHeight="false" outlineLevel="0" collapsed="false">
      <c r="A193" s="5" t="s">
        <v>819</v>
      </c>
      <c r="B193" s="6" t="s">
        <v>820</v>
      </c>
      <c r="C193" s="5" t="n">
        <v>1.5</v>
      </c>
      <c r="D193" s="5"/>
      <c r="E193" s="5"/>
      <c r="F193" s="5" t="s">
        <v>814</v>
      </c>
      <c r="G193" s="7" t="s">
        <v>42</v>
      </c>
      <c r="H193" s="6" t="s">
        <v>815</v>
      </c>
      <c r="I193" s="5" t="s">
        <v>816</v>
      </c>
      <c r="J193" s="5" t="s">
        <v>817</v>
      </c>
      <c r="K193" s="6" t="s">
        <v>821</v>
      </c>
      <c r="L193" s="5" t="s">
        <v>67</v>
      </c>
    </row>
    <row r="194" customFormat="false" ht="102.2" hidden="false" customHeight="false" outlineLevel="0" collapsed="false">
      <c r="A194" s="5" t="s">
        <v>822</v>
      </c>
      <c r="B194" s="6" t="s">
        <v>823</v>
      </c>
      <c r="C194" s="5" t="n">
        <v>18.2</v>
      </c>
      <c r="D194" s="5"/>
      <c r="E194" s="5"/>
      <c r="F194" s="5" t="s">
        <v>824</v>
      </c>
      <c r="G194" s="8" t="s">
        <v>170</v>
      </c>
      <c r="H194" s="6" t="s">
        <v>825</v>
      </c>
      <c r="I194" s="5"/>
      <c r="J194" s="5" t="s">
        <v>826</v>
      </c>
      <c r="K194" s="6" t="s">
        <v>827</v>
      </c>
      <c r="L194" s="5" t="s">
        <v>56</v>
      </c>
    </row>
    <row r="195" customFormat="false" ht="102.2" hidden="false" customHeight="false" outlineLevel="0" collapsed="false">
      <c r="A195" s="5" t="s">
        <v>828</v>
      </c>
      <c r="B195" s="6" t="s">
        <v>829</v>
      </c>
      <c r="C195" s="5" t="n">
        <v>27.8</v>
      </c>
      <c r="D195" s="5"/>
      <c r="E195" s="5"/>
      <c r="F195" s="5" t="s">
        <v>147</v>
      </c>
      <c r="G195" s="8" t="s">
        <v>170</v>
      </c>
      <c r="H195" s="6" t="s">
        <v>825</v>
      </c>
      <c r="I195" s="5"/>
      <c r="J195" s="5" t="s">
        <v>826</v>
      </c>
      <c r="K195" s="6" t="s">
        <v>830</v>
      </c>
      <c r="L195" s="5" t="s">
        <v>56</v>
      </c>
    </row>
    <row r="196" customFormat="false" ht="91" hidden="false" customHeight="false" outlineLevel="0" collapsed="false">
      <c r="A196" s="5" t="s">
        <v>831</v>
      </c>
      <c r="B196" s="6" t="s">
        <v>832</v>
      </c>
      <c r="C196" s="5" t="n">
        <v>5</v>
      </c>
      <c r="D196" s="5"/>
      <c r="E196" s="5"/>
      <c r="F196" s="5" t="s">
        <v>833</v>
      </c>
      <c r="G196" s="8" t="s">
        <v>170</v>
      </c>
      <c r="H196" s="6" t="s">
        <v>825</v>
      </c>
      <c r="I196" s="5"/>
      <c r="J196" s="5" t="s">
        <v>826</v>
      </c>
      <c r="K196" s="6" t="s">
        <v>834</v>
      </c>
      <c r="L196" s="5" t="s">
        <v>56</v>
      </c>
    </row>
    <row r="197" customFormat="false" ht="91" hidden="false" customHeight="false" outlineLevel="0" collapsed="false">
      <c r="A197" s="5" t="s">
        <v>835</v>
      </c>
      <c r="B197" s="6" t="s">
        <v>836</v>
      </c>
      <c r="C197" s="5" t="n">
        <v>15.1</v>
      </c>
      <c r="D197" s="5"/>
      <c r="E197" s="5"/>
      <c r="F197" s="5" t="s">
        <v>147</v>
      </c>
      <c r="G197" s="8" t="s">
        <v>170</v>
      </c>
      <c r="H197" s="6" t="s">
        <v>825</v>
      </c>
      <c r="I197" s="5"/>
      <c r="J197" s="5" t="s">
        <v>826</v>
      </c>
      <c r="K197" s="6" t="s">
        <v>837</v>
      </c>
      <c r="L197" s="5" t="s">
        <v>56</v>
      </c>
    </row>
    <row r="198" customFormat="false" ht="102.2" hidden="false" customHeight="false" outlineLevel="0" collapsed="false">
      <c r="A198" s="5" t="s">
        <v>838</v>
      </c>
      <c r="B198" s="6" t="s">
        <v>839</v>
      </c>
      <c r="C198" s="5" t="n">
        <v>1.84</v>
      </c>
      <c r="D198" s="5"/>
      <c r="E198" s="5"/>
      <c r="F198" s="5" t="s">
        <v>840</v>
      </c>
      <c r="G198" s="8" t="s">
        <v>170</v>
      </c>
      <c r="H198" s="6" t="s">
        <v>825</v>
      </c>
      <c r="I198" s="5"/>
      <c r="J198" s="5" t="s">
        <v>826</v>
      </c>
      <c r="K198" s="6" t="s">
        <v>841</v>
      </c>
      <c r="L198" s="5" t="s">
        <v>56</v>
      </c>
    </row>
    <row r="199" customFormat="false" ht="91" hidden="false" customHeight="false" outlineLevel="0" collapsed="false">
      <c r="A199" s="5" t="s">
        <v>842</v>
      </c>
      <c r="B199" s="6" t="s">
        <v>843</v>
      </c>
      <c r="C199" s="5" t="n">
        <v>6759930</v>
      </c>
      <c r="D199" s="5"/>
      <c r="E199" s="5"/>
      <c r="F199" s="5" t="s">
        <v>844</v>
      </c>
      <c r="G199" s="8" t="s">
        <v>170</v>
      </c>
      <c r="H199" s="6" t="s">
        <v>825</v>
      </c>
      <c r="I199" s="5"/>
      <c r="J199" s="5" t="s">
        <v>826</v>
      </c>
      <c r="K199" s="6" t="s">
        <v>845</v>
      </c>
      <c r="L199" s="5" t="s">
        <v>56</v>
      </c>
    </row>
    <row r="200" customFormat="false" ht="113.4" hidden="false" customHeight="false" outlineLevel="0" collapsed="false">
      <c r="A200" s="5" t="s">
        <v>846</v>
      </c>
      <c r="B200" s="6" t="s">
        <v>847</v>
      </c>
      <c r="C200" s="5" t="n">
        <v>21.5</v>
      </c>
      <c r="D200" s="5"/>
      <c r="E200" s="5"/>
      <c r="F200" s="5" t="s">
        <v>848</v>
      </c>
      <c r="G200" s="8" t="s">
        <v>170</v>
      </c>
      <c r="H200" s="6" t="s">
        <v>825</v>
      </c>
      <c r="I200" s="5"/>
      <c r="J200" s="5" t="s">
        <v>826</v>
      </c>
      <c r="K200" s="6" t="s">
        <v>849</v>
      </c>
      <c r="L200" s="5" t="s">
        <v>56</v>
      </c>
    </row>
    <row r="201" customFormat="false" ht="46.25" hidden="false" customHeight="false" outlineLevel="0" collapsed="false">
      <c r="A201" s="5" t="s">
        <v>850</v>
      </c>
      <c r="B201" s="6" t="s">
        <v>851</v>
      </c>
      <c r="C201" s="5" t="n">
        <v>1931085</v>
      </c>
      <c r="D201" s="5"/>
      <c r="E201" s="5"/>
      <c r="F201" s="5" t="s">
        <v>852</v>
      </c>
      <c r="G201" s="8" t="s">
        <v>170</v>
      </c>
      <c r="H201" s="6" t="s">
        <v>825</v>
      </c>
      <c r="I201" s="5"/>
      <c r="J201" s="5" t="s">
        <v>826</v>
      </c>
      <c r="K201" s="6" t="s">
        <v>853</v>
      </c>
      <c r="L201" s="5" t="s">
        <v>56</v>
      </c>
    </row>
    <row r="202" customFormat="false" ht="46.25" hidden="false" customHeight="false" outlineLevel="0" collapsed="false">
      <c r="A202" s="5" t="s">
        <v>854</v>
      </c>
      <c r="B202" s="6" t="s">
        <v>855</v>
      </c>
      <c r="C202" s="5" t="n">
        <v>-9.1</v>
      </c>
      <c r="D202" s="5"/>
      <c r="E202" s="5"/>
      <c r="F202" s="5" t="s">
        <v>119</v>
      </c>
      <c r="G202" s="8" t="s">
        <v>170</v>
      </c>
      <c r="H202" s="6" t="s">
        <v>825</v>
      </c>
      <c r="I202" s="5"/>
      <c r="J202" s="5" t="s">
        <v>826</v>
      </c>
      <c r="K202" s="6" t="s">
        <v>856</v>
      </c>
      <c r="L202" s="5" t="s">
        <v>56</v>
      </c>
    </row>
    <row r="203" customFormat="false" ht="46.25" hidden="false" customHeight="false" outlineLevel="0" collapsed="false">
      <c r="A203" s="5" t="s">
        <v>857</v>
      </c>
      <c r="B203" s="6" t="s">
        <v>858</v>
      </c>
      <c r="C203" s="5" t="n">
        <v>2124429</v>
      </c>
      <c r="D203" s="5"/>
      <c r="E203" s="5"/>
      <c r="F203" s="5" t="s">
        <v>844</v>
      </c>
      <c r="G203" s="7" t="s">
        <v>42</v>
      </c>
      <c r="H203" s="6" t="s">
        <v>859</v>
      </c>
      <c r="I203" s="5" t="s">
        <v>860</v>
      </c>
      <c r="J203" s="5" t="s">
        <v>861</v>
      </c>
      <c r="K203" s="6" t="s">
        <v>862</v>
      </c>
      <c r="L203" s="5" t="s">
        <v>56</v>
      </c>
    </row>
    <row r="204" customFormat="false" ht="113.4" hidden="false" customHeight="false" outlineLevel="0" collapsed="false">
      <c r="A204" s="5" t="s">
        <v>863</v>
      </c>
      <c r="B204" s="6" t="s">
        <v>864</v>
      </c>
      <c r="C204" s="5" t="n">
        <v>-16.9</v>
      </c>
      <c r="D204" s="5" t="n">
        <v>-31.4</v>
      </c>
      <c r="E204" s="5" t="n">
        <v>0.7</v>
      </c>
      <c r="F204" s="5" t="s">
        <v>865</v>
      </c>
      <c r="G204" s="8" t="s">
        <v>170</v>
      </c>
      <c r="H204" s="6" t="s">
        <v>866</v>
      </c>
      <c r="I204" s="5"/>
      <c r="J204" s="5" t="s">
        <v>826</v>
      </c>
      <c r="K204" s="6" t="s">
        <v>867</v>
      </c>
      <c r="L204" s="5" t="s">
        <v>56</v>
      </c>
    </row>
    <row r="205" customFormat="false" ht="79.85" hidden="false" customHeight="false" outlineLevel="0" collapsed="false">
      <c r="A205" s="5" t="s">
        <v>868</v>
      </c>
      <c r="B205" s="6" t="s">
        <v>869</v>
      </c>
      <c r="C205" s="5" t="n">
        <v>-9.1</v>
      </c>
      <c r="D205" s="5" t="n">
        <v>-26.9</v>
      </c>
      <c r="E205" s="5" t="n">
        <v>13.2</v>
      </c>
      <c r="F205" s="5" t="s">
        <v>865</v>
      </c>
      <c r="G205" s="8" t="s">
        <v>170</v>
      </c>
      <c r="H205" s="6" t="s">
        <v>866</v>
      </c>
      <c r="I205" s="5"/>
      <c r="J205" s="5" t="s">
        <v>826</v>
      </c>
      <c r="K205" s="6" t="s">
        <v>870</v>
      </c>
      <c r="L205" s="5" t="s">
        <v>56</v>
      </c>
    </row>
    <row r="206" customFormat="false" ht="135.8" hidden="false" customHeight="false" outlineLevel="0" collapsed="false">
      <c r="A206" s="5" t="s">
        <v>871</v>
      </c>
      <c r="B206" s="6" t="s">
        <v>872</v>
      </c>
      <c r="C206" s="5" t="n">
        <v>20</v>
      </c>
      <c r="D206" s="5" t="n">
        <v>4</v>
      </c>
      <c r="E206" s="5" t="n">
        <v>38.5</v>
      </c>
      <c r="F206" s="5" t="s">
        <v>865</v>
      </c>
      <c r="G206" s="8" t="s">
        <v>170</v>
      </c>
      <c r="H206" s="6" t="s">
        <v>866</v>
      </c>
      <c r="I206" s="5"/>
      <c r="J206" s="5" t="s">
        <v>826</v>
      </c>
      <c r="K206" s="6" t="s">
        <v>873</v>
      </c>
      <c r="L206" s="5" t="s">
        <v>56</v>
      </c>
    </row>
    <row r="207" customFormat="false" ht="57.45" hidden="false" customHeight="false" outlineLevel="0" collapsed="false">
      <c r="A207" s="5" t="s">
        <v>874</v>
      </c>
      <c r="B207" s="6" t="s">
        <v>875</v>
      </c>
      <c r="C207" s="5" t="n">
        <v>716</v>
      </c>
      <c r="D207" s="5"/>
      <c r="E207" s="5"/>
      <c r="F207" s="5" t="s">
        <v>865</v>
      </c>
      <c r="G207" s="8" t="s">
        <v>170</v>
      </c>
      <c r="H207" s="6" t="s">
        <v>866</v>
      </c>
      <c r="I207" s="5"/>
      <c r="J207" s="5" t="s">
        <v>826</v>
      </c>
      <c r="K207" s="6" t="s">
        <v>876</v>
      </c>
      <c r="L207" s="5" t="s">
        <v>56</v>
      </c>
    </row>
    <row r="208" customFormat="false" ht="102.2" hidden="false" customHeight="false" outlineLevel="0" collapsed="false">
      <c r="A208" s="5" t="s">
        <v>877</v>
      </c>
      <c r="B208" s="6" t="s">
        <v>878</v>
      </c>
      <c r="C208" s="5" t="n">
        <v>0.039</v>
      </c>
      <c r="D208" s="5"/>
      <c r="E208" s="5"/>
      <c r="F208" s="5" t="s">
        <v>879</v>
      </c>
      <c r="G208" s="8" t="s">
        <v>170</v>
      </c>
      <c r="H208" s="6" t="s">
        <v>880</v>
      </c>
      <c r="I208" s="5"/>
      <c r="J208" s="5" t="s">
        <v>826</v>
      </c>
      <c r="K208" s="6" t="s">
        <v>881</v>
      </c>
      <c r="L208" s="5" t="s">
        <v>56</v>
      </c>
    </row>
    <row r="209" customFormat="false" ht="102.2" hidden="false" customHeight="false" outlineLevel="0" collapsed="false">
      <c r="A209" s="5" t="s">
        <v>882</v>
      </c>
      <c r="B209" s="6" t="s">
        <v>883</v>
      </c>
      <c r="C209" s="5" t="n">
        <v>5686</v>
      </c>
      <c r="D209" s="5"/>
      <c r="E209" s="5"/>
      <c r="F209" s="5" t="s">
        <v>884</v>
      </c>
      <c r="G209" s="8" t="s">
        <v>170</v>
      </c>
      <c r="H209" s="6" t="s">
        <v>880</v>
      </c>
      <c r="I209" s="5"/>
      <c r="J209" s="5" t="s">
        <v>826</v>
      </c>
      <c r="K209" s="6" t="s">
        <v>885</v>
      </c>
      <c r="L209" s="5" t="s">
        <v>56</v>
      </c>
    </row>
    <row r="210" customFormat="false" ht="113.4" hidden="false" customHeight="false" outlineLevel="0" collapsed="false">
      <c r="A210" s="5" t="s">
        <v>886</v>
      </c>
      <c r="B210" s="6" t="s">
        <v>887</v>
      </c>
      <c r="C210" s="5" t="n">
        <v>0.449</v>
      </c>
      <c r="D210" s="5"/>
      <c r="E210" s="5"/>
      <c r="F210" s="5" t="s">
        <v>888</v>
      </c>
      <c r="G210" s="8" t="s">
        <v>170</v>
      </c>
      <c r="H210" s="6" t="s">
        <v>880</v>
      </c>
      <c r="I210" s="5"/>
      <c r="J210" s="5" t="s">
        <v>826</v>
      </c>
      <c r="K210" s="6" t="s">
        <v>889</v>
      </c>
      <c r="L210" s="5" t="s">
        <v>56</v>
      </c>
    </row>
    <row r="211" customFormat="false" ht="124.6" hidden="false" customHeight="false" outlineLevel="0" collapsed="false">
      <c r="A211" s="5" t="s">
        <v>890</v>
      </c>
      <c r="B211" s="6" t="s">
        <v>891</v>
      </c>
      <c r="C211" s="5" t="n">
        <v>7.97</v>
      </c>
      <c r="D211" s="5" t="n">
        <v>5.44</v>
      </c>
      <c r="E211" s="5" t="n">
        <v>11.54</v>
      </c>
      <c r="F211" s="5" t="s">
        <v>598</v>
      </c>
      <c r="G211" s="8" t="s">
        <v>170</v>
      </c>
      <c r="H211" s="6" t="s">
        <v>892</v>
      </c>
      <c r="I211" s="5"/>
      <c r="J211" s="5" t="s">
        <v>258</v>
      </c>
      <c r="K211" s="6" t="s">
        <v>893</v>
      </c>
      <c r="L211" s="5" t="s">
        <v>56</v>
      </c>
    </row>
    <row r="212" customFormat="false" ht="91" hidden="false" customHeight="false" outlineLevel="0" collapsed="false">
      <c r="A212" s="5" t="s">
        <v>894</v>
      </c>
      <c r="B212" s="6" t="s">
        <v>895</v>
      </c>
      <c r="C212" s="5" t="n">
        <v>8.85</v>
      </c>
      <c r="D212" s="5" t="n">
        <v>5.99</v>
      </c>
      <c r="E212" s="5" t="n">
        <v>11.96</v>
      </c>
      <c r="F212" s="5" t="s">
        <v>598</v>
      </c>
      <c r="G212" s="8" t="s">
        <v>170</v>
      </c>
      <c r="H212" s="6" t="s">
        <v>892</v>
      </c>
      <c r="I212" s="5"/>
      <c r="J212" s="5" t="s">
        <v>826</v>
      </c>
      <c r="K212" s="6" t="s">
        <v>896</v>
      </c>
      <c r="L212" s="5" t="s">
        <v>56</v>
      </c>
    </row>
    <row r="213" customFormat="false" ht="79.85" hidden="false" customHeight="false" outlineLevel="0" collapsed="false">
      <c r="A213" s="5" t="s">
        <v>897</v>
      </c>
      <c r="B213" s="6" t="s">
        <v>898</v>
      </c>
      <c r="C213" s="5" t="n">
        <v>6.83</v>
      </c>
      <c r="D213" s="5" t="n">
        <v>4.47</v>
      </c>
      <c r="E213" s="5" t="n">
        <v>9.33</v>
      </c>
      <c r="F213" s="5" t="s">
        <v>598</v>
      </c>
      <c r="G213" s="8" t="s">
        <v>170</v>
      </c>
      <c r="H213" s="6" t="s">
        <v>892</v>
      </c>
      <c r="I213" s="5"/>
      <c r="J213" s="5" t="s">
        <v>826</v>
      </c>
      <c r="K213" s="6" t="s">
        <v>899</v>
      </c>
      <c r="L213" s="5" t="s">
        <v>56</v>
      </c>
    </row>
    <row r="214" customFormat="false" ht="102.2" hidden="false" customHeight="false" outlineLevel="0" collapsed="false">
      <c r="A214" s="5" t="s">
        <v>900</v>
      </c>
      <c r="B214" s="6" t="s">
        <v>901</v>
      </c>
      <c r="C214" s="5" t="n">
        <v>12.9</v>
      </c>
      <c r="D214" s="5"/>
      <c r="E214" s="5"/>
      <c r="F214" s="5" t="s">
        <v>902</v>
      </c>
      <c r="G214" s="8" t="s">
        <v>170</v>
      </c>
      <c r="H214" s="6" t="s">
        <v>903</v>
      </c>
      <c r="I214" s="5"/>
      <c r="J214" s="5" t="s">
        <v>217</v>
      </c>
      <c r="K214" s="6" t="s">
        <v>904</v>
      </c>
      <c r="L214" s="5" t="s">
        <v>56</v>
      </c>
    </row>
    <row r="215" customFormat="false" ht="124.6" hidden="false" customHeight="false" outlineLevel="0" collapsed="false">
      <c r="A215" s="5" t="s">
        <v>905</v>
      </c>
      <c r="B215" s="6" t="s">
        <v>906</v>
      </c>
      <c r="C215" s="5" t="n">
        <v>2.3</v>
      </c>
      <c r="D215" s="5"/>
      <c r="E215" s="5"/>
      <c r="F215" s="5" t="s">
        <v>902</v>
      </c>
      <c r="G215" s="8" t="s">
        <v>170</v>
      </c>
      <c r="H215" s="6" t="s">
        <v>903</v>
      </c>
      <c r="I215" s="5"/>
      <c r="J215" s="5" t="s">
        <v>217</v>
      </c>
      <c r="K215" s="6" t="s">
        <v>907</v>
      </c>
      <c r="L215" s="5" t="s">
        <v>56</v>
      </c>
    </row>
    <row r="216" customFormat="false" ht="124.6" hidden="false" customHeight="false" outlineLevel="0" collapsed="false">
      <c r="A216" s="5" t="s">
        <v>908</v>
      </c>
      <c r="B216" s="6" t="s">
        <v>909</v>
      </c>
      <c r="C216" s="5" t="n">
        <v>3.89</v>
      </c>
      <c r="D216" s="5"/>
      <c r="E216" s="5"/>
      <c r="F216" s="5" t="s">
        <v>902</v>
      </c>
      <c r="G216" s="8" t="s">
        <v>170</v>
      </c>
      <c r="H216" s="6" t="s">
        <v>903</v>
      </c>
      <c r="I216" s="5"/>
      <c r="J216" s="5" t="s">
        <v>217</v>
      </c>
      <c r="K216" s="6" t="s">
        <v>910</v>
      </c>
      <c r="L216" s="5" t="s">
        <v>56</v>
      </c>
    </row>
    <row r="217" customFormat="false" ht="68.65" hidden="false" customHeight="false" outlineLevel="0" collapsed="false">
      <c r="A217" s="5" t="s">
        <v>911</v>
      </c>
      <c r="B217" s="6" t="s">
        <v>912</v>
      </c>
      <c r="C217" s="5" t="n">
        <v>30.9</v>
      </c>
      <c r="D217" s="5"/>
      <c r="E217" s="5"/>
      <c r="F217" s="5" t="s">
        <v>902</v>
      </c>
      <c r="G217" s="8" t="s">
        <v>170</v>
      </c>
      <c r="H217" s="6" t="s">
        <v>903</v>
      </c>
      <c r="I217" s="5"/>
      <c r="J217" s="5" t="s">
        <v>826</v>
      </c>
      <c r="K217" s="6" t="s">
        <v>913</v>
      </c>
      <c r="L217" s="5" t="s">
        <v>56</v>
      </c>
    </row>
    <row r="218" customFormat="false" ht="102.2" hidden="false" customHeight="false" outlineLevel="0" collapsed="false">
      <c r="A218" s="5" t="s">
        <v>914</v>
      </c>
      <c r="B218" s="6" t="s">
        <v>915</v>
      </c>
      <c r="C218" s="5" t="n">
        <v>1.54</v>
      </c>
      <c r="D218" s="5"/>
      <c r="E218" s="5"/>
      <c r="F218" s="5" t="s">
        <v>916</v>
      </c>
      <c r="G218" s="8" t="s">
        <v>170</v>
      </c>
      <c r="H218" s="6" t="s">
        <v>917</v>
      </c>
      <c r="I218" s="5"/>
      <c r="J218" s="5" t="s">
        <v>826</v>
      </c>
      <c r="K218" s="6" t="s">
        <v>918</v>
      </c>
      <c r="L218" s="5" t="s">
        <v>56</v>
      </c>
    </row>
    <row r="219" customFormat="false" ht="147" hidden="false" customHeight="false" outlineLevel="0" collapsed="false">
      <c r="A219" s="5" t="s">
        <v>919</v>
      </c>
      <c r="B219" s="6" t="s">
        <v>920</v>
      </c>
      <c r="C219" s="5" t="n">
        <v>1.03</v>
      </c>
      <c r="D219" s="5"/>
      <c r="E219" s="5"/>
      <c r="F219" s="5" t="s">
        <v>916</v>
      </c>
      <c r="G219" s="8" t="s">
        <v>170</v>
      </c>
      <c r="H219" s="6" t="s">
        <v>917</v>
      </c>
      <c r="I219" s="5"/>
      <c r="J219" s="5" t="s">
        <v>826</v>
      </c>
      <c r="K219" s="6" t="s">
        <v>921</v>
      </c>
      <c r="L219" s="5" t="s">
        <v>56</v>
      </c>
    </row>
    <row r="220" customFormat="false" ht="79.85" hidden="false" customHeight="false" outlineLevel="0" collapsed="false">
      <c r="A220" s="5" t="s">
        <v>922</v>
      </c>
      <c r="B220" s="6" t="s">
        <v>923</v>
      </c>
      <c r="C220" s="5" t="n">
        <v>0.9999</v>
      </c>
      <c r="D220" s="5"/>
      <c r="E220" s="5"/>
      <c r="F220" s="5" t="s">
        <v>924</v>
      </c>
      <c r="G220" s="8" t="s">
        <v>170</v>
      </c>
      <c r="H220" s="6" t="s">
        <v>925</v>
      </c>
      <c r="I220" s="5"/>
      <c r="J220" s="5" t="s">
        <v>826</v>
      </c>
      <c r="K220" s="6" t="s">
        <v>926</v>
      </c>
      <c r="L220" s="5" t="s">
        <v>56</v>
      </c>
    </row>
    <row r="221" customFormat="false" ht="79.85" hidden="false" customHeight="false" outlineLevel="0" collapsed="false">
      <c r="A221" s="5" t="s">
        <v>927</v>
      </c>
      <c r="B221" s="6" t="s">
        <v>928</v>
      </c>
      <c r="C221" s="5" t="n">
        <v>1</v>
      </c>
      <c r="D221" s="5"/>
      <c r="E221" s="5"/>
      <c r="F221" s="5" t="s">
        <v>929</v>
      </c>
      <c r="G221" s="8" t="s">
        <v>170</v>
      </c>
      <c r="H221" s="6" t="s">
        <v>925</v>
      </c>
      <c r="I221" s="5"/>
      <c r="J221" s="5" t="s">
        <v>826</v>
      </c>
      <c r="K221" s="6" t="s">
        <v>930</v>
      </c>
      <c r="L221" s="5" t="s">
        <v>56</v>
      </c>
    </row>
    <row r="222" customFormat="false" ht="46.25" hidden="false" customHeight="false" outlineLevel="0" collapsed="false">
      <c r="A222" s="5" t="s">
        <v>931</v>
      </c>
      <c r="B222" s="6" t="s">
        <v>932</v>
      </c>
      <c r="C222" s="5" t="n">
        <v>0.0088</v>
      </c>
      <c r="D222" s="5"/>
      <c r="E222" s="5"/>
      <c r="F222" s="5" t="s">
        <v>933</v>
      </c>
      <c r="G222" s="8" t="s">
        <v>170</v>
      </c>
      <c r="H222" s="6" t="s">
        <v>925</v>
      </c>
      <c r="I222" s="5"/>
      <c r="J222" s="5" t="s">
        <v>826</v>
      </c>
      <c r="K222" s="6" t="s">
        <v>934</v>
      </c>
      <c r="L222" s="5" t="s">
        <v>56</v>
      </c>
    </row>
    <row r="223" customFormat="false" ht="79.85" hidden="false" customHeight="false" outlineLevel="0" collapsed="false">
      <c r="A223" s="5" t="s">
        <v>935</v>
      </c>
      <c r="B223" s="6" t="s">
        <v>936</v>
      </c>
      <c r="C223" s="5" t="n">
        <v>0.9929</v>
      </c>
      <c r="D223" s="5"/>
      <c r="E223" s="5"/>
      <c r="F223" s="5" t="s">
        <v>929</v>
      </c>
      <c r="G223" s="8" t="s">
        <v>170</v>
      </c>
      <c r="H223" s="6" t="s">
        <v>925</v>
      </c>
      <c r="I223" s="5"/>
      <c r="J223" s="5" t="s">
        <v>826</v>
      </c>
      <c r="K223" s="6" t="s">
        <v>937</v>
      </c>
      <c r="L223" s="5" t="s">
        <v>56</v>
      </c>
    </row>
    <row r="224" customFormat="false" ht="113.4" hidden="false" customHeight="false" outlineLevel="0" collapsed="false">
      <c r="A224" s="5" t="s">
        <v>938</v>
      </c>
      <c r="B224" s="6" t="s">
        <v>939</v>
      </c>
      <c r="C224" s="5" t="n">
        <v>0.723</v>
      </c>
      <c r="D224" s="5"/>
      <c r="E224" s="5"/>
      <c r="F224" s="5" t="s">
        <v>940</v>
      </c>
      <c r="G224" s="8" t="s">
        <v>170</v>
      </c>
      <c r="H224" s="6" t="s">
        <v>941</v>
      </c>
      <c r="I224" s="5"/>
      <c r="J224" s="5" t="s">
        <v>826</v>
      </c>
      <c r="K224" s="6" t="s">
        <v>942</v>
      </c>
      <c r="L224" s="5" t="s">
        <v>56</v>
      </c>
    </row>
    <row r="225" customFormat="false" ht="102.2" hidden="false" customHeight="false" outlineLevel="0" collapsed="false">
      <c r="A225" s="5" t="s">
        <v>943</v>
      </c>
      <c r="B225" s="6" t="s">
        <v>944</v>
      </c>
      <c r="C225" s="5" t="n">
        <v>3.34</v>
      </c>
      <c r="D225" s="5"/>
      <c r="E225" s="5"/>
      <c r="F225" s="5" t="s">
        <v>916</v>
      </c>
      <c r="G225" s="8" t="s">
        <v>170</v>
      </c>
      <c r="H225" s="6" t="s">
        <v>941</v>
      </c>
      <c r="I225" s="5"/>
      <c r="J225" s="5" t="s">
        <v>826</v>
      </c>
      <c r="K225" s="6" t="s">
        <v>945</v>
      </c>
      <c r="L225" s="5" t="s">
        <v>56</v>
      </c>
    </row>
    <row r="226" customFormat="false" ht="113.4" hidden="false" customHeight="false" outlineLevel="0" collapsed="false">
      <c r="A226" s="5" t="s">
        <v>946</v>
      </c>
      <c r="B226" s="6" t="s">
        <v>947</v>
      </c>
      <c r="C226" s="5" t="n">
        <v>0.694</v>
      </c>
      <c r="D226" s="5"/>
      <c r="E226" s="5"/>
      <c r="F226" s="5" t="s">
        <v>940</v>
      </c>
      <c r="G226" s="8" t="s">
        <v>170</v>
      </c>
      <c r="H226" s="6" t="s">
        <v>941</v>
      </c>
      <c r="I226" s="5"/>
      <c r="J226" s="5" t="s">
        <v>826</v>
      </c>
      <c r="K226" s="6" t="s">
        <v>948</v>
      </c>
      <c r="L226" s="5" t="s">
        <v>56</v>
      </c>
    </row>
    <row r="227" customFormat="false" ht="102.2" hidden="false" customHeight="false" outlineLevel="0" collapsed="false">
      <c r="A227" s="5" t="s">
        <v>949</v>
      </c>
      <c r="B227" s="6" t="s">
        <v>950</v>
      </c>
      <c r="C227" s="5" t="n">
        <v>0.703</v>
      </c>
      <c r="D227" s="5"/>
      <c r="E227" s="5"/>
      <c r="F227" s="5" t="s">
        <v>940</v>
      </c>
      <c r="G227" s="8" t="s">
        <v>170</v>
      </c>
      <c r="H227" s="6" t="s">
        <v>941</v>
      </c>
      <c r="I227" s="5"/>
      <c r="J227" s="5" t="s">
        <v>826</v>
      </c>
      <c r="K227" s="6" t="s">
        <v>951</v>
      </c>
      <c r="L227" s="5" t="s">
        <v>56</v>
      </c>
    </row>
    <row r="228" customFormat="false" ht="135.8" hidden="false" customHeight="false" outlineLevel="0" collapsed="false">
      <c r="A228" s="5" t="s">
        <v>952</v>
      </c>
      <c r="B228" s="6" t="s">
        <v>953</v>
      </c>
      <c r="C228" s="5" t="n">
        <v>0.615</v>
      </c>
      <c r="D228" s="5"/>
      <c r="E228" s="5"/>
      <c r="F228" s="5" t="s">
        <v>940</v>
      </c>
      <c r="G228" s="8" t="s">
        <v>170</v>
      </c>
      <c r="H228" s="6" t="s">
        <v>941</v>
      </c>
      <c r="I228" s="5"/>
      <c r="J228" s="5" t="s">
        <v>826</v>
      </c>
      <c r="K228" s="6" t="s">
        <v>954</v>
      </c>
      <c r="L228" s="5" t="s">
        <v>56</v>
      </c>
    </row>
    <row r="229" customFormat="false" ht="79.85" hidden="false" customHeight="false" outlineLevel="0" collapsed="false">
      <c r="A229" s="5" t="s">
        <v>955</v>
      </c>
      <c r="B229" s="6" t="s">
        <v>956</v>
      </c>
      <c r="C229" s="5" t="n">
        <v>0.662</v>
      </c>
      <c r="D229" s="5"/>
      <c r="E229" s="5"/>
      <c r="F229" s="5" t="s">
        <v>940</v>
      </c>
      <c r="G229" s="8" t="s">
        <v>170</v>
      </c>
      <c r="H229" s="6" t="s">
        <v>957</v>
      </c>
      <c r="I229" s="5"/>
      <c r="J229" s="5" t="s">
        <v>826</v>
      </c>
      <c r="K229" s="6" t="s">
        <v>958</v>
      </c>
      <c r="L229" s="5" t="s">
        <v>56</v>
      </c>
    </row>
    <row r="230" customFormat="false" ht="113.4" hidden="false" customHeight="false" outlineLevel="0" collapsed="false">
      <c r="A230" s="5" t="s">
        <v>959</v>
      </c>
      <c r="B230" s="6" t="s">
        <v>960</v>
      </c>
      <c r="C230" s="5" t="n">
        <v>0.671</v>
      </c>
      <c r="D230" s="5"/>
      <c r="E230" s="5"/>
      <c r="F230" s="5" t="s">
        <v>940</v>
      </c>
      <c r="G230" s="8" t="s">
        <v>170</v>
      </c>
      <c r="H230" s="6" t="s">
        <v>957</v>
      </c>
      <c r="I230" s="5"/>
      <c r="J230" s="5" t="s">
        <v>826</v>
      </c>
      <c r="K230" s="6" t="s">
        <v>961</v>
      </c>
      <c r="L230" s="5" t="s">
        <v>56</v>
      </c>
    </row>
    <row r="231" customFormat="false" ht="147" hidden="false" customHeight="false" outlineLevel="0" collapsed="false">
      <c r="A231" s="5" t="s">
        <v>962</v>
      </c>
      <c r="B231" s="6" t="s">
        <v>963</v>
      </c>
      <c r="C231" s="5" t="n">
        <v>0.722</v>
      </c>
      <c r="D231" s="5"/>
      <c r="E231" s="5"/>
      <c r="F231" s="5" t="s">
        <v>940</v>
      </c>
      <c r="G231" s="8" t="s">
        <v>170</v>
      </c>
      <c r="H231" s="6" t="s">
        <v>957</v>
      </c>
      <c r="I231" s="5"/>
      <c r="J231" s="5" t="s">
        <v>826</v>
      </c>
      <c r="K231" s="6" t="s">
        <v>964</v>
      </c>
      <c r="L231" s="5" t="s">
        <v>56</v>
      </c>
    </row>
    <row r="232" customFormat="false" ht="91" hidden="false" customHeight="false" outlineLevel="0" collapsed="false">
      <c r="A232" s="5" t="s">
        <v>965</v>
      </c>
      <c r="B232" s="6" t="s">
        <v>966</v>
      </c>
      <c r="C232" s="5" t="n">
        <v>-0.14</v>
      </c>
      <c r="D232" s="5" t="n">
        <v>-3.36</v>
      </c>
      <c r="E232" s="5" t="n">
        <v>2.88</v>
      </c>
      <c r="F232" s="5" t="s">
        <v>598</v>
      </c>
      <c r="G232" s="8" t="s">
        <v>170</v>
      </c>
      <c r="H232" s="6" t="s">
        <v>892</v>
      </c>
      <c r="I232" s="5"/>
      <c r="J232" s="5" t="s">
        <v>826</v>
      </c>
      <c r="K232" s="6" t="s">
        <v>967</v>
      </c>
      <c r="L232" s="5" t="s">
        <v>56</v>
      </c>
    </row>
    <row r="233" customFormat="false" ht="102.2" hidden="false" customHeight="false" outlineLevel="0" collapsed="false">
      <c r="A233" s="5" t="s">
        <v>968</v>
      </c>
      <c r="B233" s="6" t="s">
        <v>969</v>
      </c>
      <c r="C233" s="5" t="n">
        <v>6.19</v>
      </c>
      <c r="D233" s="5"/>
      <c r="E233" s="5"/>
      <c r="F233" s="5" t="s">
        <v>598</v>
      </c>
      <c r="G233" s="8" t="s">
        <v>170</v>
      </c>
      <c r="H233" s="6" t="s">
        <v>892</v>
      </c>
      <c r="I233" s="5"/>
      <c r="J233" s="5" t="s">
        <v>258</v>
      </c>
      <c r="K233" s="6" t="s">
        <v>970</v>
      </c>
      <c r="L233" s="5" t="s">
        <v>56</v>
      </c>
    </row>
    <row r="234" customFormat="false" ht="102.2" hidden="false" customHeight="false" outlineLevel="0" collapsed="false">
      <c r="A234" s="5" t="s">
        <v>971</v>
      </c>
      <c r="B234" s="6" t="s">
        <v>972</v>
      </c>
      <c r="C234" s="5" t="n">
        <v>7.49</v>
      </c>
      <c r="D234" s="5"/>
      <c r="E234" s="5"/>
      <c r="F234" s="5" t="s">
        <v>598</v>
      </c>
      <c r="G234" s="8" t="s">
        <v>170</v>
      </c>
      <c r="H234" s="6" t="s">
        <v>892</v>
      </c>
      <c r="I234" s="5"/>
      <c r="J234" s="5" t="s">
        <v>258</v>
      </c>
      <c r="K234" s="6" t="s">
        <v>973</v>
      </c>
      <c r="L234" s="5" t="s">
        <v>56</v>
      </c>
    </row>
    <row r="235" customFormat="false" ht="102.2" hidden="false" customHeight="false" outlineLevel="0" collapsed="false">
      <c r="A235" s="5" t="s">
        <v>974</v>
      </c>
      <c r="B235" s="6" t="s">
        <v>975</v>
      </c>
      <c r="C235" s="5" t="n">
        <v>8.77</v>
      </c>
      <c r="D235" s="5"/>
      <c r="E235" s="5"/>
      <c r="F235" s="5" t="s">
        <v>598</v>
      </c>
      <c r="G235" s="8" t="s">
        <v>170</v>
      </c>
      <c r="H235" s="6" t="s">
        <v>892</v>
      </c>
      <c r="I235" s="5"/>
      <c r="J235" s="5" t="s">
        <v>258</v>
      </c>
      <c r="K235" s="6" t="s">
        <v>976</v>
      </c>
      <c r="L235" s="5" t="s">
        <v>56</v>
      </c>
    </row>
    <row r="236" customFormat="false" ht="68.65" hidden="false" customHeight="false" outlineLevel="0" collapsed="false">
      <c r="A236" s="5" t="s">
        <v>977</v>
      </c>
      <c r="B236" s="6" t="s">
        <v>978</v>
      </c>
      <c r="C236" s="5" t="n">
        <v>0.667</v>
      </c>
      <c r="D236" s="5"/>
      <c r="E236" s="5"/>
      <c r="F236" s="5" t="s">
        <v>940</v>
      </c>
      <c r="G236" s="8" t="s">
        <v>170</v>
      </c>
      <c r="H236" s="6" t="s">
        <v>941</v>
      </c>
      <c r="I236" s="5"/>
      <c r="J236" s="5" t="s">
        <v>826</v>
      </c>
      <c r="K236" s="6" t="s">
        <v>979</v>
      </c>
      <c r="L236" s="5" t="s">
        <v>56</v>
      </c>
    </row>
    <row r="237" customFormat="false" ht="46.25" hidden="false" customHeight="false" outlineLevel="0" collapsed="false">
      <c r="A237" s="5" t="s">
        <v>980</v>
      </c>
      <c r="B237" s="6" t="s">
        <v>981</v>
      </c>
      <c r="C237" s="5" t="n">
        <v>0.618</v>
      </c>
      <c r="D237" s="5"/>
      <c r="E237" s="5"/>
      <c r="F237" s="5" t="s">
        <v>940</v>
      </c>
      <c r="G237" s="8" t="s">
        <v>170</v>
      </c>
      <c r="H237" s="6" t="s">
        <v>941</v>
      </c>
      <c r="I237" s="5"/>
      <c r="J237" s="5" t="s">
        <v>826</v>
      </c>
      <c r="K237" s="6" t="s">
        <v>982</v>
      </c>
      <c r="L237" s="5" t="s">
        <v>56</v>
      </c>
    </row>
    <row r="238" customFormat="false" ht="102.2" hidden="false" customHeight="false" outlineLevel="0" collapsed="false">
      <c r="A238" s="5" t="s">
        <v>983</v>
      </c>
      <c r="B238" s="6" t="s">
        <v>984</v>
      </c>
      <c r="C238" s="5" t="n">
        <v>1.75</v>
      </c>
      <c r="D238" s="5"/>
      <c r="E238" s="5"/>
      <c r="F238" s="5" t="s">
        <v>840</v>
      </c>
      <c r="G238" s="8" t="s">
        <v>170</v>
      </c>
      <c r="H238" s="6" t="s">
        <v>825</v>
      </c>
      <c r="I238" s="5"/>
      <c r="J238" s="5" t="s">
        <v>826</v>
      </c>
      <c r="K238" s="6" t="s">
        <v>985</v>
      </c>
      <c r="L238" s="5" t="s">
        <v>56</v>
      </c>
    </row>
    <row r="239" customFormat="false" ht="46.25" hidden="false" customHeight="false" outlineLevel="0" collapsed="false">
      <c r="A239" s="5" t="s">
        <v>986</v>
      </c>
      <c r="B239" s="6" t="s">
        <v>987</v>
      </c>
      <c r="C239" s="5" t="n">
        <v>19.8</v>
      </c>
      <c r="D239" s="5"/>
      <c r="E239" s="5"/>
      <c r="F239" s="5" t="s">
        <v>147</v>
      </c>
      <c r="G239" s="8" t="s">
        <v>170</v>
      </c>
      <c r="H239" s="6" t="s">
        <v>825</v>
      </c>
      <c r="I239" s="5"/>
      <c r="J239" s="5" t="s">
        <v>826</v>
      </c>
      <c r="K239" s="6" t="s">
        <v>988</v>
      </c>
      <c r="L239" s="5" t="s">
        <v>56</v>
      </c>
    </row>
    <row r="240" customFormat="false" ht="46.25" hidden="false" customHeight="false" outlineLevel="0" collapsed="false">
      <c r="A240" s="5" t="s">
        <v>989</v>
      </c>
      <c r="B240" s="6" t="s">
        <v>990</v>
      </c>
      <c r="C240" s="5" t="n">
        <v>34.8</v>
      </c>
      <c r="D240" s="5"/>
      <c r="E240" s="5"/>
      <c r="F240" s="5" t="s">
        <v>147</v>
      </c>
      <c r="G240" s="8" t="s">
        <v>170</v>
      </c>
      <c r="H240" s="6" t="s">
        <v>825</v>
      </c>
      <c r="I240" s="5"/>
      <c r="J240" s="5" t="s">
        <v>826</v>
      </c>
      <c r="K240" s="6" t="s">
        <v>988</v>
      </c>
      <c r="L240" s="5" t="s">
        <v>56</v>
      </c>
    </row>
    <row r="241" customFormat="false" ht="68.65" hidden="false" customHeight="false" outlineLevel="0" collapsed="false">
      <c r="A241" s="5" t="s">
        <v>991</v>
      </c>
      <c r="B241" s="6" t="s">
        <v>992</v>
      </c>
      <c r="C241" s="5" t="n">
        <v>22.8</v>
      </c>
      <c r="D241" s="5"/>
      <c r="E241" s="5"/>
      <c r="F241" s="5" t="s">
        <v>147</v>
      </c>
      <c r="G241" s="8" t="s">
        <v>170</v>
      </c>
      <c r="H241" s="6" t="s">
        <v>825</v>
      </c>
      <c r="I241" s="5"/>
      <c r="J241" s="5" t="s">
        <v>826</v>
      </c>
      <c r="K241" s="6" t="s">
        <v>993</v>
      </c>
      <c r="L241" s="5" t="s">
        <v>56</v>
      </c>
    </row>
    <row r="242" customFormat="false" ht="46.25" hidden="false" customHeight="false" outlineLevel="0" collapsed="false">
      <c r="A242" s="5" t="s">
        <v>994</v>
      </c>
      <c r="B242" s="6" t="s">
        <v>995</v>
      </c>
      <c r="C242" s="5" t="n">
        <v>32.7</v>
      </c>
      <c r="D242" s="5"/>
      <c r="E242" s="5"/>
      <c r="F242" s="5" t="s">
        <v>147</v>
      </c>
      <c r="G242" s="8" t="s">
        <v>170</v>
      </c>
      <c r="H242" s="6" t="s">
        <v>825</v>
      </c>
      <c r="I242" s="5"/>
      <c r="J242" s="5" t="s">
        <v>826</v>
      </c>
      <c r="K242" s="6" t="s">
        <v>988</v>
      </c>
      <c r="L242" s="5" t="s">
        <v>56</v>
      </c>
    </row>
    <row r="243" customFormat="false" ht="46.25" hidden="false" customHeight="false" outlineLevel="0" collapsed="false">
      <c r="A243" s="5" t="s">
        <v>996</v>
      </c>
      <c r="B243" s="6" t="s">
        <v>997</v>
      </c>
      <c r="C243" s="5" t="n">
        <v>1.6</v>
      </c>
      <c r="D243" s="5"/>
      <c r="E243" s="5"/>
      <c r="F243" s="5" t="s">
        <v>840</v>
      </c>
      <c r="G243" s="8" t="s">
        <v>170</v>
      </c>
      <c r="H243" s="6" t="s">
        <v>825</v>
      </c>
      <c r="I243" s="5"/>
      <c r="J243" s="5" t="s">
        <v>826</v>
      </c>
      <c r="K243" s="6" t="s">
        <v>998</v>
      </c>
      <c r="L243" s="5" t="s">
        <v>56</v>
      </c>
    </row>
    <row r="244" customFormat="false" ht="102.2" hidden="false" customHeight="false" outlineLevel="0" collapsed="false">
      <c r="A244" s="5" t="s">
        <v>999</v>
      </c>
      <c r="B244" s="6" t="s">
        <v>1000</v>
      </c>
      <c r="C244" s="5" t="n">
        <v>1.15</v>
      </c>
      <c r="D244" s="5"/>
      <c r="E244" s="5"/>
      <c r="F244" s="5" t="s">
        <v>119</v>
      </c>
      <c r="G244" s="8" t="s">
        <v>170</v>
      </c>
      <c r="H244" s="6" t="s">
        <v>1001</v>
      </c>
      <c r="I244" s="5"/>
      <c r="J244" s="5" t="s">
        <v>217</v>
      </c>
      <c r="K244" s="6" t="s">
        <v>1002</v>
      </c>
      <c r="L244" s="5" t="s">
        <v>52</v>
      </c>
    </row>
    <row r="245" customFormat="false" ht="102.2" hidden="false" customHeight="false" outlineLevel="0" collapsed="false">
      <c r="A245" s="5" t="s">
        <v>1003</v>
      </c>
      <c r="B245" s="6" t="s">
        <v>1004</v>
      </c>
      <c r="C245" s="5" t="n">
        <v>1.04</v>
      </c>
      <c r="D245" s="5" t="n">
        <v>0.5</v>
      </c>
      <c r="E245" s="5" t="n">
        <v>1.59</v>
      </c>
      <c r="F245" s="5" t="s">
        <v>598</v>
      </c>
      <c r="G245" s="8" t="s">
        <v>170</v>
      </c>
      <c r="H245" s="6" t="s">
        <v>1001</v>
      </c>
      <c r="I245" s="5"/>
      <c r="J245" s="5" t="s">
        <v>217</v>
      </c>
      <c r="K245" s="6" t="s">
        <v>1002</v>
      </c>
      <c r="L245" s="5" t="s">
        <v>52</v>
      </c>
    </row>
    <row r="246" customFormat="false" ht="102.2" hidden="false" customHeight="false" outlineLevel="0" collapsed="false">
      <c r="A246" s="5" t="s">
        <v>1005</v>
      </c>
      <c r="B246" s="6" t="s">
        <v>1006</v>
      </c>
      <c r="C246" s="5" t="n">
        <v>1.54</v>
      </c>
      <c r="D246" s="5" t="n">
        <v>1.03</v>
      </c>
      <c r="E246" s="5" t="n">
        <v>2.03</v>
      </c>
      <c r="F246" s="5" t="s">
        <v>598</v>
      </c>
      <c r="G246" s="8" t="s">
        <v>170</v>
      </c>
      <c r="H246" s="6" t="s">
        <v>1001</v>
      </c>
      <c r="I246" s="5"/>
      <c r="J246" s="5" t="s">
        <v>217</v>
      </c>
      <c r="K246" s="6" t="s">
        <v>1002</v>
      </c>
      <c r="L246" s="5" t="s">
        <v>52</v>
      </c>
    </row>
    <row r="247" customFormat="false" ht="113.4" hidden="false" customHeight="false" outlineLevel="0" collapsed="false">
      <c r="A247" s="5" t="s">
        <v>1007</v>
      </c>
      <c r="B247" s="6" t="s">
        <v>1008</v>
      </c>
      <c r="C247" s="5" t="n">
        <v>47.73</v>
      </c>
      <c r="D247" s="5"/>
      <c r="E247" s="5"/>
      <c r="F247" s="5" t="s">
        <v>119</v>
      </c>
      <c r="G247" s="8" t="s">
        <v>170</v>
      </c>
      <c r="H247" s="6" t="s">
        <v>1001</v>
      </c>
      <c r="I247" s="5"/>
      <c r="J247" s="5" t="s">
        <v>217</v>
      </c>
      <c r="K247" s="6" t="s">
        <v>1009</v>
      </c>
      <c r="L247" s="5" t="s">
        <v>52</v>
      </c>
    </row>
    <row r="248" customFormat="false" ht="113.4" hidden="false" customHeight="false" outlineLevel="0" collapsed="false">
      <c r="A248" s="5" t="s">
        <v>1010</v>
      </c>
      <c r="B248" s="6" t="s">
        <v>1011</v>
      </c>
      <c r="C248" s="5" t="n">
        <v>16.73</v>
      </c>
      <c r="D248" s="5"/>
      <c r="E248" s="5"/>
      <c r="F248" s="5" t="s">
        <v>119</v>
      </c>
      <c r="G248" s="8" t="s">
        <v>170</v>
      </c>
      <c r="H248" s="6" t="s">
        <v>1001</v>
      </c>
      <c r="I248" s="5"/>
      <c r="J248" s="5" t="s">
        <v>217</v>
      </c>
      <c r="K248" s="6" t="s">
        <v>1009</v>
      </c>
      <c r="L248" s="5" t="s">
        <v>56</v>
      </c>
    </row>
    <row r="249" customFormat="false" ht="46.25" hidden="false" customHeight="false" outlineLevel="0" collapsed="false">
      <c r="A249" s="5" t="s">
        <v>1012</v>
      </c>
      <c r="B249" s="6" t="s">
        <v>1013</v>
      </c>
      <c r="C249" s="5" t="n">
        <v>20.5</v>
      </c>
      <c r="D249" s="5"/>
      <c r="E249" s="5"/>
      <c r="F249" s="5" t="s">
        <v>1014</v>
      </c>
      <c r="G249" s="11" t="s">
        <v>1015</v>
      </c>
      <c r="H249" s="6" t="s">
        <v>1016</v>
      </c>
      <c r="I249" s="5"/>
      <c r="J249" s="5" t="s">
        <v>217</v>
      </c>
      <c r="K249" s="6" t="s">
        <v>1017</v>
      </c>
      <c r="L249" s="5" t="s">
        <v>1018</v>
      </c>
    </row>
    <row r="250" customFormat="false" ht="68.65" hidden="false" customHeight="false" outlineLevel="0" collapsed="false">
      <c r="A250" s="5" t="s">
        <v>1019</v>
      </c>
      <c r="B250" s="6" t="s">
        <v>1020</v>
      </c>
      <c r="C250" s="5" t="n">
        <v>51.2</v>
      </c>
      <c r="D250" s="5"/>
      <c r="E250" s="5"/>
      <c r="F250" s="5" t="s">
        <v>1014</v>
      </c>
      <c r="G250" s="11" t="s">
        <v>1015</v>
      </c>
      <c r="H250" s="6" t="s">
        <v>1016</v>
      </c>
      <c r="I250" s="5"/>
      <c r="J250" s="5" t="s">
        <v>217</v>
      </c>
      <c r="K250" s="6" t="s">
        <v>1021</v>
      </c>
      <c r="L250" s="5" t="s">
        <v>1018</v>
      </c>
    </row>
    <row r="251" customFormat="false" ht="57.45" hidden="false" customHeight="false" outlineLevel="0" collapsed="false">
      <c r="A251" s="5" t="s">
        <v>1022</v>
      </c>
      <c r="B251" s="6" t="s">
        <v>1023</v>
      </c>
      <c r="C251" s="5" t="n">
        <v>21.2</v>
      </c>
      <c r="D251" s="5"/>
      <c r="E251" s="5"/>
      <c r="F251" s="5" t="s">
        <v>1024</v>
      </c>
      <c r="G251" s="11" t="s">
        <v>1015</v>
      </c>
      <c r="H251" s="6" t="s">
        <v>1025</v>
      </c>
      <c r="I251" s="5"/>
      <c r="J251" s="5" t="s">
        <v>217</v>
      </c>
      <c r="K251" s="6" t="s">
        <v>1026</v>
      </c>
      <c r="L251" s="5" t="s">
        <v>1018</v>
      </c>
    </row>
    <row r="252" customFormat="false" ht="46.25" hidden="false" customHeight="false" outlineLevel="0" collapsed="false">
      <c r="A252" s="5" t="s">
        <v>1027</v>
      </c>
      <c r="B252" s="6" t="s">
        <v>1028</v>
      </c>
      <c r="C252" s="5" t="n">
        <v>108</v>
      </c>
      <c r="D252" s="5"/>
      <c r="E252" s="5"/>
      <c r="F252" s="5" t="s">
        <v>1029</v>
      </c>
      <c r="G252" s="11" t="s">
        <v>1015</v>
      </c>
      <c r="H252" s="6" t="s">
        <v>1025</v>
      </c>
      <c r="I252" s="5"/>
      <c r="J252" s="5" t="s">
        <v>217</v>
      </c>
      <c r="K252" s="6" t="s">
        <v>1030</v>
      </c>
      <c r="L252" s="5" t="s">
        <v>1018</v>
      </c>
    </row>
    <row r="253" customFormat="false" ht="57.45" hidden="false" customHeight="false" outlineLevel="0" collapsed="false">
      <c r="A253" s="5" t="s">
        <v>1031</v>
      </c>
      <c r="B253" s="6" t="s">
        <v>1032</v>
      </c>
      <c r="C253" s="5" t="n">
        <v>8</v>
      </c>
      <c r="D253" s="5"/>
      <c r="E253" s="5"/>
      <c r="F253" s="5" t="s">
        <v>1029</v>
      </c>
      <c r="G253" s="11" t="s">
        <v>1015</v>
      </c>
      <c r="H253" s="6" t="s">
        <v>1025</v>
      </c>
      <c r="I253" s="5"/>
      <c r="J253" s="5" t="s">
        <v>217</v>
      </c>
      <c r="K253" s="6" t="s">
        <v>1033</v>
      </c>
      <c r="L253" s="5" t="s">
        <v>1018</v>
      </c>
    </row>
    <row r="254" customFormat="false" ht="57.45" hidden="false" customHeight="false" outlineLevel="0" collapsed="false">
      <c r="A254" s="5" t="s">
        <v>1034</v>
      </c>
      <c r="B254" s="6" t="s">
        <v>1035</v>
      </c>
      <c r="C254" s="5" t="n">
        <v>1847</v>
      </c>
      <c r="D254" s="5"/>
      <c r="E254" s="5"/>
      <c r="F254" s="5" t="s">
        <v>1036</v>
      </c>
      <c r="G254" s="11" t="s">
        <v>1015</v>
      </c>
      <c r="H254" s="6" t="s">
        <v>1037</v>
      </c>
      <c r="I254" s="5"/>
      <c r="J254" s="5" t="s">
        <v>217</v>
      </c>
      <c r="K254" s="6" t="s">
        <v>1038</v>
      </c>
      <c r="L254" s="5" t="s">
        <v>1018</v>
      </c>
    </row>
    <row r="255" customFormat="false" ht="57.45" hidden="false" customHeight="false" outlineLevel="0" collapsed="false">
      <c r="A255" s="5" t="s">
        <v>1039</v>
      </c>
      <c r="B255" s="6" t="s">
        <v>1040</v>
      </c>
      <c r="C255" s="5" t="n">
        <v>1703</v>
      </c>
      <c r="D255" s="5"/>
      <c r="E255" s="5"/>
      <c r="F255" s="5" t="s">
        <v>1036</v>
      </c>
      <c r="G255" s="11" t="s">
        <v>1015</v>
      </c>
      <c r="H255" s="6" t="s">
        <v>1037</v>
      </c>
      <c r="I255" s="5"/>
      <c r="J255" s="5" t="s">
        <v>217</v>
      </c>
      <c r="K255" s="6" t="s">
        <v>1041</v>
      </c>
      <c r="L255" s="5" t="s">
        <v>1018</v>
      </c>
    </row>
    <row r="256" customFormat="false" ht="46.25" hidden="false" customHeight="false" outlineLevel="0" collapsed="false">
      <c r="A256" s="5" t="s">
        <v>1042</v>
      </c>
      <c r="B256" s="6" t="s">
        <v>1043</v>
      </c>
      <c r="C256" s="5" t="n">
        <v>50</v>
      </c>
      <c r="D256" s="5"/>
      <c r="E256" s="5"/>
      <c r="F256" s="5" t="s">
        <v>119</v>
      </c>
      <c r="G256" s="11" t="s">
        <v>1015</v>
      </c>
      <c r="H256" s="6" t="s">
        <v>1044</v>
      </c>
      <c r="I256" s="5"/>
      <c r="J256" s="5" t="s">
        <v>217</v>
      </c>
      <c r="K256" s="6" t="s">
        <v>1045</v>
      </c>
      <c r="L256" s="5" t="s">
        <v>1018</v>
      </c>
    </row>
    <row r="257" customFormat="false" ht="68.65" hidden="false" customHeight="false" outlineLevel="0" collapsed="false">
      <c r="A257" s="5" t="s">
        <v>1046</v>
      </c>
      <c r="B257" s="6" t="s">
        <v>1047</v>
      </c>
      <c r="C257" s="5" t="n">
        <v>100</v>
      </c>
      <c r="D257" s="5"/>
      <c r="E257" s="5"/>
      <c r="F257" s="5" t="s">
        <v>119</v>
      </c>
      <c r="G257" s="11" t="s">
        <v>1015</v>
      </c>
      <c r="H257" s="6" t="s">
        <v>1044</v>
      </c>
      <c r="I257" s="5"/>
      <c r="J257" s="5" t="s">
        <v>217</v>
      </c>
      <c r="K257" s="6" t="s">
        <v>1048</v>
      </c>
      <c r="L257" s="5" t="s">
        <v>1018</v>
      </c>
    </row>
    <row r="258" customFormat="false" ht="68.65" hidden="false" customHeight="false" outlineLevel="0" collapsed="false">
      <c r="A258" s="5" t="s">
        <v>1049</v>
      </c>
      <c r="B258" s="6" t="s">
        <v>1050</v>
      </c>
      <c r="C258" s="5" t="n">
        <v>0</v>
      </c>
      <c r="D258" s="5"/>
      <c r="E258" s="5"/>
      <c r="F258" s="5" t="s">
        <v>119</v>
      </c>
      <c r="G258" s="11" t="s">
        <v>1015</v>
      </c>
      <c r="H258" s="6" t="s">
        <v>1051</v>
      </c>
      <c r="I258" s="5"/>
      <c r="J258" s="5" t="s">
        <v>217</v>
      </c>
      <c r="K258" s="6" t="s">
        <v>1052</v>
      </c>
      <c r="L258" s="5" t="s">
        <v>1018</v>
      </c>
    </row>
    <row r="259" customFormat="false" ht="68.65" hidden="false" customHeight="false" outlineLevel="0" collapsed="false">
      <c r="A259" s="5" t="s">
        <v>1053</v>
      </c>
      <c r="B259" s="6" t="s">
        <v>1054</v>
      </c>
      <c r="C259" s="5" t="n">
        <v>0</v>
      </c>
      <c r="D259" s="5"/>
      <c r="E259" s="5"/>
      <c r="F259" s="5" t="s">
        <v>119</v>
      </c>
      <c r="G259" s="11" t="s">
        <v>1015</v>
      </c>
      <c r="H259" s="6" t="s">
        <v>1051</v>
      </c>
      <c r="I259" s="5"/>
      <c r="J259" s="5" t="s">
        <v>217</v>
      </c>
      <c r="K259" s="6" t="s">
        <v>1055</v>
      </c>
      <c r="L259" s="5" t="s">
        <v>1018</v>
      </c>
    </row>
    <row r="260" customFormat="false" ht="57.45" hidden="false" customHeight="false" outlineLevel="0" collapsed="false">
      <c r="A260" s="5" t="s">
        <v>1056</v>
      </c>
      <c r="B260" s="6" t="s">
        <v>1057</v>
      </c>
      <c r="C260" s="5" t="n">
        <v>63.7</v>
      </c>
      <c r="D260" s="5"/>
      <c r="E260" s="5"/>
      <c r="F260" s="5" t="s">
        <v>1058</v>
      </c>
      <c r="G260" s="11" t="s">
        <v>1015</v>
      </c>
      <c r="H260" s="6" t="s">
        <v>1059</v>
      </c>
      <c r="I260" s="5"/>
      <c r="J260" s="5" t="s">
        <v>217</v>
      </c>
      <c r="K260" s="6" t="s">
        <v>1060</v>
      </c>
      <c r="L260" s="5" t="s">
        <v>1018</v>
      </c>
    </row>
    <row r="261" customFormat="false" ht="68.65" hidden="false" customHeight="false" outlineLevel="0" collapsed="false">
      <c r="A261" s="5" t="s">
        <v>1061</v>
      </c>
      <c r="B261" s="6" t="s">
        <v>1062</v>
      </c>
      <c r="C261" s="5" t="n">
        <v>43.11</v>
      </c>
      <c r="D261" s="5"/>
      <c r="E261" s="5"/>
      <c r="F261" s="5" t="s">
        <v>119</v>
      </c>
      <c r="G261" s="8" t="s">
        <v>170</v>
      </c>
      <c r="H261" s="6" t="s">
        <v>1063</v>
      </c>
      <c r="I261" s="5"/>
      <c r="J261" s="5" t="s">
        <v>217</v>
      </c>
      <c r="K261" s="6" t="s">
        <v>1064</v>
      </c>
      <c r="L261" s="5" t="s">
        <v>1065</v>
      </c>
    </row>
    <row r="262" customFormat="false" ht="68.65" hidden="false" customHeight="false" outlineLevel="0" collapsed="false">
      <c r="A262" s="5" t="s">
        <v>1066</v>
      </c>
      <c r="B262" s="6" t="s">
        <v>1067</v>
      </c>
      <c r="C262" s="5" t="n">
        <v>36.97</v>
      </c>
      <c r="D262" s="5"/>
      <c r="E262" s="5"/>
      <c r="F262" s="5" t="s">
        <v>119</v>
      </c>
      <c r="G262" s="8" t="s">
        <v>170</v>
      </c>
      <c r="H262" s="6" t="s">
        <v>1063</v>
      </c>
      <c r="I262" s="5"/>
      <c r="J262" s="5" t="s">
        <v>217</v>
      </c>
      <c r="K262" s="6" t="s">
        <v>1068</v>
      </c>
      <c r="L262" s="5" t="s">
        <v>1065</v>
      </c>
    </row>
    <row r="263" customFormat="false" ht="68.65" hidden="false" customHeight="false" outlineLevel="0" collapsed="false">
      <c r="A263" s="5" t="s">
        <v>1069</v>
      </c>
      <c r="B263" s="6" t="s">
        <v>1070</v>
      </c>
      <c r="C263" s="5" t="n">
        <v>52.43</v>
      </c>
      <c r="D263" s="5"/>
      <c r="E263" s="5"/>
      <c r="F263" s="5" t="s">
        <v>119</v>
      </c>
      <c r="G263" s="8" t="s">
        <v>170</v>
      </c>
      <c r="H263" s="6" t="s">
        <v>1063</v>
      </c>
      <c r="I263" s="5"/>
      <c r="J263" s="5" t="s">
        <v>217</v>
      </c>
      <c r="K263" s="6" t="s">
        <v>1064</v>
      </c>
      <c r="L263" s="5" t="s">
        <v>1065</v>
      </c>
    </row>
    <row r="264" customFormat="false" ht="68.65" hidden="false" customHeight="false" outlineLevel="0" collapsed="false">
      <c r="A264" s="5" t="s">
        <v>1071</v>
      </c>
      <c r="B264" s="6" t="s">
        <v>1072</v>
      </c>
      <c r="C264" s="5" t="n">
        <v>17.96</v>
      </c>
      <c r="D264" s="5"/>
      <c r="E264" s="5"/>
      <c r="F264" s="5" t="s">
        <v>119</v>
      </c>
      <c r="G264" s="8" t="s">
        <v>170</v>
      </c>
      <c r="H264" s="6" t="s">
        <v>1063</v>
      </c>
      <c r="I264" s="5"/>
      <c r="J264" s="5" t="s">
        <v>217</v>
      </c>
      <c r="K264" s="6" t="s">
        <v>1064</v>
      </c>
      <c r="L264" s="5" t="s">
        <v>1065</v>
      </c>
    </row>
    <row r="265" customFormat="false" ht="102.2" hidden="false" customHeight="false" outlineLevel="0" collapsed="false">
      <c r="A265" s="5" t="s">
        <v>1073</v>
      </c>
      <c r="B265" s="6" t="s">
        <v>1074</v>
      </c>
      <c r="C265" s="5" t="n">
        <v>0.81</v>
      </c>
      <c r="D265" s="5"/>
      <c r="E265" s="5"/>
      <c r="F265" s="5" t="s">
        <v>598</v>
      </c>
      <c r="G265" s="8" t="s">
        <v>170</v>
      </c>
      <c r="H265" s="6" t="s">
        <v>1063</v>
      </c>
      <c r="I265" s="5"/>
      <c r="J265" s="5" t="s">
        <v>217</v>
      </c>
      <c r="K265" s="6" t="s">
        <v>1075</v>
      </c>
      <c r="L265" s="5" t="s">
        <v>1065</v>
      </c>
    </row>
    <row r="266" customFormat="false" ht="68.65" hidden="false" customHeight="false" outlineLevel="0" collapsed="false">
      <c r="A266" s="5" t="s">
        <v>1076</v>
      </c>
      <c r="B266" s="6" t="s">
        <v>1077</v>
      </c>
      <c r="C266" s="5" t="n">
        <v>-1.6</v>
      </c>
      <c r="D266" s="5"/>
      <c r="E266" s="5"/>
      <c r="F266" s="5" t="s">
        <v>598</v>
      </c>
      <c r="G266" s="8" t="s">
        <v>170</v>
      </c>
      <c r="H266" s="6" t="s">
        <v>1078</v>
      </c>
      <c r="I266" s="5"/>
      <c r="J266" s="5" t="s">
        <v>217</v>
      </c>
      <c r="K266" s="6" t="s">
        <v>1079</v>
      </c>
      <c r="L266" s="5" t="s">
        <v>1065</v>
      </c>
    </row>
    <row r="267" customFormat="false" ht="46.25" hidden="false" customHeight="false" outlineLevel="0" collapsed="false">
      <c r="A267" s="5" t="s">
        <v>1080</v>
      </c>
      <c r="B267" s="6" t="s">
        <v>1081</v>
      </c>
      <c r="C267" s="5" t="n">
        <v>0.81</v>
      </c>
      <c r="D267" s="5"/>
      <c r="E267" s="5"/>
      <c r="F267" s="5" t="s">
        <v>933</v>
      </c>
      <c r="G267" s="8" t="s">
        <v>170</v>
      </c>
      <c r="H267" s="6" t="s">
        <v>1078</v>
      </c>
      <c r="I267" s="5"/>
      <c r="J267" s="5" t="s">
        <v>217</v>
      </c>
      <c r="K267" s="6" t="s">
        <v>1082</v>
      </c>
      <c r="L267" s="5" t="s">
        <v>1065</v>
      </c>
    </row>
    <row r="268" customFormat="false" ht="57.45" hidden="false" customHeight="false" outlineLevel="0" collapsed="false">
      <c r="A268" s="5" t="s">
        <v>1083</v>
      </c>
      <c r="B268" s="6" t="s">
        <v>1084</v>
      </c>
      <c r="C268" s="5" t="n">
        <v>19.24</v>
      </c>
      <c r="D268" s="5"/>
      <c r="E268" s="5"/>
      <c r="F268" s="5" t="s">
        <v>119</v>
      </c>
      <c r="G268" s="8" t="s">
        <v>170</v>
      </c>
      <c r="H268" s="6" t="s">
        <v>1085</v>
      </c>
      <c r="I268" s="5" t="s">
        <v>1086</v>
      </c>
      <c r="J268" s="5" t="s">
        <v>217</v>
      </c>
      <c r="K268" s="6" t="s">
        <v>1087</v>
      </c>
      <c r="L268" s="5" t="s">
        <v>1065</v>
      </c>
    </row>
    <row r="269" customFormat="false" ht="57.45" hidden="false" customHeight="false" outlineLevel="0" collapsed="false">
      <c r="A269" s="5" t="s">
        <v>1088</v>
      </c>
      <c r="B269" s="6" t="s">
        <v>1089</v>
      </c>
      <c r="C269" s="5" t="n">
        <v>3.33</v>
      </c>
      <c r="D269" s="5"/>
      <c r="E269" s="5"/>
      <c r="F269" s="5" t="s">
        <v>119</v>
      </c>
      <c r="G269" s="8" t="s">
        <v>170</v>
      </c>
      <c r="H269" s="6" t="s">
        <v>1085</v>
      </c>
      <c r="I269" s="5" t="s">
        <v>1086</v>
      </c>
      <c r="J269" s="5" t="s">
        <v>217</v>
      </c>
      <c r="K269" s="6" t="s">
        <v>1087</v>
      </c>
      <c r="L269" s="5" t="s">
        <v>1065</v>
      </c>
    </row>
    <row r="270" customFormat="false" ht="57.45" hidden="false" customHeight="false" outlineLevel="0" collapsed="false">
      <c r="A270" s="5" t="s">
        <v>1090</v>
      </c>
      <c r="B270" s="6" t="s">
        <v>1091</v>
      </c>
      <c r="C270" s="5" t="n">
        <v>2.23</v>
      </c>
      <c r="D270" s="5"/>
      <c r="E270" s="5"/>
      <c r="F270" s="5" t="s">
        <v>119</v>
      </c>
      <c r="G270" s="8" t="s">
        <v>170</v>
      </c>
      <c r="H270" s="6" t="s">
        <v>1085</v>
      </c>
      <c r="I270" s="5" t="s">
        <v>1086</v>
      </c>
      <c r="J270" s="5" t="s">
        <v>217</v>
      </c>
      <c r="K270" s="6" t="s">
        <v>1087</v>
      </c>
      <c r="L270" s="5" t="s">
        <v>1065</v>
      </c>
    </row>
    <row r="271" customFormat="false" ht="91" hidden="false" customHeight="false" outlineLevel="0" collapsed="false">
      <c r="A271" s="5" t="s">
        <v>1092</v>
      </c>
      <c r="B271" s="6" t="s">
        <v>1093</v>
      </c>
      <c r="C271" s="5" t="n">
        <v>8.42</v>
      </c>
      <c r="D271" s="5"/>
      <c r="E271" s="5"/>
      <c r="F271" s="5" t="s">
        <v>119</v>
      </c>
      <c r="G271" s="8" t="s">
        <v>170</v>
      </c>
      <c r="H271" s="6" t="s">
        <v>1085</v>
      </c>
      <c r="I271" s="5" t="s">
        <v>1086</v>
      </c>
      <c r="J271" s="5" t="s">
        <v>217</v>
      </c>
      <c r="K271" s="6" t="s">
        <v>1094</v>
      </c>
      <c r="L271" s="5" t="s">
        <v>1065</v>
      </c>
    </row>
    <row r="272" customFormat="false" ht="113.4" hidden="false" customHeight="false" outlineLevel="0" collapsed="false">
      <c r="A272" s="5" t="s">
        <v>1095</v>
      </c>
      <c r="B272" s="6" t="s">
        <v>1096</v>
      </c>
      <c r="C272" s="5" t="n">
        <v>71.1</v>
      </c>
      <c r="D272" s="5"/>
      <c r="E272" s="5"/>
      <c r="F272" s="5" t="s">
        <v>119</v>
      </c>
      <c r="G272" s="8" t="s">
        <v>170</v>
      </c>
      <c r="H272" s="6" t="s">
        <v>1097</v>
      </c>
      <c r="I272" s="5"/>
      <c r="J272" s="5" t="s">
        <v>217</v>
      </c>
      <c r="K272" s="6" t="s">
        <v>1098</v>
      </c>
      <c r="L272" s="5" t="s">
        <v>1099</v>
      </c>
    </row>
    <row r="273" customFormat="false" ht="113.4" hidden="false" customHeight="false" outlineLevel="0" collapsed="false">
      <c r="A273" s="5" t="s">
        <v>1100</v>
      </c>
      <c r="B273" s="6" t="s">
        <v>1101</v>
      </c>
      <c r="C273" s="5" t="n">
        <v>0.021</v>
      </c>
      <c r="D273" s="5"/>
      <c r="E273" s="5"/>
      <c r="F273" s="5" t="s">
        <v>933</v>
      </c>
      <c r="G273" s="8" t="s">
        <v>170</v>
      </c>
      <c r="H273" s="6" t="s">
        <v>1097</v>
      </c>
      <c r="I273" s="5"/>
      <c r="J273" s="5" t="s">
        <v>217</v>
      </c>
      <c r="K273" s="6" t="s">
        <v>1098</v>
      </c>
      <c r="L273" s="5" t="s">
        <v>1099</v>
      </c>
    </row>
    <row r="274" customFormat="false" ht="113.4" hidden="false" customHeight="false" outlineLevel="0" collapsed="false">
      <c r="A274" s="5" t="s">
        <v>1102</v>
      </c>
      <c r="B274" s="6" t="s">
        <v>1103</v>
      </c>
      <c r="C274" s="5" t="n">
        <v>42.5</v>
      </c>
      <c r="D274" s="5"/>
      <c r="E274" s="5"/>
      <c r="F274" s="5" t="s">
        <v>119</v>
      </c>
      <c r="G274" s="8" t="s">
        <v>170</v>
      </c>
      <c r="H274" s="6" t="s">
        <v>1097</v>
      </c>
      <c r="I274" s="5"/>
      <c r="J274" s="5" t="s">
        <v>217</v>
      </c>
      <c r="K274" s="6" t="s">
        <v>1098</v>
      </c>
      <c r="L274" s="5" t="s">
        <v>1099</v>
      </c>
    </row>
    <row r="275" customFormat="false" ht="113.4" hidden="false" customHeight="false" outlineLevel="0" collapsed="false">
      <c r="A275" s="5" t="s">
        <v>1104</v>
      </c>
      <c r="B275" s="6" t="s">
        <v>1105</v>
      </c>
      <c r="C275" s="5" t="n">
        <v>0.062</v>
      </c>
      <c r="D275" s="5"/>
      <c r="E275" s="5"/>
      <c r="F275" s="5" t="s">
        <v>933</v>
      </c>
      <c r="G275" s="8" t="s">
        <v>170</v>
      </c>
      <c r="H275" s="6" t="s">
        <v>1097</v>
      </c>
      <c r="I275" s="5"/>
      <c r="J275" s="5" t="s">
        <v>217</v>
      </c>
      <c r="K275" s="6" t="s">
        <v>1098</v>
      </c>
      <c r="L275" s="5" t="s">
        <v>1099</v>
      </c>
    </row>
    <row r="276" customFormat="false" ht="124.6" hidden="false" customHeight="false" outlineLevel="0" collapsed="false">
      <c r="A276" s="5" t="s">
        <v>1106</v>
      </c>
      <c r="B276" s="6" t="s">
        <v>1107</v>
      </c>
      <c r="C276" s="5" t="n">
        <v>10.3</v>
      </c>
      <c r="D276" s="5"/>
      <c r="E276" s="5"/>
      <c r="F276" s="5" t="s">
        <v>119</v>
      </c>
      <c r="G276" s="8" t="s">
        <v>170</v>
      </c>
      <c r="H276" s="6" t="s">
        <v>1097</v>
      </c>
      <c r="I276" s="5"/>
      <c r="J276" s="5" t="s">
        <v>217</v>
      </c>
      <c r="K276" s="6" t="s">
        <v>1108</v>
      </c>
      <c r="L276" s="5" t="s">
        <v>1099</v>
      </c>
    </row>
    <row r="277" customFormat="false" ht="135.8" hidden="false" customHeight="false" outlineLevel="0" collapsed="false">
      <c r="A277" s="5" t="s">
        <v>1109</v>
      </c>
      <c r="B277" s="6" t="s">
        <v>1110</v>
      </c>
      <c r="C277" s="5" t="n">
        <v>54.9</v>
      </c>
      <c r="D277" s="5"/>
      <c r="E277" s="5"/>
      <c r="F277" s="5" t="s">
        <v>119</v>
      </c>
      <c r="G277" s="8" t="s">
        <v>170</v>
      </c>
      <c r="H277" s="6" t="s">
        <v>1097</v>
      </c>
      <c r="I277" s="5"/>
      <c r="J277" s="5" t="s">
        <v>217</v>
      </c>
      <c r="K277" s="6" t="s">
        <v>1111</v>
      </c>
      <c r="L277" s="5" t="s">
        <v>1099</v>
      </c>
    </row>
    <row r="278" customFormat="false" ht="169.4" hidden="false" customHeight="false" outlineLevel="0" collapsed="false">
      <c r="A278" s="5" t="s">
        <v>1112</v>
      </c>
      <c r="B278" s="6" t="s">
        <v>1113</v>
      </c>
      <c r="C278" s="5" t="n">
        <v>37</v>
      </c>
      <c r="D278" s="5"/>
      <c r="E278" s="5"/>
      <c r="F278" s="5" t="s">
        <v>119</v>
      </c>
      <c r="G278" s="8" t="s">
        <v>170</v>
      </c>
      <c r="H278" s="6" t="s">
        <v>1097</v>
      </c>
      <c r="I278" s="5"/>
      <c r="J278" s="5" t="s">
        <v>217</v>
      </c>
      <c r="K278" s="6" t="s">
        <v>1114</v>
      </c>
      <c r="L278" s="5" t="s">
        <v>1115</v>
      </c>
    </row>
    <row r="279" customFormat="false" ht="169.4" hidden="false" customHeight="false" outlineLevel="0" collapsed="false">
      <c r="A279" s="5" t="s">
        <v>1116</v>
      </c>
      <c r="B279" s="6" t="s">
        <v>1117</v>
      </c>
      <c r="C279" s="5" t="n">
        <v>0.062</v>
      </c>
      <c r="D279" s="5"/>
      <c r="E279" s="5"/>
      <c r="F279" s="5"/>
      <c r="G279" s="8" t="s">
        <v>170</v>
      </c>
      <c r="H279" s="6" t="s">
        <v>1097</v>
      </c>
      <c r="I279" s="5"/>
      <c r="J279" s="5" t="s">
        <v>217</v>
      </c>
      <c r="K279" s="6" t="s">
        <v>1114</v>
      </c>
      <c r="L279" s="5" t="s">
        <v>1115</v>
      </c>
    </row>
    <row r="280" customFormat="false" ht="169.4" hidden="false" customHeight="false" outlineLevel="0" collapsed="false">
      <c r="A280" s="5" t="s">
        <v>1118</v>
      </c>
      <c r="B280" s="6" t="s">
        <v>1119</v>
      </c>
      <c r="C280" s="5" t="n">
        <v>74.2</v>
      </c>
      <c r="D280" s="5"/>
      <c r="E280" s="5"/>
      <c r="F280" s="5" t="s">
        <v>119</v>
      </c>
      <c r="G280" s="8" t="s">
        <v>170</v>
      </c>
      <c r="H280" s="6" t="s">
        <v>1097</v>
      </c>
      <c r="I280" s="5"/>
      <c r="J280" s="5" t="s">
        <v>217</v>
      </c>
      <c r="K280" s="6" t="s">
        <v>1114</v>
      </c>
      <c r="L280" s="5" t="s">
        <v>1115</v>
      </c>
    </row>
    <row r="281" customFormat="false" ht="169.4" hidden="false" customHeight="false" outlineLevel="0" collapsed="false">
      <c r="A281" s="5" t="s">
        <v>1120</v>
      </c>
      <c r="B281" s="6" t="s">
        <v>1121</v>
      </c>
      <c r="C281" s="5" t="n">
        <v>0.031</v>
      </c>
      <c r="D281" s="5"/>
      <c r="E281" s="5"/>
      <c r="F281" s="5"/>
      <c r="G281" s="8" t="s">
        <v>170</v>
      </c>
      <c r="H281" s="6" t="s">
        <v>1097</v>
      </c>
      <c r="I281" s="5"/>
      <c r="J281" s="5" t="s">
        <v>217</v>
      </c>
      <c r="K281" s="6" t="s">
        <v>1114</v>
      </c>
      <c r="L281" s="5" t="s">
        <v>1115</v>
      </c>
    </row>
    <row r="282" customFormat="false" ht="46.25" hidden="false" customHeight="false" outlineLevel="0" collapsed="false">
      <c r="A282" s="5" t="s">
        <v>1122</v>
      </c>
      <c r="B282" s="6" t="s">
        <v>1123</v>
      </c>
      <c r="C282" s="5" t="n">
        <v>73.15</v>
      </c>
      <c r="D282" s="5"/>
      <c r="E282" s="5"/>
      <c r="F282" s="5" t="s">
        <v>119</v>
      </c>
      <c r="G282" s="8" t="s">
        <v>170</v>
      </c>
      <c r="H282" s="6" t="s">
        <v>1124</v>
      </c>
      <c r="I282" s="5"/>
      <c r="J282" s="5" t="s">
        <v>217</v>
      </c>
      <c r="K282" s="6" t="s">
        <v>1125</v>
      </c>
      <c r="L282" s="5" t="s">
        <v>1126</v>
      </c>
    </row>
    <row r="283" customFormat="false" ht="46.25" hidden="false" customHeight="false" outlineLevel="0" collapsed="false">
      <c r="A283" s="5" t="s">
        <v>1127</v>
      </c>
      <c r="B283" s="6" t="s">
        <v>1128</v>
      </c>
      <c r="C283" s="5" t="n">
        <v>55.96</v>
      </c>
      <c r="D283" s="5"/>
      <c r="E283" s="5"/>
      <c r="F283" s="5" t="s">
        <v>119</v>
      </c>
      <c r="G283" s="8" t="s">
        <v>170</v>
      </c>
      <c r="H283" s="6" t="s">
        <v>1124</v>
      </c>
      <c r="I283" s="5"/>
      <c r="J283" s="5" t="s">
        <v>217</v>
      </c>
      <c r="K283" s="6" t="s">
        <v>1125</v>
      </c>
      <c r="L283" s="5" t="s">
        <v>1126</v>
      </c>
    </row>
    <row r="284" customFormat="false" ht="68.65" hidden="false" customHeight="false" outlineLevel="0" collapsed="false">
      <c r="A284" s="5" t="s">
        <v>1129</v>
      </c>
      <c r="B284" s="6" t="s">
        <v>1130</v>
      </c>
      <c r="C284" s="5" t="n">
        <v>10.75</v>
      </c>
      <c r="D284" s="5"/>
      <c r="E284" s="5"/>
      <c r="F284" s="5" t="s">
        <v>119</v>
      </c>
      <c r="G284" s="8" t="s">
        <v>170</v>
      </c>
      <c r="H284" s="6" t="s">
        <v>1131</v>
      </c>
      <c r="I284" s="5"/>
      <c r="J284" s="5" t="s">
        <v>217</v>
      </c>
      <c r="K284" s="6" t="s">
        <v>1132</v>
      </c>
      <c r="L284" s="5" t="s">
        <v>1126</v>
      </c>
    </row>
    <row r="285" customFormat="false" ht="91" hidden="false" customHeight="false" outlineLevel="0" collapsed="false">
      <c r="A285" s="5" t="s">
        <v>1133</v>
      </c>
      <c r="B285" s="6" t="s">
        <v>1134</v>
      </c>
      <c r="C285" s="5" t="n">
        <v>75</v>
      </c>
      <c r="D285" s="5"/>
      <c r="E285" s="5"/>
      <c r="F285" s="5" t="s">
        <v>1029</v>
      </c>
      <c r="G285" s="11" t="s">
        <v>1015</v>
      </c>
      <c r="H285" s="6" t="s">
        <v>1135</v>
      </c>
      <c r="I285" s="5"/>
      <c r="J285" s="5" t="s">
        <v>217</v>
      </c>
      <c r="K285" s="6" t="s">
        <v>1136</v>
      </c>
      <c r="L285" s="5" t="s">
        <v>1018</v>
      </c>
    </row>
    <row r="286" customFormat="false" ht="91" hidden="false" customHeight="false" outlineLevel="0" collapsed="false">
      <c r="A286" s="5" t="s">
        <v>1137</v>
      </c>
      <c r="B286" s="6" t="s">
        <v>1138</v>
      </c>
      <c r="C286" s="5" t="n">
        <v>7</v>
      </c>
      <c r="D286" s="5"/>
      <c r="E286" s="5"/>
      <c r="F286" s="5" t="s">
        <v>1029</v>
      </c>
      <c r="G286" s="11" t="s">
        <v>1015</v>
      </c>
      <c r="H286" s="6" t="s">
        <v>1135</v>
      </c>
      <c r="I286" s="5"/>
      <c r="J286" s="5" t="s">
        <v>217</v>
      </c>
      <c r="K286" s="6" t="s">
        <v>1136</v>
      </c>
      <c r="L286" s="5" t="s">
        <v>1018</v>
      </c>
    </row>
    <row r="287" customFormat="false" ht="91" hidden="false" customHeight="false" outlineLevel="0" collapsed="false">
      <c r="A287" s="5" t="s">
        <v>1139</v>
      </c>
      <c r="B287" s="6" t="s">
        <v>1140</v>
      </c>
      <c r="C287" s="5" t="n">
        <v>18</v>
      </c>
      <c r="D287" s="5"/>
      <c r="E287" s="5"/>
      <c r="F287" s="5" t="s">
        <v>1029</v>
      </c>
      <c r="G287" s="11" t="s">
        <v>1015</v>
      </c>
      <c r="H287" s="6" t="s">
        <v>1135</v>
      </c>
      <c r="I287" s="5"/>
      <c r="J287" s="5" t="s">
        <v>217</v>
      </c>
      <c r="K287" s="6" t="s">
        <v>1136</v>
      </c>
      <c r="L287" s="5" t="s">
        <v>1018</v>
      </c>
    </row>
    <row r="288" customFormat="false" ht="91" hidden="false" customHeight="false" outlineLevel="0" collapsed="false">
      <c r="A288" s="5" t="s">
        <v>1141</v>
      </c>
      <c r="B288" s="6" t="s">
        <v>1142</v>
      </c>
      <c r="C288" s="5" t="n">
        <v>16</v>
      </c>
      <c r="D288" s="5"/>
      <c r="E288" s="5"/>
      <c r="F288" s="5" t="s">
        <v>1029</v>
      </c>
      <c r="G288" s="11" t="s">
        <v>1015</v>
      </c>
      <c r="H288" s="6" t="s">
        <v>1135</v>
      </c>
      <c r="I288" s="5"/>
      <c r="J288" s="5" t="s">
        <v>217</v>
      </c>
      <c r="K288" s="6" t="s">
        <v>1136</v>
      </c>
      <c r="L288" s="5" t="s">
        <v>1018</v>
      </c>
    </row>
    <row r="289" customFormat="false" ht="91" hidden="false" customHeight="false" outlineLevel="0" collapsed="false">
      <c r="A289" s="5" t="s">
        <v>1143</v>
      </c>
      <c r="B289" s="6" t="s">
        <v>1144</v>
      </c>
      <c r="C289" s="5" t="n">
        <v>8</v>
      </c>
      <c r="D289" s="5"/>
      <c r="E289" s="5"/>
      <c r="F289" s="5" t="s">
        <v>1029</v>
      </c>
      <c r="G289" s="11" t="s">
        <v>1015</v>
      </c>
      <c r="H289" s="6" t="s">
        <v>1135</v>
      </c>
      <c r="I289" s="5"/>
      <c r="J289" s="5" t="s">
        <v>217</v>
      </c>
      <c r="K289" s="6" t="s">
        <v>1136</v>
      </c>
      <c r="L289" s="5" t="s">
        <v>1018</v>
      </c>
    </row>
    <row r="290" customFormat="false" ht="91" hidden="false" customHeight="false" outlineLevel="0" collapsed="false">
      <c r="A290" s="5" t="s">
        <v>1145</v>
      </c>
      <c r="B290" s="6" t="s">
        <v>1146</v>
      </c>
      <c r="C290" s="5" t="n">
        <v>19</v>
      </c>
      <c r="D290" s="5"/>
      <c r="E290" s="5"/>
      <c r="F290" s="5" t="s">
        <v>1029</v>
      </c>
      <c r="G290" s="11" t="s">
        <v>1015</v>
      </c>
      <c r="H290" s="6" t="s">
        <v>1135</v>
      </c>
      <c r="I290" s="5"/>
      <c r="J290" s="5" t="s">
        <v>217</v>
      </c>
      <c r="K290" s="6" t="s">
        <v>1136</v>
      </c>
      <c r="L290" s="5" t="s">
        <v>1018</v>
      </c>
    </row>
    <row r="291" customFormat="false" ht="79.85" hidden="false" customHeight="false" outlineLevel="0" collapsed="false">
      <c r="A291" s="5" t="s">
        <v>1147</v>
      </c>
      <c r="B291" s="6" t="s">
        <v>1148</v>
      </c>
      <c r="C291" s="5" t="n">
        <v>97.03</v>
      </c>
      <c r="D291" s="5"/>
      <c r="E291" s="5"/>
      <c r="F291" s="5" t="s">
        <v>119</v>
      </c>
      <c r="G291" s="11" t="s">
        <v>1015</v>
      </c>
      <c r="H291" s="6" t="s">
        <v>1149</v>
      </c>
      <c r="I291" s="5"/>
      <c r="J291" s="5" t="s">
        <v>217</v>
      </c>
      <c r="K291" s="6" t="s">
        <v>1150</v>
      </c>
      <c r="L291" s="5" t="s">
        <v>1018</v>
      </c>
    </row>
    <row r="292" customFormat="false" ht="79.85" hidden="false" customHeight="false" outlineLevel="0" collapsed="false">
      <c r="A292" s="5" t="s">
        <v>1151</v>
      </c>
      <c r="B292" s="6" t="s">
        <v>1152</v>
      </c>
      <c r="C292" s="5" t="n">
        <v>99.38</v>
      </c>
      <c r="D292" s="5"/>
      <c r="E292" s="5"/>
      <c r="F292" s="5" t="s">
        <v>119</v>
      </c>
      <c r="G292" s="11" t="s">
        <v>1015</v>
      </c>
      <c r="H292" s="6" t="s">
        <v>1149</v>
      </c>
      <c r="I292" s="5"/>
      <c r="J292" s="5" t="s">
        <v>217</v>
      </c>
      <c r="K292" s="6" t="s">
        <v>1150</v>
      </c>
      <c r="L292" s="5" t="s">
        <v>1018</v>
      </c>
    </row>
    <row r="293" customFormat="false" ht="79.85" hidden="false" customHeight="false" outlineLevel="0" collapsed="false">
      <c r="A293" s="5" t="s">
        <v>1153</v>
      </c>
      <c r="B293" s="6" t="s">
        <v>1154</v>
      </c>
      <c r="C293" s="5" t="n">
        <v>99.07</v>
      </c>
      <c r="D293" s="5"/>
      <c r="E293" s="5"/>
      <c r="F293" s="5" t="s">
        <v>119</v>
      </c>
      <c r="G293" s="11" t="s">
        <v>1015</v>
      </c>
      <c r="H293" s="6" t="s">
        <v>1149</v>
      </c>
      <c r="I293" s="5"/>
      <c r="J293" s="5" t="s">
        <v>217</v>
      </c>
      <c r="K293" s="6" t="s">
        <v>1150</v>
      </c>
      <c r="L293" s="5" t="s">
        <v>1018</v>
      </c>
    </row>
    <row r="294" customFormat="false" ht="79.85" hidden="false" customHeight="false" outlineLevel="0" collapsed="false">
      <c r="A294" s="5" t="s">
        <v>1155</v>
      </c>
      <c r="B294" s="6" t="s">
        <v>1156</v>
      </c>
      <c r="C294" s="5" t="n">
        <v>31</v>
      </c>
      <c r="D294" s="5"/>
      <c r="E294" s="5"/>
      <c r="F294" s="5" t="s">
        <v>535</v>
      </c>
      <c r="G294" s="11" t="s">
        <v>1015</v>
      </c>
      <c r="H294" s="6" t="s">
        <v>1149</v>
      </c>
      <c r="I294" s="5"/>
      <c r="J294" s="5" t="s">
        <v>217</v>
      </c>
      <c r="K294" s="6" t="s">
        <v>1150</v>
      </c>
      <c r="L294" s="5" t="s">
        <v>1018</v>
      </c>
    </row>
    <row r="295" customFormat="false" ht="79.85" hidden="false" customHeight="false" outlineLevel="0" collapsed="false">
      <c r="A295" s="5" t="s">
        <v>1157</v>
      </c>
      <c r="B295" s="6" t="s">
        <v>1158</v>
      </c>
      <c r="C295" s="5" t="n">
        <v>83</v>
      </c>
      <c r="D295" s="5"/>
      <c r="E295" s="5"/>
      <c r="F295" s="5" t="s">
        <v>1036</v>
      </c>
      <c r="G295" s="11" t="s">
        <v>1015</v>
      </c>
      <c r="H295" s="6" t="s">
        <v>1159</v>
      </c>
      <c r="I295" s="5"/>
      <c r="J295" s="5" t="s">
        <v>217</v>
      </c>
      <c r="K295" s="6" t="s">
        <v>1150</v>
      </c>
      <c r="L295" s="5" t="s">
        <v>1018</v>
      </c>
    </row>
    <row r="296" customFormat="false" ht="79.85" hidden="false" customHeight="false" outlineLevel="0" collapsed="false">
      <c r="A296" s="5" t="s">
        <v>1160</v>
      </c>
      <c r="B296" s="6" t="s">
        <v>1161</v>
      </c>
      <c r="C296" s="5" t="n">
        <v>202</v>
      </c>
      <c r="D296" s="5"/>
      <c r="E296" s="5"/>
      <c r="F296" s="5" t="s">
        <v>1036</v>
      </c>
      <c r="G296" s="11" t="s">
        <v>1015</v>
      </c>
      <c r="H296" s="6" t="s">
        <v>1159</v>
      </c>
      <c r="I296" s="5"/>
      <c r="J296" s="5" t="s">
        <v>217</v>
      </c>
      <c r="K296" s="6" t="s">
        <v>1150</v>
      </c>
      <c r="L296" s="5" t="s">
        <v>1018</v>
      </c>
    </row>
    <row r="297" customFormat="false" ht="79.85" hidden="false" customHeight="false" outlineLevel="0" collapsed="false">
      <c r="A297" s="5" t="s">
        <v>1162</v>
      </c>
      <c r="B297" s="6" t="s">
        <v>1163</v>
      </c>
      <c r="C297" s="5" t="n">
        <v>229</v>
      </c>
      <c r="D297" s="5"/>
      <c r="E297" s="5"/>
      <c r="F297" s="5" t="s">
        <v>1036</v>
      </c>
      <c r="G297" s="11" t="s">
        <v>1015</v>
      </c>
      <c r="H297" s="6" t="s">
        <v>1159</v>
      </c>
      <c r="I297" s="5"/>
      <c r="J297" s="5" t="s">
        <v>217</v>
      </c>
      <c r="K297" s="6" t="s">
        <v>1150</v>
      </c>
      <c r="L297" s="5" t="s">
        <v>1018</v>
      </c>
    </row>
    <row r="298" customFormat="false" ht="79.85" hidden="false" customHeight="false" outlineLevel="0" collapsed="false">
      <c r="A298" s="5" t="s">
        <v>1164</v>
      </c>
      <c r="B298" s="6" t="s">
        <v>1165</v>
      </c>
      <c r="C298" s="5" t="n">
        <v>205.7</v>
      </c>
      <c r="D298" s="5"/>
      <c r="E298" s="5"/>
      <c r="F298" s="5" t="s">
        <v>119</v>
      </c>
      <c r="G298" s="8" t="s">
        <v>170</v>
      </c>
      <c r="H298" s="6" t="s">
        <v>1166</v>
      </c>
      <c r="I298" s="5"/>
      <c r="J298" s="5" t="s">
        <v>217</v>
      </c>
      <c r="K298" s="6" t="s">
        <v>1167</v>
      </c>
      <c r="L298" s="5" t="s">
        <v>1099</v>
      </c>
    </row>
    <row r="299" customFormat="false" ht="79.85" hidden="false" customHeight="false" outlineLevel="0" collapsed="false">
      <c r="A299" s="5" t="s">
        <v>1168</v>
      </c>
      <c r="B299" s="6" t="s">
        <v>1169</v>
      </c>
      <c r="C299" s="5" t="n">
        <v>87</v>
      </c>
      <c r="D299" s="5"/>
      <c r="E299" s="5"/>
      <c r="F299" s="5" t="s">
        <v>119</v>
      </c>
      <c r="G299" s="8" t="s">
        <v>170</v>
      </c>
      <c r="H299" s="6" t="s">
        <v>1166</v>
      </c>
      <c r="I299" s="5"/>
      <c r="J299" s="5" t="s">
        <v>217</v>
      </c>
      <c r="K299" s="6" t="s">
        <v>1167</v>
      </c>
      <c r="L299" s="5" t="s">
        <v>1099</v>
      </c>
    </row>
    <row r="300" customFormat="false" ht="79.85" hidden="false" customHeight="false" outlineLevel="0" collapsed="false">
      <c r="A300" s="5" t="s">
        <v>1170</v>
      </c>
      <c r="B300" s="6" t="s">
        <v>1171</v>
      </c>
      <c r="C300" s="5" t="n">
        <v>88.6</v>
      </c>
      <c r="D300" s="5"/>
      <c r="E300" s="5"/>
      <c r="F300" s="5" t="s">
        <v>119</v>
      </c>
      <c r="G300" s="8" t="s">
        <v>170</v>
      </c>
      <c r="H300" s="6" t="s">
        <v>1166</v>
      </c>
      <c r="I300" s="5"/>
      <c r="J300" s="5" t="s">
        <v>217</v>
      </c>
      <c r="K300" s="6" t="s">
        <v>1167</v>
      </c>
      <c r="L300" s="5" t="s">
        <v>1099</v>
      </c>
    </row>
    <row r="301" customFormat="false" ht="91" hidden="false" customHeight="false" outlineLevel="0" collapsed="false">
      <c r="A301" s="5" t="s">
        <v>1172</v>
      </c>
      <c r="B301" s="6" t="s">
        <v>1173</v>
      </c>
      <c r="C301" s="5" t="n">
        <v>4.1</v>
      </c>
      <c r="D301" s="5"/>
      <c r="E301" s="5"/>
      <c r="F301" s="5" t="s">
        <v>119</v>
      </c>
      <c r="G301" s="11" t="s">
        <v>1015</v>
      </c>
      <c r="H301" s="6" t="s">
        <v>1016</v>
      </c>
      <c r="I301" s="5"/>
      <c r="J301" s="5" t="s">
        <v>217</v>
      </c>
      <c r="K301" s="6" t="s">
        <v>1174</v>
      </c>
      <c r="L301" s="5" t="s">
        <v>1018</v>
      </c>
    </row>
    <row r="302" customFormat="false" ht="91" hidden="false" customHeight="false" outlineLevel="0" collapsed="false">
      <c r="A302" s="5" t="s">
        <v>1175</v>
      </c>
      <c r="B302" s="6" t="s">
        <v>1176</v>
      </c>
      <c r="C302" s="5" t="n">
        <v>0</v>
      </c>
      <c r="D302" s="5"/>
      <c r="E302" s="5"/>
      <c r="F302" s="5" t="s">
        <v>1036</v>
      </c>
      <c r="G302" s="11" t="s">
        <v>1015</v>
      </c>
      <c r="H302" s="6" t="s">
        <v>1016</v>
      </c>
      <c r="I302" s="5"/>
      <c r="J302" s="5" t="s">
        <v>217</v>
      </c>
      <c r="K302" s="6" t="s">
        <v>1174</v>
      </c>
      <c r="L302" s="5" t="s">
        <v>1018</v>
      </c>
    </row>
    <row r="303" customFormat="false" ht="91" hidden="false" customHeight="false" outlineLevel="0" collapsed="false">
      <c r="A303" s="5" t="s">
        <v>1177</v>
      </c>
      <c r="B303" s="6" t="s">
        <v>1178</v>
      </c>
      <c r="C303" s="5" t="n">
        <v>0</v>
      </c>
      <c r="D303" s="5"/>
      <c r="E303" s="5"/>
      <c r="F303" s="5" t="s">
        <v>119</v>
      </c>
      <c r="G303" s="11" t="s">
        <v>1015</v>
      </c>
      <c r="H303" s="6" t="s">
        <v>1016</v>
      </c>
      <c r="I303" s="5"/>
      <c r="J303" s="5" t="s">
        <v>217</v>
      </c>
      <c r="K303" s="6" t="s">
        <v>1179</v>
      </c>
      <c r="L303" s="5" t="s">
        <v>1018</v>
      </c>
    </row>
    <row r="304" customFormat="false" ht="91" hidden="false" customHeight="false" outlineLevel="0" collapsed="false">
      <c r="A304" s="5" t="s">
        <v>1180</v>
      </c>
      <c r="B304" s="6" t="s">
        <v>1181</v>
      </c>
      <c r="C304" s="5" t="n">
        <v>0</v>
      </c>
      <c r="D304" s="5"/>
      <c r="E304" s="5"/>
      <c r="F304" s="5" t="s">
        <v>1036</v>
      </c>
      <c r="G304" s="11" t="s">
        <v>1015</v>
      </c>
      <c r="H304" s="6" t="s">
        <v>1016</v>
      </c>
      <c r="I304" s="5"/>
      <c r="J304" s="5" t="s">
        <v>217</v>
      </c>
      <c r="K304" s="6" t="s">
        <v>1179</v>
      </c>
      <c r="L304" s="5" t="s">
        <v>1018</v>
      </c>
    </row>
    <row r="305" customFormat="false" ht="91" hidden="false" customHeight="false" outlineLevel="0" collapsed="false">
      <c r="A305" s="5" t="s">
        <v>1182</v>
      </c>
      <c r="B305" s="6" t="s">
        <v>1183</v>
      </c>
      <c r="C305" s="5" t="n">
        <v>259</v>
      </c>
      <c r="D305" s="5"/>
      <c r="E305" s="5"/>
      <c r="F305" s="5" t="s">
        <v>1184</v>
      </c>
      <c r="G305" s="11" t="s">
        <v>1015</v>
      </c>
      <c r="H305" s="6" t="s">
        <v>1185</v>
      </c>
      <c r="I305" s="5"/>
      <c r="J305" s="5" t="s">
        <v>217</v>
      </c>
      <c r="K305" s="6" t="s">
        <v>1179</v>
      </c>
      <c r="L305" s="5" t="s">
        <v>1018</v>
      </c>
    </row>
    <row r="306" customFormat="false" ht="46.25" hidden="false" customHeight="false" outlineLevel="0" collapsed="false">
      <c r="A306" s="5" t="s">
        <v>1186</v>
      </c>
      <c r="B306" s="6" t="s">
        <v>1187</v>
      </c>
      <c r="C306" s="5" t="n">
        <v>33.7</v>
      </c>
      <c r="D306" s="5"/>
      <c r="E306" s="5"/>
      <c r="F306" s="5" t="s">
        <v>1188</v>
      </c>
      <c r="G306" s="11" t="s">
        <v>1015</v>
      </c>
      <c r="H306" s="6" t="s">
        <v>1016</v>
      </c>
      <c r="I306" s="5"/>
      <c r="J306" s="5" t="s">
        <v>217</v>
      </c>
      <c r="K306" s="6" t="s">
        <v>1189</v>
      </c>
      <c r="L306" s="5" t="s">
        <v>1018</v>
      </c>
    </row>
    <row r="307" customFormat="false" ht="46.25" hidden="false" customHeight="false" outlineLevel="0" collapsed="false">
      <c r="A307" s="5" t="s">
        <v>1190</v>
      </c>
      <c r="B307" s="6" t="s">
        <v>1191</v>
      </c>
      <c r="C307" s="5" t="n">
        <v>32.93</v>
      </c>
      <c r="D307" s="5"/>
      <c r="E307" s="5"/>
      <c r="F307" s="5" t="s">
        <v>1188</v>
      </c>
      <c r="G307" s="11" t="s">
        <v>1015</v>
      </c>
      <c r="H307" s="6" t="s">
        <v>1016</v>
      </c>
      <c r="I307" s="5"/>
      <c r="J307" s="5" t="s">
        <v>217</v>
      </c>
      <c r="K307" s="6" t="s">
        <v>1189</v>
      </c>
      <c r="L307" s="5" t="s">
        <v>1018</v>
      </c>
    </row>
    <row r="308" customFormat="false" ht="102.2" hidden="false" customHeight="false" outlineLevel="0" collapsed="false">
      <c r="A308" s="5" t="s">
        <v>1192</v>
      </c>
      <c r="B308" s="6" t="s">
        <v>1193</v>
      </c>
      <c r="C308" s="5" t="n">
        <v>0.44</v>
      </c>
      <c r="D308" s="5"/>
      <c r="E308" s="5"/>
      <c r="F308" s="5" t="s">
        <v>598</v>
      </c>
      <c r="G308" s="8" t="s">
        <v>170</v>
      </c>
      <c r="H308" s="6" t="s">
        <v>1194</v>
      </c>
      <c r="I308" s="5"/>
      <c r="J308" s="5" t="s">
        <v>217</v>
      </c>
      <c r="K308" s="6" t="s">
        <v>1195</v>
      </c>
      <c r="L308" s="5" t="s">
        <v>1065</v>
      </c>
    </row>
    <row r="309" customFormat="false" ht="102.2" hidden="false" customHeight="false" outlineLevel="0" collapsed="false">
      <c r="A309" s="5" t="s">
        <v>1196</v>
      </c>
      <c r="B309" s="6" t="s">
        <v>1197</v>
      </c>
      <c r="C309" s="5" t="n">
        <v>0.57</v>
      </c>
      <c r="D309" s="5"/>
      <c r="E309" s="5"/>
      <c r="F309" s="5" t="s">
        <v>598</v>
      </c>
      <c r="G309" s="8" t="s">
        <v>170</v>
      </c>
      <c r="H309" s="6" t="s">
        <v>1194</v>
      </c>
      <c r="I309" s="5"/>
      <c r="J309" s="5" t="s">
        <v>217</v>
      </c>
      <c r="K309" s="6" t="s">
        <v>1195</v>
      </c>
      <c r="L309" s="5" t="s">
        <v>1065</v>
      </c>
    </row>
    <row r="310" customFormat="false" ht="102.2" hidden="false" customHeight="false" outlineLevel="0" collapsed="false">
      <c r="A310" s="5" t="s">
        <v>1198</v>
      </c>
      <c r="B310" s="6" t="s">
        <v>1199</v>
      </c>
      <c r="C310" s="5" t="n">
        <v>0.12</v>
      </c>
      <c r="D310" s="5"/>
      <c r="E310" s="5"/>
      <c r="F310" s="5" t="s">
        <v>598</v>
      </c>
      <c r="G310" s="8" t="s">
        <v>170</v>
      </c>
      <c r="H310" s="6" t="s">
        <v>1194</v>
      </c>
      <c r="I310" s="5"/>
      <c r="J310" s="5" t="s">
        <v>217</v>
      </c>
      <c r="K310" s="6" t="s">
        <v>1195</v>
      </c>
      <c r="L310" s="5" t="s">
        <v>1065</v>
      </c>
    </row>
    <row r="311" customFormat="false" ht="91" hidden="false" customHeight="false" outlineLevel="0" collapsed="false">
      <c r="A311" s="5" t="s">
        <v>1200</v>
      </c>
      <c r="B311" s="6" t="s">
        <v>1201</v>
      </c>
      <c r="C311" s="5" t="n">
        <v>46.8</v>
      </c>
      <c r="D311" s="5"/>
      <c r="E311" s="5"/>
      <c r="F311" s="5" t="s">
        <v>119</v>
      </c>
      <c r="G311" s="8" t="s">
        <v>170</v>
      </c>
      <c r="H311" s="6" t="s">
        <v>1202</v>
      </c>
      <c r="I311" s="5"/>
      <c r="J311" s="5" t="s">
        <v>217</v>
      </c>
      <c r="K311" s="6" t="s">
        <v>1203</v>
      </c>
      <c r="L311" s="5" t="s">
        <v>1065</v>
      </c>
    </row>
    <row r="312" customFormat="false" ht="91" hidden="false" customHeight="false" outlineLevel="0" collapsed="false">
      <c r="A312" s="5" t="s">
        <v>1204</v>
      </c>
      <c r="B312" s="6" t="s">
        <v>1205</v>
      </c>
      <c r="C312" s="5" t="n">
        <v>30.3</v>
      </c>
      <c r="D312" s="5"/>
      <c r="E312" s="5"/>
      <c r="F312" s="5" t="s">
        <v>119</v>
      </c>
      <c r="G312" s="8" t="s">
        <v>170</v>
      </c>
      <c r="H312" s="6" t="s">
        <v>1202</v>
      </c>
      <c r="I312" s="5"/>
      <c r="J312" s="5" t="s">
        <v>217</v>
      </c>
      <c r="K312" s="6" t="s">
        <v>1203</v>
      </c>
      <c r="L312" s="5" t="s">
        <v>1065</v>
      </c>
    </row>
    <row r="313" customFormat="false" ht="91" hidden="false" customHeight="false" outlineLevel="0" collapsed="false">
      <c r="A313" s="5" t="s">
        <v>1206</v>
      </c>
      <c r="B313" s="6" t="s">
        <v>1207</v>
      </c>
      <c r="C313" s="5" t="n">
        <v>14.9</v>
      </c>
      <c r="D313" s="5"/>
      <c r="E313" s="5"/>
      <c r="F313" s="5" t="s">
        <v>119</v>
      </c>
      <c r="G313" s="8" t="s">
        <v>170</v>
      </c>
      <c r="H313" s="6" t="s">
        <v>1202</v>
      </c>
      <c r="I313" s="5"/>
      <c r="J313" s="5" t="s">
        <v>217</v>
      </c>
      <c r="K313" s="6" t="s">
        <v>1203</v>
      </c>
      <c r="L313" s="5" t="s">
        <v>1065</v>
      </c>
    </row>
    <row r="314" customFormat="false" ht="91" hidden="false" customHeight="false" outlineLevel="0" collapsed="false">
      <c r="A314" s="5" t="s">
        <v>1208</v>
      </c>
      <c r="B314" s="6" t="s">
        <v>1209</v>
      </c>
      <c r="C314" s="5" t="n">
        <v>4.6</v>
      </c>
      <c r="D314" s="5"/>
      <c r="E314" s="5"/>
      <c r="F314" s="5" t="s">
        <v>119</v>
      </c>
      <c r="G314" s="8" t="s">
        <v>170</v>
      </c>
      <c r="H314" s="6" t="s">
        <v>1202</v>
      </c>
      <c r="I314" s="5"/>
      <c r="J314" s="5" t="s">
        <v>217</v>
      </c>
      <c r="K314" s="6" t="s">
        <v>1203</v>
      </c>
      <c r="L314" s="5" t="s">
        <v>1065</v>
      </c>
    </row>
    <row r="315" customFormat="false" ht="91" hidden="false" customHeight="false" outlineLevel="0" collapsed="false">
      <c r="A315" s="5" t="s">
        <v>1210</v>
      </c>
      <c r="B315" s="6" t="s">
        <v>1211</v>
      </c>
      <c r="C315" s="5" t="n">
        <v>41.8</v>
      </c>
      <c r="D315" s="5"/>
      <c r="E315" s="5"/>
      <c r="F315" s="5" t="s">
        <v>119</v>
      </c>
      <c r="G315" s="8" t="s">
        <v>170</v>
      </c>
      <c r="H315" s="6" t="s">
        <v>1202</v>
      </c>
      <c r="I315" s="5"/>
      <c r="J315" s="5" t="s">
        <v>217</v>
      </c>
      <c r="K315" s="6" t="s">
        <v>1203</v>
      </c>
      <c r="L315" s="5" t="s">
        <v>1065</v>
      </c>
    </row>
    <row r="316" customFormat="false" ht="91" hidden="false" customHeight="false" outlineLevel="0" collapsed="false">
      <c r="A316" s="5" t="s">
        <v>1212</v>
      </c>
      <c r="B316" s="6" t="s">
        <v>1213</v>
      </c>
      <c r="C316" s="5" t="n">
        <v>28.8</v>
      </c>
      <c r="D316" s="5"/>
      <c r="E316" s="5"/>
      <c r="F316" s="5" t="s">
        <v>119</v>
      </c>
      <c r="G316" s="8" t="s">
        <v>170</v>
      </c>
      <c r="H316" s="6" t="s">
        <v>1202</v>
      </c>
      <c r="I316" s="5"/>
      <c r="J316" s="5" t="s">
        <v>217</v>
      </c>
      <c r="K316" s="6" t="s">
        <v>1203</v>
      </c>
      <c r="L316" s="5" t="s">
        <v>1065</v>
      </c>
    </row>
    <row r="317" customFormat="false" ht="113.4" hidden="false" customHeight="false" outlineLevel="0" collapsed="false">
      <c r="A317" s="5" t="s">
        <v>1214</v>
      </c>
      <c r="B317" s="6" t="s">
        <v>1215</v>
      </c>
      <c r="C317" s="5" t="n">
        <v>176</v>
      </c>
      <c r="D317" s="5"/>
      <c r="E317" s="5"/>
      <c r="F317" s="5" t="s">
        <v>1036</v>
      </c>
      <c r="G317" s="11" t="s">
        <v>1015</v>
      </c>
      <c r="H317" s="6" t="s">
        <v>1216</v>
      </c>
      <c r="I317" s="5"/>
      <c r="J317" s="5" t="s">
        <v>217</v>
      </c>
      <c r="K317" s="6" t="s">
        <v>1217</v>
      </c>
      <c r="L317" s="5" t="s">
        <v>1018</v>
      </c>
    </row>
    <row r="318" customFormat="false" ht="113.4" hidden="false" customHeight="false" outlineLevel="0" collapsed="false">
      <c r="A318" s="5" t="s">
        <v>1218</v>
      </c>
      <c r="B318" s="6" t="s">
        <v>1219</v>
      </c>
      <c r="C318" s="5" t="n">
        <v>175</v>
      </c>
      <c r="D318" s="5"/>
      <c r="E318" s="5"/>
      <c r="F318" s="5" t="s">
        <v>1036</v>
      </c>
      <c r="G318" s="11" t="s">
        <v>1015</v>
      </c>
      <c r="H318" s="6" t="s">
        <v>1216</v>
      </c>
      <c r="I318" s="5"/>
      <c r="J318" s="5" t="s">
        <v>217</v>
      </c>
      <c r="K318" s="6" t="s">
        <v>1217</v>
      </c>
      <c r="L318" s="5" t="s">
        <v>1018</v>
      </c>
    </row>
    <row r="319" customFormat="false" ht="113.4" hidden="false" customHeight="false" outlineLevel="0" collapsed="false">
      <c r="A319" s="5" t="s">
        <v>1220</v>
      </c>
      <c r="B319" s="6" t="s">
        <v>1221</v>
      </c>
      <c r="C319" s="5" t="n">
        <v>1</v>
      </c>
      <c r="D319" s="5"/>
      <c r="E319" s="5"/>
      <c r="F319" s="5" t="s">
        <v>1036</v>
      </c>
      <c r="G319" s="11" t="s">
        <v>1015</v>
      </c>
      <c r="H319" s="6" t="s">
        <v>1216</v>
      </c>
      <c r="I319" s="5"/>
      <c r="J319" s="5" t="s">
        <v>217</v>
      </c>
      <c r="K319" s="6" t="s">
        <v>1217</v>
      </c>
      <c r="L319" s="5" t="s">
        <v>1018</v>
      </c>
    </row>
    <row r="320" customFormat="false" ht="113.4" hidden="false" customHeight="false" outlineLevel="0" collapsed="false">
      <c r="A320" s="5" t="s">
        <v>1222</v>
      </c>
      <c r="B320" s="6" t="s">
        <v>1223</v>
      </c>
      <c r="C320" s="5" t="n">
        <v>80</v>
      </c>
      <c r="D320" s="5"/>
      <c r="E320" s="5"/>
      <c r="F320" s="5" t="s">
        <v>1036</v>
      </c>
      <c r="G320" s="11" t="s">
        <v>1015</v>
      </c>
      <c r="H320" s="6" t="s">
        <v>1216</v>
      </c>
      <c r="I320" s="5"/>
      <c r="J320" s="5" t="s">
        <v>217</v>
      </c>
      <c r="K320" s="6" t="s">
        <v>1217</v>
      </c>
      <c r="L320" s="5" t="s">
        <v>1018</v>
      </c>
    </row>
    <row r="321" customFormat="false" ht="113.4" hidden="false" customHeight="false" outlineLevel="0" collapsed="false">
      <c r="A321" s="5" t="s">
        <v>1224</v>
      </c>
      <c r="B321" s="6" t="s">
        <v>1225</v>
      </c>
      <c r="C321" s="5" t="n">
        <v>74</v>
      </c>
      <c r="D321" s="5"/>
      <c r="E321" s="5"/>
      <c r="F321" s="5" t="s">
        <v>1036</v>
      </c>
      <c r="G321" s="11" t="s">
        <v>1015</v>
      </c>
      <c r="H321" s="6" t="s">
        <v>1216</v>
      </c>
      <c r="I321" s="5"/>
      <c r="J321" s="5" t="s">
        <v>217</v>
      </c>
      <c r="K321" s="6" t="s">
        <v>1217</v>
      </c>
      <c r="L321" s="5" t="s">
        <v>1018</v>
      </c>
    </row>
    <row r="322" customFormat="false" ht="113.4" hidden="false" customHeight="false" outlineLevel="0" collapsed="false">
      <c r="A322" s="5" t="s">
        <v>1226</v>
      </c>
      <c r="B322" s="6" t="s">
        <v>1227</v>
      </c>
      <c r="C322" s="5" t="n">
        <v>50</v>
      </c>
      <c r="D322" s="5"/>
      <c r="E322" s="5"/>
      <c r="F322" s="5" t="s">
        <v>1036</v>
      </c>
      <c r="G322" s="11" t="s">
        <v>1015</v>
      </c>
      <c r="H322" s="6" t="s">
        <v>1216</v>
      </c>
      <c r="I322" s="5"/>
      <c r="J322" s="5" t="s">
        <v>217</v>
      </c>
      <c r="K322" s="6" t="s">
        <v>1217</v>
      </c>
      <c r="L322" s="5" t="s">
        <v>1018</v>
      </c>
    </row>
    <row r="323" customFormat="false" ht="113.4" hidden="false" customHeight="false" outlineLevel="0" collapsed="false">
      <c r="A323" s="5" t="s">
        <v>1228</v>
      </c>
      <c r="B323" s="6" t="s">
        <v>1229</v>
      </c>
      <c r="C323" s="5" t="n">
        <v>25</v>
      </c>
      <c r="D323" s="5"/>
      <c r="E323" s="5"/>
      <c r="F323" s="5" t="s">
        <v>1036</v>
      </c>
      <c r="G323" s="11" t="s">
        <v>1015</v>
      </c>
      <c r="H323" s="6" t="s">
        <v>1216</v>
      </c>
      <c r="I323" s="5"/>
      <c r="J323" s="5" t="s">
        <v>217</v>
      </c>
      <c r="K323" s="6" t="s">
        <v>1217</v>
      </c>
      <c r="L323" s="5" t="s">
        <v>1018</v>
      </c>
    </row>
    <row r="324" customFormat="false" ht="57.45" hidden="false" customHeight="false" outlineLevel="0" collapsed="false">
      <c r="A324" s="5" t="s">
        <v>1230</v>
      </c>
      <c r="B324" s="6" t="s">
        <v>1231</v>
      </c>
      <c r="C324" s="5" t="n">
        <v>22.7</v>
      </c>
      <c r="D324" s="5"/>
      <c r="E324" s="5"/>
      <c r="F324" s="5" t="s">
        <v>1232</v>
      </c>
      <c r="G324" s="11" t="s">
        <v>1015</v>
      </c>
      <c r="H324" s="6" t="s">
        <v>1233</v>
      </c>
      <c r="I324" s="5"/>
      <c r="J324" s="5" t="s">
        <v>217</v>
      </c>
      <c r="K324" s="6" t="s">
        <v>1234</v>
      </c>
      <c r="L324" s="5" t="s">
        <v>1018</v>
      </c>
    </row>
    <row r="325" customFormat="false" ht="79.85" hidden="false" customHeight="false" outlineLevel="0" collapsed="false">
      <c r="A325" s="5" t="s">
        <v>1235</v>
      </c>
      <c r="B325" s="6" t="s">
        <v>1236</v>
      </c>
      <c r="C325" s="5" t="n">
        <v>244</v>
      </c>
      <c r="D325" s="5"/>
      <c r="E325" s="5"/>
      <c r="F325" s="5" t="s">
        <v>1036</v>
      </c>
      <c r="G325" s="11" t="s">
        <v>1015</v>
      </c>
      <c r="H325" s="6" t="s">
        <v>1233</v>
      </c>
      <c r="I325" s="5"/>
      <c r="J325" s="5" t="s">
        <v>217</v>
      </c>
      <c r="K325" s="6" t="s">
        <v>1237</v>
      </c>
      <c r="L325" s="5" t="s">
        <v>1018</v>
      </c>
    </row>
    <row r="326" customFormat="false" ht="102.2" hidden="false" customHeight="false" outlineLevel="0" collapsed="false">
      <c r="A326" s="5" t="s">
        <v>1238</v>
      </c>
      <c r="B326" s="6" t="s">
        <v>1239</v>
      </c>
      <c r="C326" s="5" t="n">
        <v>0.86</v>
      </c>
      <c r="D326" s="5"/>
      <c r="E326" s="5"/>
      <c r="F326" s="5" t="s">
        <v>598</v>
      </c>
      <c r="G326" s="8" t="s">
        <v>170</v>
      </c>
      <c r="H326" s="6" t="s">
        <v>1240</v>
      </c>
      <c r="I326" s="5"/>
      <c r="J326" s="5" t="s">
        <v>217</v>
      </c>
      <c r="K326" s="6" t="s">
        <v>1241</v>
      </c>
      <c r="L326" s="5" t="s">
        <v>1099</v>
      </c>
    </row>
    <row r="327" customFormat="false" ht="102.2" hidden="false" customHeight="false" outlineLevel="0" collapsed="false">
      <c r="A327" s="5" t="s">
        <v>1242</v>
      </c>
      <c r="B327" s="6" t="s">
        <v>1243</v>
      </c>
      <c r="C327" s="5" t="n">
        <v>0.69</v>
      </c>
      <c r="D327" s="5"/>
      <c r="E327" s="5"/>
      <c r="F327" s="5" t="s">
        <v>598</v>
      </c>
      <c r="G327" s="8" t="s">
        <v>170</v>
      </c>
      <c r="H327" s="6" t="s">
        <v>1240</v>
      </c>
      <c r="I327" s="5"/>
      <c r="J327" s="5" t="s">
        <v>217</v>
      </c>
      <c r="K327" s="6" t="s">
        <v>1241</v>
      </c>
      <c r="L327" s="5" t="s">
        <v>1099</v>
      </c>
    </row>
    <row r="328" customFormat="false" ht="102.2" hidden="false" customHeight="false" outlineLevel="0" collapsed="false">
      <c r="A328" s="5" t="s">
        <v>1244</v>
      </c>
      <c r="B328" s="6" t="s">
        <v>1245</v>
      </c>
      <c r="C328" s="5" t="n">
        <v>3.35</v>
      </c>
      <c r="D328" s="5"/>
      <c r="E328" s="5"/>
      <c r="F328" s="5" t="s">
        <v>598</v>
      </c>
      <c r="G328" s="8" t="s">
        <v>170</v>
      </c>
      <c r="H328" s="6" t="s">
        <v>1240</v>
      </c>
      <c r="I328" s="5"/>
      <c r="J328" s="5" t="s">
        <v>217</v>
      </c>
      <c r="K328" s="6" t="s">
        <v>1241</v>
      </c>
      <c r="L328" s="5" t="s">
        <v>1099</v>
      </c>
    </row>
    <row r="329" customFormat="false" ht="102.2" hidden="false" customHeight="false" outlineLevel="0" collapsed="false">
      <c r="A329" s="5" t="s">
        <v>1246</v>
      </c>
      <c r="B329" s="6" t="s">
        <v>1247</v>
      </c>
      <c r="C329" s="5" t="n">
        <v>2.92</v>
      </c>
      <c r="D329" s="5"/>
      <c r="E329" s="5"/>
      <c r="F329" s="5" t="s">
        <v>598</v>
      </c>
      <c r="G329" s="8" t="s">
        <v>170</v>
      </c>
      <c r="H329" s="6" t="s">
        <v>1240</v>
      </c>
      <c r="I329" s="5"/>
      <c r="J329" s="5" t="s">
        <v>217</v>
      </c>
      <c r="K329" s="6" t="s">
        <v>1241</v>
      </c>
      <c r="L329" s="5" t="s">
        <v>1099</v>
      </c>
    </row>
    <row r="330" customFormat="false" ht="124.6" hidden="false" customHeight="false" outlineLevel="0" collapsed="false">
      <c r="A330" s="5" t="s">
        <v>1248</v>
      </c>
      <c r="B330" s="6" t="s">
        <v>1249</v>
      </c>
      <c r="C330" s="5" t="n">
        <v>20.3</v>
      </c>
      <c r="D330" s="5"/>
      <c r="E330" s="5"/>
      <c r="F330" s="5" t="s">
        <v>119</v>
      </c>
      <c r="G330" s="11" t="s">
        <v>1015</v>
      </c>
      <c r="H330" s="6" t="s">
        <v>1250</v>
      </c>
      <c r="I330" s="5"/>
      <c r="J330" s="5" t="s">
        <v>217</v>
      </c>
      <c r="K330" s="6" t="s">
        <v>1251</v>
      </c>
      <c r="L330" s="5" t="s">
        <v>1252</v>
      </c>
    </row>
    <row r="331" customFormat="false" ht="124.6" hidden="false" customHeight="false" outlineLevel="0" collapsed="false">
      <c r="A331" s="5" t="s">
        <v>1253</v>
      </c>
      <c r="B331" s="6" t="s">
        <v>1254</v>
      </c>
      <c r="C331" s="5" t="n">
        <v>21</v>
      </c>
      <c r="D331" s="5"/>
      <c r="E331" s="5"/>
      <c r="F331" s="5" t="s">
        <v>119</v>
      </c>
      <c r="G331" s="11" t="s">
        <v>1015</v>
      </c>
      <c r="H331" s="6" t="s">
        <v>1250</v>
      </c>
      <c r="I331" s="5"/>
      <c r="J331" s="5" t="s">
        <v>217</v>
      </c>
      <c r="K331" s="6" t="s">
        <v>1251</v>
      </c>
      <c r="L331" s="5" t="s">
        <v>1252</v>
      </c>
    </row>
    <row r="332" customFormat="false" ht="124.6" hidden="false" customHeight="false" outlineLevel="0" collapsed="false">
      <c r="A332" s="5" t="s">
        <v>1255</v>
      </c>
      <c r="B332" s="6" t="s">
        <v>1256</v>
      </c>
      <c r="C332" s="5" t="n">
        <v>28</v>
      </c>
      <c r="D332" s="5"/>
      <c r="E332" s="5"/>
      <c r="F332" s="5" t="s">
        <v>119</v>
      </c>
      <c r="G332" s="11" t="s">
        <v>1015</v>
      </c>
      <c r="H332" s="6" t="s">
        <v>1250</v>
      </c>
      <c r="I332" s="5"/>
      <c r="J332" s="5" t="s">
        <v>217</v>
      </c>
      <c r="K332" s="6" t="s">
        <v>1251</v>
      </c>
      <c r="L332" s="5" t="s">
        <v>1252</v>
      </c>
    </row>
    <row r="333" customFormat="false" ht="124.6" hidden="false" customHeight="false" outlineLevel="0" collapsed="false">
      <c r="A333" s="5" t="s">
        <v>1257</v>
      </c>
      <c r="B333" s="6" t="s">
        <v>1258</v>
      </c>
      <c r="C333" s="5" t="n">
        <v>21</v>
      </c>
      <c r="D333" s="5"/>
      <c r="E333" s="5"/>
      <c r="F333" s="5" t="s">
        <v>119</v>
      </c>
      <c r="G333" s="11" t="s">
        <v>1015</v>
      </c>
      <c r="H333" s="6" t="s">
        <v>1250</v>
      </c>
      <c r="I333" s="5"/>
      <c r="J333" s="5" t="s">
        <v>217</v>
      </c>
      <c r="K333" s="6" t="s">
        <v>1251</v>
      </c>
      <c r="L333" s="5" t="s">
        <v>1252</v>
      </c>
    </row>
    <row r="334" customFormat="false" ht="147" hidden="false" customHeight="false" outlineLevel="0" collapsed="false">
      <c r="A334" s="5" t="s">
        <v>1259</v>
      </c>
      <c r="B334" s="6" t="s">
        <v>1260</v>
      </c>
      <c r="C334" s="5" t="n">
        <v>20</v>
      </c>
      <c r="D334" s="5"/>
      <c r="E334" s="5"/>
      <c r="F334" s="5" t="s">
        <v>119</v>
      </c>
      <c r="G334" s="11" t="s">
        <v>1015</v>
      </c>
      <c r="H334" s="6" t="s">
        <v>1250</v>
      </c>
      <c r="I334" s="5"/>
      <c r="J334" s="5" t="s">
        <v>517</v>
      </c>
      <c r="K334" s="6" t="s">
        <v>1261</v>
      </c>
      <c r="L334" s="5" t="s">
        <v>1252</v>
      </c>
    </row>
    <row r="335" customFormat="false" ht="147" hidden="false" customHeight="false" outlineLevel="0" collapsed="false">
      <c r="A335" s="5" t="s">
        <v>1262</v>
      </c>
      <c r="B335" s="6" t="s">
        <v>1263</v>
      </c>
      <c r="C335" s="5" t="n">
        <v>19.7</v>
      </c>
      <c r="D335" s="5"/>
      <c r="E335" s="5"/>
      <c r="F335" s="5" t="s">
        <v>119</v>
      </c>
      <c r="G335" s="11" t="s">
        <v>1015</v>
      </c>
      <c r="H335" s="6" t="s">
        <v>1250</v>
      </c>
      <c r="I335" s="5"/>
      <c r="J335" s="5" t="s">
        <v>517</v>
      </c>
      <c r="K335" s="6" t="s">
        <v>1261</v>
      </c>
      <c r="L335" s="5" t="s">
        <v>1252</v>
      </c>
    </row>
    <row r="336" customFormat="false" ht="147" hidden="false" customHeight="false" outlineLevel="0" collapsed="false">
      <c r="A336" s="5" t="s">
        <v>1264</v>
      </c>
      <c r="B336" s="6" t="s">
        <v>1265</v>
      </c>
      <c r="C336" s="5" t="n">
        <v>11.5</v>
      </c>
      <c r="D336" s="5"/>
      <c r="E336" s="5"/>
      <c r="F336" s="5" t="s">
        <v>119</v>
      </c>
      <c r="G336" s="11" t="s">
        <v>1015</v>
      </c>
      <c r="H336" s="6" t="s">
        <v>1250</v>
      </c>
      <c r="I336" s="5"/>
      <c r="J336" s="5" t="s">
        <v>517</v>
      </c>
      <c r="K336" s="6" t="s">
        <v>1261</v>
      </c>
      <c r="L336" s="5" t="s">
        <v>1252</v>
      </c>
    </row>
    <row r="337" customFormat="false" ht="147" hidden="false" customHeight="false" outlineLevel="0" collapsed="false">
      <c r="A337" s="5" t="s">
        <v>1266</v>
      </c>
      <c r="B337" s="6" t="s">
        <v>1267</v>
      </c>
      <c r="C337" s="5" t="n">
        <v>18.5</v>
      </c>
      <c r="D337" s="5"/>
      <c r="E337" s="5"/>
      <c r="F337" s="5" t="s">
        <v>119</v>
      </c>
      <c r="G337" s="11" t="s">
        <v>1015</v>
      </c>
      <c r="H337" s="6" t="s">
        <v>1250</v>
      </c>
      <c r="I337" s="5"/>
      <c r="J337" s="5" t="s">
        <v>517</v>
      </c>
      <c r="K337" s="6" t="s">
        <v>1261</v>
      </c>
      <c r="L337" s="5" t="s">
        <v>1252</v>
      </c>
    </row>
    <row r="338" customFormat="false" ht="91" hidden="false" customHeight="false" outlineLevel="0" collapsed="false">
      <c r="A338" s="5" t="s">
        <v>1268</v>
      </c>
      <c r="B338" s="6" t="s">
        <v>1269</v>
      </c>
      <c r="C338" s="5" t="n">
        <v>1743</v>
      </c>
      <c r="D338" s="5"/>
      <c r="E338" s="5"/>
      <c r="F338" s="5" t="s">
        <v>1270</v>
      </c>
      <c r="G338" s="11" t="s">
        <v>1015</v>
      </c>
      <c r="H338" s="6" t="s">
        <v>1271</v>
      </c>
      <c r="I338" s="5"/>
      <c r="J338" s="5" t="s">
        <v>217</v>
      </c>
      <c r="K338" s="6" t="s">
        <v>1272</v>
      </c>
      <c r="L338" s="5" t="s">
        <v>1252</v>
      </c>
    </row>
    <row r="339" customFormat="false" ht="79.85" hidden="false" customHeight="false" outlineLevel="0" collapsed="false">
      <c r="A339" s="5" t="s">
        <v>1273</v>
      </c>
      <c r="B339" s="6" t="s">
        <v>1274</v>
      </c>
      <c r="C339" s="5" t="n">
        <v>-1.87</v>
      </c>
      <c r="D339" s="5"/>
      <c r="E339" s="5"/>
      <c r="F339" s="5" t="s">
        <v>1275</v>
      </c>
      <c r="G339" s="7" t="s">
        <v>42</v>
      </c>
      <c r="H339" s="6" t="s">
        <v>1276</v>
      </c>
      <c r="I339" s="5" t="s">
        <v>1277</v>
      </c>
      <c r="J339" s="5" t="s">
        <v>1278</v>
      </c>
      <c r="K339" s="6" t="s">
        <v>1279</v>
      </c>
      <c r="L339" s="5" t="s">
        <v>1280</v>
      </c>
    </row>
    <row r="340" customFormat="false" ht="79.85" hidden="false" customHeight="false" outlineLevel="0" collapsed="false">
      <c r="A340" s="5" t="s">
        <v>1281</v>
      </c>
      <c r="B340" s="6" t="s">
        <v>1282</v>
      </c>
      <c r="C340" s="5" t="n">
        <v>-2.18</v>
      </c>
      <c r="D340" s="5"/>
      <c r="E340" s="5"/>
      <c r="F340" s="5" t="s">
        <v>1275</v>
      </c>
      <c r="G340" s="7" t="s">
        <v>42</v>
      </c>
      <c r="H340" s="6" t="s">
        <v>1276</v>
      </c>
      <c r="I340" s="5" t="s">
        <v>1277</v>
      </c>
      <c r="J340" s="5" t="s">
        <v>1278</v>
      </c>
      <c r="K340" s="6" t="s">
        <v>1279</v>
      </c>
      <c r="L340" s="5" t="s">
        <v>1280</v>
      </c>
    </row>
    <row r="341" customFormat="false" ht="79.85" hidden="false" customHeight="false" outlineLevel="0" collapsed="false">
      <c r="A341" s="5" t="s">
        <v>1283</v>
      </c>
      <c r="B341" s="6" t="s">
        <v>1284</v>
      </c>
      <c r="C341" s="5" t="n">
        <v>-1.37</v>
      </c>
      <c r="D341" s="5"/>
      <c r="E341" s="5"/>
      <c r="F341" s="5" t="s">
        <v>1275</v>
      </c>
      <c r="G341" s="7" t="s">
        <v>42</v>
      </c>
      <c r="H341" s="6" t="s">
        <v>1276</v>
      </c>
      <c r="I341" s="5" t="s">
        <v>1277</v>
      </c>
      <c r="J341" s="5" t="s">
        <v>1278</v>
      </c>
      <c r="K341" s="6" t="s">
        <v>1279</v>
      </c>
      <c r="L341" s="5" t="s">
        <v>1280</v>
      </c>
    </row>
    <row r="342" customFormat="false" ht="91" hidden="false" customHeight="false" outlineLevel="0" collapsed="false">
      <c r="A342" s="5" t="s">
        <v>1285</v>
      </c>
      <c r="B342" s="6" t="s">
        <v>1286</v>
      </c>
      <c r="C342" s="5" t="n">
        <v>1.4</v>
      </c>
      <c r="D342" s="5"/>
      <c r="E342" s="5"/>
      <c r="F342" s="5" t="s">
        <v>1287</v>
      </c>
      <c r="G342" s="7" t="s">
        <v>42</v>
      </c>
      <c r="H342" s="6" t="s">
        <v>1288</v>
      </c>
      <c r="I342" s="5" t="s">
        <v>1289</v>
      </c>
      <c r="J342" s="5" t="s">
        <v>1290</v>
      </c>
      <c r="K342" s="6" t="s">
        <v>1291</v>
      </c>
      <c r="L342" s="5" t="s">
        <v>1280</v>
      </c>
    </row>
    <row r="343" customFormat="false" ht="91" hidden="false" customHeight="false" outlineLevel="0" collapsed="false">
      <c r="A343" s="5" t="s">
        <v>1292</v>
      </c>
      <c r="B343" s="6" t="s">
        <v>1293</v>
      </c>
      <c r="C343" s="5" t="n">
        <v>2.8</v>
      </c>
      <c r="D343" s="5"/>
      <c r="E343" s="5"/>
      <c r="F343" s="5" t="s">
        <v>1287</v>
      </c>
      <c r="G343" s="7" t="s">
        <v>42</v>
      </c>
      <c r="H343" s="6" t="s">
        <v>1288</v>
      </c>
      <c r="I343" s="5" t="s">
        <v>1289</v>
      </c>
      <c r="J343" s="5" t="s">
        <v>1290</v>
      </c>
      <c r="K343" s="6" t="s">
        <v>1291</v>
      </c>
      <c r="L343" s="5" t="s">
        <v>1280</v>
      </c>
    </row>
    <row r="344" customFormat="false" ht="68.65" hidden="false" customHeight="false" outlineLevel="0" collapsed="false">
      <c r="A344" s="5" t="s">
        <v>1294</v>
      </c>
      <c r="B344" s="6" t="s">
        <v>1295</v>
      </c>
      <c r="C344" s="5" t="n">
        <v>26</v>
      </c>
      <c r="D344" s="5"/>
      <c r="E344" s="5"/>
      <c r="F344" s="5" t="s">
        <v>1296</v>
      </c>
      <c r="G344" s="7" t="s">
        <v>42</v>
      </c>
      <c r="H344" s="6" t="s">
        <v>1297</v>
      </c>
      <c r="I344" s="5" t="s">
        <v>1298</v>
      </c>
      <c r="J344" s="5" t="s">
        <v>1299</v>
      </c>
      <c r="K344" s="6" t="s">
        <v>1300</v>
      </c>
      <c r="L344" s="5" t="s">
        <v>1280</v>
      </c>
    </row>
    <row r="345" customFormat="false" ht="46.25" hidden="false" customHeight="false" outlineLevel="0" collapsed="false">
      <c r="A345" s="5" t="s">
        <v>1301</v>
      </c>
      <c r="B345" s="6" t="s">
        <v>1302</v>
      </c>
      <c r="C345" s="5" t="n">
        <v>70</v>
      </c>
      <c r="D345" s="5" t="n">
        <v>70</v>
      </c>
      <c r="E345" s="5" t="n">
        <v>90</v>
      </c>
      <c r="F345" s="5" t="s">
        <v>119</v>
      </c>
      <c r="G345" s="7" t="s">
        <v>42</v>
      </c>
      <c r="H345" s="6" t="s">
        <v>164</v>
      </c>
      <c r="I345" s="5" t="s">
        <v>165</v>
      </c>
      <c r="J345" s="5" t="s">
        <v>166</v>
      </c>
      <c r="K345" s="6" t="s">
        <v>1303</v>
      </c>
      <c r="L345" s="5" t="s">
        <v>1280</v>
      </c>
    </row>
    <row r="346" customFormat="false" ht="68.65" hidden="false" customHeight="false" outlineLevel="0" collapsed="false">
      <c r="A346" s="5" t="s">
        <v>1304</v>
      </c>
      <c r="B346" s="6" t="s">
        <v>1305</v>
      </c>
      <c r="C346" s="5" t="n">
        <v>14.3</v>
      </c>
      <c r="D346" s="5"/>
      <c r="E346" s="5"/>
      <c r="F346" s="5" t="s">
        <v>119</v>
      </c>
      <c r="G346" s="7" t="s">
        <v>42</v>
      </c>
      <c r="H346" s="6" t="s">
        <v>1306</v>
      </c>
      <c r="I346" s="5" t="s">
        <v>1307</v>
      </c>
      <c r="J346" s="5" t="s">
        <v>530</v>
      </c>
      <c r="K346" s="6" t="s">
        <v>1308</v>
      </c>
      <c r="L346" s="5" t="s">
        <v>1280</v>
      </c>
    </row>
    <row r="347" customFormat="false" ht="79.85" hidden="false" customHeight="false" outlineLevel="0" collapsed="false">
      <c r="A347" s="5" t="s">
        <v>1309</v>
      </c>
      <c r="B347" s="6" t="s">
        <v>1310</v>
      </c>
      <c r="C347" s="5" t="n">
        <v>10</v>
      </c>
      <c r="D347" s="5" t="n">
        <v>0</v>
      </c>
      <c r="E347" s="5" t="n">
        <v>50</v>
      </c>
      <c r="F347" s="5" t="s">
        <v>119</v>
      </c>
      <c r="G347" s="9" t="s">
        <v>365</v>
      </c>
      <c r="H347" s="6" t="s">
        <v>512</v>
      </c>
      <c r="I347" s="5"/>
      <c r="J347" s="5" t="s">
        <v>258</v>
      </c>
      <c r="K347" s="6" t="s">
        <v>1311</v>
      </c>
      <c r="L347" s="5" t="s">
        <v>1280</v>
      </c>
    </row>
    <row r="348" customFormat="false" ht="102.2" hidden="false" customHeight="false" outlineLevel="0" collapsed="false">
      <c r="A348" s="5" t="s">
        <v>1312</v>
      </c>
      <c r="B348" s="6" t="s">
        <v>1313</v>
      </c>
      <c r="C348" s="5" t="n">
        <v>-2.376</v>
      </c>
      <c r="D348" s="5"/>
      <c r="E348" s="5"/>
      <c r="F348" s="5" t="s">
        <v>1275</v>
      </c>
      <c r="G348" s="7" t="s">
        <v>42</v>
      </c>
      <c r="H348" s="6" t="s">
        <v>1314</v>
      </c>
      <c r="I348" s="5" t="s">
        <v>1277</v>
      </c>
      <c r="J348" s="5" t="s">
        <v>1278</v>
      </c>
      <c r="K348" s="6" t="s">
        <v>1315</v>
      </c>
      <c r="L348" s="5" t="s">
        <v>1280</v>
      </c>
    </row>
    <row r="349" customFormat="false" ht="102.2" hidden="false" customHeight="false" outlineLevel="0" collapsed="false">
      <c r="A349" s="5" t="s">
        <v>1316</v>
      </c>
      <c r="B349" s="6" t="s">
        <v>1317</v>
      </c>
      <c r="C349" s="5" t="n">
        <v>-2.087</v>
      </c>
      <c r="D349" s="5"/>
      <c r="E349" s="5"/>
      <c r="F349" s="5" t="s">
        <v>1275</v>
      </c>
      <c r="G349" s="7" t="s">
        <v>42</v>
      </c>
      <c r="H349" s="6" t="s">
        <v>1314</v>
      </c>
      <c r="I349" s="5" t="s">
        <v>1277</v>
      </c>
      <c r="J349" s="5" t="s">
        <v>1278</v>
      </c>
      <c r="K349" s="6" t="s">
        <v>1315</v>
      </c>
      <c r="L349" s="5" t="s">
        <v>1280</v>
      </c>
    </row>
    <row r="350" customFormat="false" ht="102.2" hidden="false" customHeight="false" outlineLevel="0" collapsed="false">
      <c r="A350" s="5" t="s">
        <v>1318</v>
      </c>
      <c r="B350" s="6" t="s">
        <v>1319</v>
      </c>
      <c r="C350" s="5" t="n">
        <v>-1.862</v>
      </c>
      <c r="D350" s="5"/>
      <c r="E350" s="5"/>
      <c r="F350" s="5" t="s">
        <v>1275</v>
      </c>
      <c r="G350" s="7" t="s">
        <v>42</v>
      </c>
      <c r="H350" s="6" t="s">
        <v>1314</v>
      </c>
      <c r="I350" s="5" t="s">
        <v>1277</v>
      </c>
      <c r="J350" s="5" t="s">
        <v>1278</v>
      </c>
      <c r="K350" s="6" t="s">
        <v>1315</v>
      </c>
      <c r="L350" s="5" t="s">
        <v>1280</v>
      </c>
    </row>
    <row r="351" customFormat="false" ht="102.2" hidden="false" customHeight="false" outlineLevel="0" collapsed="false">
      <c r="A351" s="5" t="s">
        <v>1320</v>
      </c>
      <c r="B351" s="6" t="s">
        <v>1321</v>
      </c>
      <c r="C351" s="5" t="n">
        <v>-1.26</v>
      </c>
      <c r="D351" s="5"/>
      <c r="E351" s="5"/>
      <c r="F351" s="5" t="s">
        <v>1275</v>
      </c>
      <c r="G351" s="7" t="s">
        <v>42</v>
      </c>
      <c r="H351" s="6" t="s">
        <v>1314</v>
      </c>
      <c r="I351" s="5" t="s">
        <v>1277</v>
      </c>
      <c r="J351" s="5" t="s">
        <v>1278</v>
      </c>
      <c r="K351" s="6" t="s">
        <v>1315</v>
      </c>
      <c r="L351" s="5" t="s">
        <v>1280</v>
      </c>
    </row>
    <row r="352" customFormat="false" ht="102.2" hidden="false" customHeight="false" outlineLevel="0" collapsed="false">
      <c r="A352" s="5" t="s">
        <v>1322</v>
      </c>
      <c r="B352" s="6" t="s">
        <v>1323</v>
      </c>
      <c r="C352" s="5" t="n">
        <v>-2.117</v>
      </c>
      <c r="D352" s="5"/>
      <c r="E352" s="5"/>
      <c r="F352" s="5" t="s">
        <v>1275</v>
      </c>
      <c r="G352" s="7" t="s">
        <v>42</v>
      </c>
      <c r="H352" s="6" t="s">
        <v>1314</v>
      </c>
      <c r="I352" s="5" t="s">
        <v>1277</v>
      </c>
      <c r="J352" s="5" t="s">
        <v>1278</v>
      </c>
      <c r="K352" s="6" t="s">
        <v>1315</v>
      </c>
      <c r="L352" s="5" t="s">
        <v>1280</v>
      </c>
    </row>
    <row r="353" customFormat="false" ht="102.2" hidden="false" customHeight="false" outlineLevel="0" collapsed="false">
      <c r="A353" s="5" t="s">
        <v>1324</v>
      </c>
      <c r="B353" s="6" t="s">
        <v>1325</v>
      </c>
      <c r="C353" s="5" t="n">
        <v>-2.051</v>
      </c>
      <c r="D353" s="5"/>
      <c r="E353" s="5"/>
      <c r="F353" s="5" t="s">
        <v>1275</v>
      </c>
      <c r="G353" s="7" t="s">
        <v>42</v>
      </c>
      <c r="H353" s="6" t="s">
        <v>1314</v>
      </c>
      <c r="I353" s="5" t="s">
        <v>1277</v>
      </c>
      <c r="J353" s="5" t="s">
        <v>1278</v>
      </c>
      <c r="K353" s="6" t="s">
        <v>1315</v>
      </c>
      <c r="L353" s="5" t="s">
        <v>1280</v>
      </c>
    </row>
    <row r="354" customFormat="false" ht="102.2" hidden="false" customHeight="false" outlineLevel="0" collapsed="false">
      <c r="A354" s="5" t="s">
        <v>1326</v>
      </c>
      <c r="B354" s="6" t="s">
        <v>1327</v>
      </c>
      <c r="C354" s="5" t="n">
        <v>-1.93</v>
      </c>
      <c r="D354" s="5"/>
      <c r="E354" s="5"/>
      <c r="F354" s="5" t="s">
        <v>1275</v>
      </c>
      <c r="G354" s="7" t="s">
        <v>42</v>
      </c>
      <c r="H354" s="6" t="s">
        <v>1314</v>
      </c>
      <c r="I354" s="5" t="s">
        <v>1277</v>
      </c>
      <c r="J354" s="5" t="s">
        <v>1278</v>
      </c>
      <c r="K354" s="6" t="s">
        <v>1315</v>
      </c>
      <c r="L354" s="5" t="s">
        <v>1280</v>
      </c>
    </row>
    <row r="355" customFormat="false" ht="102.2" hidden="false" customHeight="false" outlineLevel="0" collapsed="false">
      <c r="A355" s="5" t="s">
        <v>1328</v>
      </c>
      <c r="B355" s="6" t="s">
        <v>1329</v>
      </c>
      <c r="C355" s="5" t="n">
        <v>-1.373</v>
      </c>
      <c r="D355" s="5"/>
      <c r="E355" s="5"/>
      <c r="F355" s="5" t="s">
        <v>1275</v>
      </c>
      <c r="G355" s="7" t="s">
        <v>42</v>
      </c>
      <c r="H355" s="6" t="s">
        <v>1314</v>
      </c>
      <c r="I355" s="5" t="s">
        <v>1277</v>
      </c>
      <c r="J355" s="5" t="s">
        <v>1278</v>
      </c>
      <c r="K355" s="6" t="s">
        <v>1315</v>
      </c>
      <c r="L355" s="5" t="s">
        <v>1280</v>
      </c>
    </row>
    <row r="356" customFormat="false" ht="102.2" hidden="false" customHeight="false" outlineLevel="0" collapsed="false">
      <c r="A356" s="5" t="s">
        <v>1330</v>
      </c>
      <c r="B356" s="6" t="s">
        <v>1331</v>
      </c>
      <c r="C356" s="5" t="n">
        <v>-1.397</v>
      </c>
      <c r="D356" s="5"/>
      <c r="E356" s="5"/>
      <c r="F356" s="5" t="s">
        <v>1275</v>
      </c>
      <c r="G356" s="7" t="s">
        <v>42</v>
      </c>
      <c r="H356" s="6" t="s">
        <v>1314</v>
      </c>
      <c r="I356" s="5" t="s">
        <v>1277</v>
      </c>
      <c r="J356" s="5" t="s">
        <v>1278</v>
      </c>
      <c r="K356" s="6" t="s">
        <v>1315</v>
      </c>
      <c r="L356" s="5" t="s">
        <v>1280</v>
      </c>
    </row>
    <row r="357" customFormat="false" ht="102.2" hidden="false" customHeight="false" outlineLevel="0" collapsed="false">
      <c r="A357" s="5" t="s">
        <v>1332</v>
      </c>
      <c r="B357" s="6" t="s">
        <v>1333</v>
      </c>
      <c r="C357" s="5" t="n">
        <v>-1.665</v>
      </c>
      <c r="D357" s="5"/>
      <c r="E357" s="5"/>
      <c r="F357" s="5" t="s">
        <v>1275</v>
      </c>
      <c r="G357" s="7" t="s">
        <v>42</v>
      </c>
      <c r="H357" s="6" t="s">
        <v>1314</v>
      </c>
      <c r="I357" s="5" t="s">
        <v>1277</v>
      </c>
      <c r="J357" s="5" t="s">
        <v>1278</v>
      </c>
      <c r="K357" s="6" t="s">
        <v>1315</v>
      </c>
      <c r="L357" s="5" t="s">
        <v>1280</v>
      </c>
    </row>
    <row r="358" customFormat="false" ht="102.2" hidden="false" customHeight="false" outlineLevel="0" collapsed="false">
      <c r="A358" s="5" t="s">
        <v>1334</v>
      </c>
      <c r="B358" s="6" t="s">
        <v>1335</v>
      </c>
      <c r="C358" s="5" t="n">
        <v>-2.018</v>
      </c>
      <c r="D358" s="5"/>
      <c r="E358" s="5"/>
      <c r="F358" s="5" t="s">
        <v>1275</v>
      </c>
      <c r="G358" s="7" t="s">
        <v>42</v>
      </c>
      <c r="H358" s="6" t="s">
        <v>1314</v>
      </c>
      <c r="I358" s="5" t="s">
        <v>1277</v>
      </c>
      <c r="J358" s="5" t="s">
        <v>1278</v>
      </c>
      <c r="K358" s="6" t="s">
        <v>1315</v>
      </c>
      <c r="L358" s="5" t="s">
        <v>1280</v>
      </c>
    </row>
    <row r="359" customFormat="false" ht="102.2" hidden="false" customHeight="false" outlineLevel="0" collapsed="false">
      <c r="A359" s="5" t="s">
        <v>1336</v>
      </c>
      <c r="B359" s="6" t="s">
        <v>1337</v>
      </c>
      <c r="C359" s="5" t="n">
        <v>-1.874</v>
      </c>
      <c r="D359" s="5"/>
      <c r="E359" s="5"/>
      <c r="F359" s="5" t="s">
        <v>1275</v>
      </c>
      <c r="G359" s="7" t="s">
        <v>42</v>
      </c>
      <c r="H359" s="6" t="s">
        <v>1314</v>
      </c>
      <c r="I359" s="5" t="s">
        <v>1277</v>
      </c>
      <c r="J359" s="5" t="s">
        <v>1278</v>
      </c>
      <c r="K359" s="6" t="s">
        <v>1315</v>
      </c>
      <c r="L359" s="5" t="s">
        <v>1280</v>
      </c>
    </row>
    <row r="360" customFormat="false" ht="102.2" hidden="false" customHeight="false" outlineLevel="0" collapsed="false">
      <c r="A360" s="5" t="s">
        <v>1338</v>
      </c>
      <c r="B360" s="6" t="s">
        <v>1339</v>
      </c>
      <c r="C360" s="5" t="n">
        <v>-1.796</v>
      </c>
      <c r="D360" s="5"/>
      <c r="E360" s="5"/>
      <c r="F360" s="5" t="s">
        <v>1275</v>
      </c>
      <c r="G360" s="7" t="s">
        <v>42</v>
      </c>
      <c r="H360" s="6" t="s">
        <v>1314</v>
      </c>
      <c r="I360" s="5" t="s">
        <v>1277</v>
      </c>
      <c r="J360" s="5" t="s">
        <v>1278</v>
      </c>
      <c r="K360" s="6" t="s">
        <v>1315</v>
      </c>
      <c r="L360" s="5" t="s">
        <v>1280</v>
      </c>
    </row>
    <row r="361" customFormat="false" ht="102.2" hidden="false" customHeight="false" outlineLevel="0" collapsed="false">
      <c r="A361" s="5" t="s">
        <v>1340</v>
      </c>
      <c r="B361" s="6" t="s">
        <v>1341</v>
      </c>
      <c r="C361" s="5" t="n">
        <v>-1.844</v>
      </c>
      <c r="D361" s="5"/>
      <c r="E361" s="5"/>
      <c r="F361" s="5" t="s">
        <v>1275</v>
      </c>
      <c r="G361" s="7" t="s">
        <v>42</v>
      </c>
      <c r="H361" s="6" t="s">
        <v>1314</v>
      </c>
      <c r="I361" s="5" t="s">
        <v>1277</v>
      </c>
      <c r="J361" s="5" t="s">
        <v>1278</v>
      </c>
      <c r="K361" s="6" t="s">
        <v>1315</v>
      </c>
      <c r="L361" s="5" t="s">
        <v>1280</v>
      </c>
    </row>
    <row r="362" customFormat="false" ht="102.2" hidden="false" customHeight="false" outlineLevel="0" collapsed="false">
      <c r="A362" s="5" t="s">
        <v>1342</v>
      </c>
      <c r="B362" s="6" t="s">
        <v>1343</v>
      </c>
      <c r="C362" s="5" t="n">
        <v>-1.901</v>
      </c>
      <c r="D362" s="5"/>
      <c r="E362" s="5"/>
      <c r="F362" s="5" t="s">
        <v>1275</v>
      </c>
      <c r="G362" s="7" t="s">
        <v>42</v>
      </c>
      <c r="H362" s="6" t="s">
        <v>1314</v>
      </c>
      <c r="I362" s="5" t="s">
        <v>1277</v>
      </c>
      <c r="J362" s="5" t="s">
        <v>1278</v>
      </c>
      <c r="K362" s="6" t="s">
        <v>1315</v>
      </c>
      <c r="L362" s="5" t="s">
        <v>1280</v>
      </c>
    </row>
    <row r="363" customFormat="false" ht="102.2" hidden="false" customHeight="false" outlineLevel="0" collapsed="false">
      <c r="A363" s="5" t="s">
        <v>1344</v>
      </c>
      <c r="B363" s="6" t="s">
        <v>1345</v>
      </c>
      <c r="C363" s="5" t="n">
        <v>-1.668</v>
      </c>
      <c r="D363" s="5"/>
      <c r="E363" s="5"/>
      <c r="F363" s="5" t="s">
        <v>1275</v>
      </c>
      <c r="G363" s="7" t="s">
        <v>42</v>
      </c>
      <c r="H363" s="6" t="s">
        <v>1314</v>
      </c>
      <c r="I363" s="5" t="s">
        <v>1277</v>
      </c>
      <c r="J363" s="5" t="s">
        <v>1278</v>
      </c>
      <c r="K363" s="6" t="s">
        <v>1315</v>
      </c>
      <c r="L363" s="5" t="s">
        <v>1280</v>
      </c>
    </row>
    <row r="364" customFormat="false" ht="46.25" hidden="false" customHeight="false" outlineLevel="0" collapsed="false">
      <c r="A364" s="5" t="s">
        <v>1346</v>
      </c>
      <c r="B364" s="6" t="s">
        <v>1347</v>
      </c>
      <c r="C364" s="5" t="n">
        <v>2585187</v>
      </c>
      <c r="D364" s="5"/>
      <c r="E364" s="5"/>
      <c r="F364" s="5" t="s">
        <v>844</v>
      </c>
      <c r="G364" s="7" t="s">
        <v>42</v>
      </c>
      <c r="H364" s="6" t="s">
        <v>1348</v>
      </c>
      <c r="I364" s="5" t="s">
        <v>1307</v>
      </c>
      <c r="J364" s="5" t="s">
        <v>530</v>
      </c>
      <c r="K364" s="6" t="s">
        <v>1349</v>
      </c>
      <c r="L364" s="5" t="s">
        <v>1280</v>
      </c>
    </row>
    <row r="365" customFormat="false" ht="46.25" hidden="false" customHeight="false" outlineLevel="0" collapsed="false">
      <c r="A365" s="5" t="s">
        <v>1350</v>
      </c>
      <c r="B365" s="6" t="s">
        <v>1351</v>
      </c>
      <c r="C365" s="5" t="n">
        <v>1272901</v>
      </c>
      <c r="D365" s="5"/>
      <c r="E365" s="5"/>
      <c r="F365" s="5" t="s">
        <v>844</v>
      </c>
      <c r="G365" s="7" t="s">
        <v>42</v>
      </c>
      <c r="H365" s="6" t="s">
        <v>1348</v>
      </c>
      <c r="I365" s="5" t="s">
        <v>1307</v>
      </c>
      <c r="J365" s="5" t="s">
        <v>530</v>
      </c>
      <c r="K365" s="6" t="s">
        <v>1349</v>
      </c>
      <c r="L365" s="5" t="s">
        <v>1280</v>
      </c>
    </row>
    <row r="366" customFormat="false" ht="46.25" hidden="false" customHeight="false" outlineLevel="0" collapsed="false">
      <c r="A366" s="5" t="s">
        <v>1352</v>
      </c>
      <c r="B366" s="6" t="s">
        <v>1353</v>
      </c>
      <c r="C366" s="5" t="n">
        <v>4566850</v>
      </c>
      <c r="D366" s="5"/>
      <c r="E366" s="5"/>
      <c r="F366" s="5" t="s">
        <v>844</v>
      </c>
      <c r="G366" s="7" t="s">
        <v>42</v>
      </c>
      <c r="H366" s="6" t="s">
        <v>1348</v>
      </c>
      <c r="I366" s="5" t="s">
        <v>1307</v>
      </c>
      <c r="J366" s="5" t="s">
        <v>530</v>
      </c>
      <c r="K366" s="6" t="s">
        <v>1349</v>
      </c>
      <c r="L366" s="5" t="s">
        <v>1280</v>
      </c>
    </row>
    <row r="367" customFormat="false" ht="46.25" hidden="false" customHeight="false" outlineLevel="0" collapsed="false">
      <c r="A367" s="5" t="s">
        <v>1354</v>
      </c>
      <c r="B367" s="6" t="s">
        <v>1355</v>
      </c>
      <c r="C367" s="5" t="n">
        <v>3467041</v>
      </c>
      <c r="D367" s="5"/>
      <c r="E367" s="5"/>
      <c r="F367" s="5" t="s">
        <v>844</v>
      </c>
      <c r="G367" s="7" t="s">
        <v>42</v>
      </c>
      <c r="H367" s="6" t="s">
        <v>1348</v>
      </c>
      <c r="I367" s="5" t="s">
        <v>1307</v>
      </c>
      <c r="J367" s="5" t="s">
        <v>530</v>
      </c>
      <c r="K367" s="6" t="s">
        <v>1349</v>
      </c>
      <c r="L367" s="5" t="s">
        <v>1280</v>
      </c>
    </row>
    <row r="368" customFormat="false" ht="46.25" hidden="false" customHeight="false" outlineLevel="0" collapsed="false">
      <c r="A368" s="5" t="s">
        <v>1356</v>
      </c>
      <c r="B368" s="6" t="s">
        <v>1357</v>
      </c>
      <c r="C368" s="5" t="n">
        <v>1026354</v>
      </c>
      <c r="D368" s="5"/>
      <c r="E368" s="5"/>
      <c r="F368" s="5" t="s">
        <v>844</v>
      </c>
      <c r="G368" s="7" t="s">
        <v>42</v>
      </c>
      <c r="H368" s="6" t="s">
        <v>1348</v>
      </c>
      <c r="I368" s="5" t="s">
        <v>1307</v>
      </c>
      <c r="J368" s="5" t="s">
        <v>530</v>
      </c>
      <c r="K368" s="6" t="s">
        <v>1349</v>
      </c>
      <c r="L368" s="5" t="s">
        <v>1280</v>
      </c>
    </row>
    <row r="369" customFormat="false" ht="102.2" hidden="false" customHeight="false" outlineLevel="0" collapsed="false">
      <c r="A369" s="5" t="s">
        <v>1358</v>
      </c>
      <c r="B369" s="6" t="s">
        <v>1359</v>
      </c>
      <c r="C369" s="5" t="n">
        <v>0.1109</v>
      </c>
      <c r="D369" s="5"/>
      <c r="E369" s="5"/>
      <c r="F369" s="5" t="s">
        <v>371</v>
      </c>
      <c r="G369" s="8" t="s">
        <v>170</v>
      </c>
      <c r="H369" s="6" t="s">
        <v>1360</v>
      </c>
      <c r="I369" s="5"/>
      <c r="J369" s="5" t="s">
        <v>258</v>
      </c>
      <c r="K369" s="6" t="s">
        <v>1361</v>
      </c>
      <c r="L369" s="5" t="s">
        <v>52</v>
      </c>
    </row>
    <row r="370" customFormat="false" ht="102.2" hidden="false" customHeight="false" outlineLevel="0" collapsed="false">
      <c r="A370" s="5" t="s">
        <v>1362</v>
      </c>
      <c r="B370" s="6" t="s">
        <v>1363</v>
      </c>
      <c r="C370" s="5" t="n">
        <v>0.0523</v>
      </c>
      <c r="D370" s="5"/>
      <c r="E370" s="5"/>
      <c r="F370" s="5" t="s">
        <v>371</v>
      </c>
      <c r="G370" s="8" t="s">
        <v>170</v>
      </c>
      <c r="H370" s="6" t="s">
        <v>1360</v>
      </c>
      <c r="I370" s="5"/>
      <c r="J370" s="5" t="s">
        <v>258</v>
      </c>
      <c r="K370" s="6" t="s">
        <v>1364</v>
      </c>
      <c r="L370" s="5" t="s">
        <v>52</v>
      </c>
    </row>
    <row r="371" customFormat="false" ht="113.4" hidden="false" customHeight="false" outlineLevel="0" collapsed="false">
      <c r="A371" s="5" t="s">
        <v>1365</v>
      </c>
      <c r="B371" s="6" t="s">
        <v>1366</v>
      </c>
      <c r="C371" s="5" t="n">
        <v>0.2057</v>
      </c>
      <c r="D371" s="5"/>
      <c r="E371" s="5"/>
      <c r="F371" s="5" t="s">
        <v>371</v>
      </c>
      <c r="G371" s="8" t="s">
        <v>170</v>
      </c>
      <c r="H371" s="6" t="s">
        <v>1360</v>
      </c>
      <c r="I371" s="5"/>
      <c r="J371" s="5" t="s">
        <v>258</v>
      </c>
      <c r="K371" s="6" t="s">
        <v>1367</v>
      </c>
      <c r="L371" s="5" t="s">
        <v>52</v>
      </c>
    </row>
    <row r="372" customFormat="false" ht="113.4" hidden="false" customHeight="false" outlineLevel="0" collapsed="false">
      <c r="A372" s="5" t="s">
        <v>1368</v>
      </c>
      <c r="B372" s="6" t="s">
        <v>1369</v>
      </c>
      <c r="C372" s="5" t="n">
        <v>1.4</v>
      </c>
      <c r="D372" s="5"/>
      <c r="E372" s="5"/>
      <c r="F372" s="5" t="s">
        <v>1370</v>
      </c>
      <c r="G372" s="8" t="s">
        <v>170</v>
      </c>
      <c r="H372" s="6" t="s">
        <v>1360</v>
      </c>
      <c r="I372" s="5"/>
      <c r="J372" s="5" t="s">
        <v>258</v>
      </c>
      <c r="K372" s="6" t="s">
        <v>1371</v>
      </c>
      <c r="L372" s="5" t="s">
        <v>1280</v>
      </c>
    </row>
    <row r="373" customFormat="false" ht="46.25" hidden="false" customHeight="false" outlineLevel="0" collapsed="false">
      <c r="A373" s="5" t="s">
        <v>1372</v>
      </c>
      <c r="B373" s="6" t="s">
        <v>1373</v>
      </c>
      <c r="C373" s="5" t="n">
        <v>42.9</v>
      </c>
      <c r="D373" s="5"/>
      <c r="E373" s="5"/>
      <c r="F373" s="5" t="s">
        <v>119</v>
      </c>
      <c r="G373" s="8" t="s">
        <v>170</v>
      </c>
      <c r="H373" s="6" t="s">
        <v>1360</v>
      </c>
      <c r="I373" s="5"/>
      <c r="J373" s="5" t="s">
        <v>258</v>
      </c>
      <c r="K373" s="6" t="s">
        <v>1374</v>
      </c>
      <c r="L373" s="5" t="s">
        <v>1280</v>
      </c>
    </row>
    <row r="374" customFormat="false" ht="23.85" hidden="false" customHeight="false" outlineLevel="0" collapsed="false">
      <c r="A374" s="5" t="s">
        <v>1375</v>
      </c>
      <c r="B374" s="6" t="s">
        <v>1376</v>
      </c>
      <c r="C374" s="5" t="n">
        <v>66.7</v>
      </c>
      <c r="D374" s="5"/>
      <c r="E374" s="5"/>
      <c r="F374" s="5" t="s">
        <v>119</v>
      </c>
      <c r="G374" s="8" t="s">
        <v>170</v>
      </c>
      <c r="H374" s="6" t="s">
        <v>1360</v>
      </c>
      <c r="I374" s="5"/>
      <c r="J374" s="5" t="s">
        <v>258</v>
      </c>
      <c r="K374" s="6" t="s">
        <v>1377</v>
      </c>
      <c r="L374" s="5" t="s">
        <v>1280</v>
      </c>
    </row>
    <row r="375" customFormat="false" ht="46.25" hidden="false" customHeight="false" outlineLevel="0" collapsed="false">
      <c r="A375" s="5" t="s">
        <v>1378</v>
      </c>
      <c r="B375" s="6" t="s">
        <v>1379</v>
      </c>
      <c r="C375" s="5" t="n">
        <v>2.5</v>
      </c>
      <c r="D375" s="5"/>
      <c r="E375" s="5"/>
      <c r="F375" s="5" t="s">
        <v>147</v>
      </c>
      <c r="G375" s="7" t="s">
        <v>42</v>
      </c>
      <c r="H375" s="6" t="s">
        <v>1380</v>
      </c>
      <c r="I375" s="5" t="s">
        <v>1381</v>
      </c>
      <c r="J375" s="5" t="s">
        <v>1382</v>
      </c>
      <c r="K375" s="6" t="s">
        <v>1383</v>
      </c>
      <c r="L375" s="5" t="s">
        <v>1384</v>
      </c>
    </row>
    <row r="376" customFormat="false" ht="79.85" hidden="false" customHeight="false" outlineLevel="0" collapsed="false">
      <c r="A376" s="5" t="s">
        <v>1385</v>
      </c>
      <c r="B376" s="6" t="s">
        <v>1386</v>
      </c>
      <c r="C376" s="5" t="n">
        <v>3.61</v>
      </c>
      <c r="D376" s="5"/>
      <c r="E376" s="5"/>
      <c r="F376" s="5" t="s">
        <v>1387</v>
      </c>
      <c r="G376" s="8" t="s">
        <v>170</v>
      </c>
      <c r="H376" s="6" t="s">
        <v>1388</v>
      </c>
      <c r="I376" s="5"/>
      <c r="J376" s="5" t="s">
        <v>258</v>
      </c>
      <c r="K376" s="6" t="s">
        <v>1389</v>
      </c>
      <c r="L376" s="5" t="s">
        <v>1384</v>
      </c>
    </row>
    <row r="377" customFormat="false" ht="79.85" hidden="false" customHeight="false" outlineLevel="0" collapsed="false">
      <c r="A377" s="5" t="s">
        <v>1390</v>
      </c>
      <c r="B377" s="6" t="s">
        <v>1391</v>
      </c>
      <c r="C377" s="5" t="n">
        <v>4.49</v>
      </c>
      <c r="D377" s="5"/>
      <c r="E377" s="5"/>
      <c r="F377" s="5" t="s">
        <v>1387</v>
      </c>
      <c r="G377" s="8" t="s">
        <v>170</v>
      </c>
      <c r="H377" s="6" t="s">
        <v>1388</v>
      </c>
      <c r="I377" s="5"/>
      <c r="J377" s="5" t="s">
        <v>258</v>
      </c>
      <c r="K377" s="6" t="s">
        <v>1389</v>
      </c>
      <c r="L377" s="5" t="s">
        <v>1384</v>
      </c>
    </row>
    <row r="378" customFormat="false" ht="102.2" hidden="false" customHeight="false" outlineLevel="0" collapsed="false">
      <c r="A378" s="5" t="s">
        <v>1392</v>
      </c>
      <c r="B378" s="6" t="s">
        <v>1393</v>
      </c>
      <c r="C378" s="5" t="n">
        <v>614</v>
      </c>
      <c r="D378" s="5"/>
      <c r="E378" s="5"/>
      <c r="F378" s="5" t="s">
        <v>1394</v>
      </c>
      <c r="G378" s="8" t="s">
        <v>170</v>
      </c>
      <c r="H378" s="6" t="s">
        <v>1388</v>
      </c>
      <c r="I378" s="5"/>
      <c r="J378" s="5" t="s">
        <v>258</v>
      </c>
      <c r="K378" s="6" t="s">
        <v>1395</v>
      </c>
      <c r="L378" s="5" t="s">
        <v>1384</v>
      </c>
    </row>
    <row r="379" customFormat="false" ht="113.4" hidden="false" customHeight="false" outlineLevel="0" collapsed="false">
      <c r="A379" s="5" t="s">
        <v>1396</v>
      </c>
      <c r="B379" s="6" t="s">
        <v>1397</v>
      </c>
      <c r="C379" s="5" t="n">
        <v>12.19</v>
      </c>
      <c r="D379" s="5"/>
      <c r="E379" s="5"/>
      <c r="F379" s="5" t="s">
        <v>1398</v>
      </c>
      <c r="G379" s="8" t="s">
        <v>170</v>
      </c>
      <c r="H379" s="6" t="s">
        <v>1388</v>
      </c>
      <c r="I379" s="5"/>
      <c r="J379" s="5" t="s">
        <v>258</v>
      </c>
      <c r="K379" s="6" t="s">
        <v>1399</v>
      </c>
      <c r="L379" s="5" t="s">
        <v>1384</v>
      </c>
    </row>
    <row r="380" customFormat="false" ht="113.4" hidden="false" customHeight="false" outlineLevel="0" collapsed="false">
      <c r="A380" s="5" t="s">
        <v>1400</v>
      </c>
      <c r="B380" s="6" t="s">
        <v>1401</v>
      </c>
      <c r="C380" s="5" t="n">
        <v>14.81</v>
      </c>
      <c r="D380" s="5"/>
      <c r="E380" s="5"/>
      <c r="F380" s="5" t="s">
        <v>1398</v>
      </c>
      <c r="G380" s="8" t="s">
        <v>170</v>
      </c>
      <c r="H380" s="6" t="s">
        <v>1388</v>
      </c>
      <c r="I380" s="5"/>
      <c r="J380" s="5" t="s">
        <v>258</v>
      </c>
      <c r="K380" s="6" t="s">
        <v>1399</v>
      </c>
      <c r="L380" s="5" t="s">
        <v>1384</v>
      </c>
    </row>
    <row r="381" customFormat="false" ht="124.6" hidden="false" customHeight="false" outlineLevel="0" collapsed="false">
      <c r="A381" s="5" t="s">
        <v>1402</v>
      </c>
      <c r="B381" s="6" t="s">
        <v>1403</v>
      </c>
      <c r="C381" s="5" t="n">
        <v>4.61</v>
      </c>
      <c r="D381" s="5"/>
      <c r="E381" s="5"/>
      <c r="F381" s="5" t="s">
        <v>1398</v>
      </c>
      <c r="G381" s="8" t="s">
        <v>170</v>
      </c>
      <c r="H381" s="6" t="s">
        <v>1388</v>
      </c>
      <c r="I381" s="5"/>
      <c r="J381" s="5" t="s">
        <v>258</v>
      </c>
      <c r="K381" s="6" t="s">
        <v>1404</v>
      </c>
      <c r="L381" s="5" t="s">
        <v>1384</v>
      </c>
    </row>
    <row r="382" customFormat="false" ht="113.4" hidden="false" customHeight="false" outlineLevel="0" collapsed="false">
      <c r="A382" s="5" t="s">
        <v>1405</v>
      </c>
      <c r="B382" s="6" t="s">
        <v>1406</v>
      </c>
      <c r="C382" s="5" t="n">
        <v>2534</v>
      </c>
      <c r="D382" s="5"/>
      <c r="E382" s="5"/>
      <c r="F382" s="5" t="s">
        <v>1394</v>
      </c>
      <c r="G382" s="8" t="s">
        <v>170</v>
      </c>
      <c r="H382" s="6" t="s">
        <v>1388</v>
      </c>
      <c r="I382" s="5"/>
      <c r="J382" s="5" t="s">
        <v>258</v>
      </c>
      <c r="K382" s="6" t="s">
        <v>1407</v>
      </c>
      <c r="L382" s="5" t="s">
        <v>1384</v>
      </c>
    </row>
    <row r="383" customFormat="false" ht="91" hidden="false" customHeight="false" outlineLevel="0" collapsed="false">
      <c r="A383" s="5" t="s">
        <v>1408</v>
      </c>
      <c r="B383" s="6" t="s">
        <v>1409</v>
      </c>
      <c r="C383" s="5" t="n">
        <v>6.29</v>
      </c>
      <c r="D383" s="5"/>
      <c r="E383" s="5"/>
      <c r="F383" s="5" t="s">
        <v>1398</v>
      </c>
      <c r="G383" s="8" t="s">
        <v>170</v>
      </c>
      <c r="H383" s="6" t="s">
        <v>1388</v>
      </c>
      <c r="I383" s="5"/>
      <c r="J383" s="5" t="s">
        <v>258</v>
      </c>
      <c r="K383" s="6" t="s">
        <v>1410</v>
      </c>
      <c r="L383" s="5" t="s">
        <v>1384</v>
      </c>
    </row>
    <row r="384" customFormat="false" ht="35.05" hidden="false" customHeight="false" outlineLevel="0" collapsed="false">
      <c r="A384" s="5" t="s">
        <v>1411</v>
      </c>
      <c r="B384" s="6" t="s">
        <v>1412</v>
      </c>
      <c r="C384" s="5" t="n">
        <v>8</v>
      </c>
      <c r="D384" s="5"/>
      <c r="E384" s="5"/>
      <c r="F384" s="5" t="s">
        <v>1413</v>
      </c>
      <c r="G384" s="7" t="s">
        <v>42</v>
      </c>
      <c r="H384" s="6" t="s">
        <v>1414</v>
      </c>
      <c r="I384" s="5" t="s">
        <v>1415</v>
      </c>
      <c r="J384" s="5" t="s">
        <v>1416</v>
      </c>
      <c r="K384" s="6" t="s">
        <v>1417</v>
      </c>
      <c r="L384" s="5" t="s">
        <v>1384</v>
      </c>
    </row>
    <row r="385" customFormat="false" ht="35.05" hidden="false" customHeight="false" outlineLevel="0" collapsed="false">
      <c r="A385" s="5" t="s">
        <v>1418</v>
      </c>
      <c r="B385" s="6" t="s">
        <v>1419</v>
      </c>
      <c r="C385" s="5" t="n">
        <v>2.5</v>
      </c>
      <c r="D385" s="5"/>
      <c r="E385" s="5"/>
      <c r="F385" s="5" t="s">
        <v>1413</v>
      </c>
      <c r="G385" s="7" t="s">
        <v>42</v>
      </c>
      <c r="H385" s="6" t="s">
        <v>1420</v>
      </c>
      <c r="I385" s="5" t="s">
        <v>1421</v>
      </c>
      <c r="J385" s="5" t="s">
        <v>1416</v>
      </c>
      <c r="K385" s="6" t="s">
        <v>1422</v>
      </c>
      <c r="L385" s="5" t="s">
        <v>1384</v>
      </c>
    </row>
    <row r="386" customFormat="false" ht="46.25" hidden="false" customHeight="false" outlineLevel="0" collapsed="false">
      <c r="A386" s="5" t="s">
        <v>1423</v>
      </c>
      <c r="B386" s="6" t="s">
        <v>1424</v>
      </c>
      <c r="C386" s="5"/>
      <c r="D386" s="5"/>
      <c r="E386" s="5"/>
      <c r="F386" s="5" t="s">
        <v>74</v>
      </c>
      <c r="G386" s="7" t="s">
        <v>42</v>
      </c>
      <c r="H386" s="6" t="s">
        <v>1425</v>
      </c>
      <c r="I386" s="5" t="s">
        <v>1426</v>
      </c>
      <c r="J386" s="5" t="s">
        <v>1427</v>
      </c>
      <c r="K386" s="6" t="s">
        <v>1428</v>
      </c>
      <c r="L386" s="5" t="s">
        <v>1384</v>
      </c>
    </row>
    <row r="387" customFormat="false" ht="35.05" hidden="false" customHeight="false" outlineLevel="0" collapsed="false">
      <c r="A387" s="5" t="s">
        <v>1429</v>
      </c>
      <c r="B387" s="6" t="s">
        <v>1430</v>
      </c>
      <c r="C387" s="5" t="n">
        <v>10</v>
      </c>
      <c r="D387" s="5" t="n">
        <v>10</v>
      </c>
      <c r="E387" s="5" t="n">
        <v>12</v>
      </c>
      <c r="F387" s="5" t="s">
        <v>147</v>
      </c>
      <c r="G387" s="7" t="s">
        <v>42</v>
      </c>
      <c r="H387" s="6" t="s">
        <v>1431</v>
      </c>
      <c r="I387" s="5" t="s">
        <v>1432</v>
      </c>
      <c r="J387" s="5" t="s">
        <v>1433</v>
      </c>
      <c r="K387" s="6" t="s">
        <v>1434</v>
      </c>
      <c r="L387" s="5" t="s">
        <v>1384</v>
      </c>
    </row>
    <row r="388" customFormat="false" ht="68.65" hidden="false" customHeight="false" outlineLevel="0" collapsed="false">
      <c r="A388" s="5" t="s">
        <v>1435</v>
      </c>
      <c r="B388" s="6" t="s">
        <v>1436</v>
      </c>
      <c r="C388" s="5" t="n">
        <v>1.6</v>
      </c>
      <c r="D388" s="5"/>
      <c r="E388" s="5"/>
      <c r="F388" s="5" t="s">
        <v>1437</v>
      </c>
      <c r="G388" s="7" t="s">
        <v>42</v>
      </c>
      <c r="H388" s="6" t="s">
        <v>1438</v>
      </c>
      <c r="I388" s="5" t="s">
        <v>1439</v>
      </c>
      <c r="J388" s="5" t="s">
        <v>1440</v>
      </c>
      <c r="K388" s="6" t="s">
        <v>1441</v>
      </c>
      <c r="L388" s="5" t="s">
        <v>1384</v>
      </c>
    </row>
    <row r="389" customFormat="false" ht="68.65" hidden="false" customHeight="false" outlineLevel="0" collapsed="false">
      <c r="A389" s="5" t="s">
        <v>1442</v>
      </c>
      <c r="B389" s="6" t="s">
        <v>1443</v>
      </c>
      <c r="C389" s="5" t="n">
        <v>2.5</v>
      </c>
      <c r="D389" s="5"/>
      <c r="E389" s="5"/>
      <c r="F389" s="5" t="s">
        <v>1437</v>
      </c>
      <c r="G389" s="7" t="s">
        <v>42</v>
      </c>
      <c r="H389" s="6" t="s">
        <v>1438</v>
      </c>
      <c r="I389" s="5" t="s">
        <v>1439</v>
      </c>
      <c r="J389" s="5" t="s">
        <v>1440</v>
      </c>
      <c r="K389" s="6" t="s">
        <v>1441</v>
      </c>
      <c r="L389" s="5" t="s">
        <v>1384</v>
      </c>
    </row>
    <row r="390" customFormat="false" ht="57.45" hidden="false" customHeight="false" outlineLevel="0" collapsed="false">
      <c r="A390" s="5" t="s">
        <v>1444</v>
      </c>
      <c r="B390" s="6" t="s">
        <v>1445</v>
      </c>
      <c r="C390" s="5" t="n">
        <v>17</v>
      </c>
      <c r="D390" s="5"/>
      <c r="E390" s="5"/>
      <c r="F390" s="5" t="s">
        <v>1446</v>
      </c>
      <c r="G390" s="7" t="s">
        <v>42</v>
      </c>
      <c r="H390" s="6" t="s">
        <v>1447</v>
      </c>
      <c r="I390" s="5" t="s">
        <v>1448</v>
      </c>
      <c r="J390" s="5" t="s">
        <v>1449</v>
      </c>
      <c r="K390" s="6" t="s">
        <v>1450</v>
      </c>
      <c r="L390" s="5" t="s">
        <v>1384</v>
      </c>
    </row>
    <row r="391" customFormat="false" ht="57.45" hidden="false" customHeight="false" outlineLevel="0" collapsed="false">
      <c r="A391" s="5" t="s">
        <v>1451</v>
      </c>
      <c r="B391" s="6" t="s">
        <v>1452</v>
      </c>
      <c r="C391" s="5" t="n">
        <v>34</v>
      </c>
      <c r="D391" s="5"/>
      <c r="E391" s="5"/>
      <c r="F391" s="5" t="s">
        <v>1446</v>
      </c>
      <c r="G391" s="7" t="s">
        <v>42</v>
      </c>
      <c r="H391" s="6" t="s">
        <v>1447</v>
      </c>
      <c r="I391" s="5" t="s">
        <v>1448</v>
      </c>
      <c r="J391" s="5" t="s">
        <v>1449</v>
      </c>
      <c r="K391" s="6" t="s">
        <v>1450</v>
      </c>
      <c r="L391" s="5" t="s">
        <v>1384</v>
      </c>
    </row>
    <row r="392" customFormat="false" ht="46.25" hidden="false" customHeight="false" outlineLevel="0" collapsed="false">
      <c r="A392" s="5" t="s">
        <v>1453</v>
      </c>
      <c r="B392" s="6" t="s">
        <v>1454</v>
      </c>
      <c r="C392" s="5" t="n">
        <v>26.9</v>
      </c>
      <c r="D392" s="5"/>
      <c r="E392" s="5"/>
      <c r="F392" s="5" t="s">
        <v>1387</v>
      </c>
      <c r="G392" s="7" t="s">
        <v>42</v>
      </c>
      <c r="H392" s="6" t="s">
        <v>1455</v>
      </c>
      <c r="I392" s="5" t="s">
        <v>1456</v>
      </c>
      <c r="J392" s="5" t="s">
        <v>1457</v>
      </c>
      <c r="K392" s="6" t="s">
        <v>1458</v>
      </c>
      <c r="L392" s="5" t="s">
        <v>1384</v>
      </c>
    </row>
    <row r="393" customFormat="false" ht="46.25" hidden="false" customHeight="false" outlineLevel="0" collapsed="false">
      <c r="A393" s="5" t="s">
        <v>1459</v>
      </c>
      <c r="B393" s="6" t="s">
        <v>1460</v>
      </c>
      <c r="C393" s="5" t="n">
        <v>15.3</v>
      </c>
      <c r="D393" s="5"/>
      <c r="E393" s="5"/>
      <c r="F393" s="5" t="s">
        <v>1387</v>
      </c>
      <c r="G393" s="7" t="s">
        <v>42</v>
      </c>
      <c r="H393" s="6" t="s">
        <v>1455</v>
      </c>
      <c r="I393" s="5" t="s">
        <v>1456</v>
      </c>
      <c r="J393" s="5" t="s">
        <v>1457</v>
      </c>
      <c r="K393" s="6" t="s">
        <v>1458</v>
      </c>
      <c r="L393" s="5" t="s">
        <v>1384</v>
      </c>
    </row>
    <row r="394" customFormat="false" ht="91" hidden="false" customHeight="false" outlineLevel="0" collapsed="false">
      <c r="A394" s="5" t="s">
        <v>1461</v>
      </c>
      <c r="B394" s="6" t="s">
        <v>1462</v>
      </c>
      <c r="C394" s="5" t="n">
        <v>258</v>
      </c>
      <c r="D394" s="5"/>
      <c r="E394" s="5"/>
      <c r="F394" s="5" t="s">
        <v>1394</v>
      </c>
      <c r="G394" s="8" t="s">
        <v>170</v>
      </c>
      <c r="H394" s="6" t="s">
        <v>1388</v>
      </c>
      <c r="I394" s="5"/>
      <c r="J394" s="5" t="s">
        <v>258</v>
      </c>
      <c r="K394" s="6" t="s">
        <v>1463</v>
      </c>
      <c r="L394" s="5" t="s">
        <v>1384</v>
      </c>
    </row>
    <row r="395" customFormat="false" ht="91" hidden="false" customHeight="false" outlineLevel="0" collapsed="false">
      <c r="A395" s="5" t="s">
        <v>1464</v>
      </c>
      <c r="B395" s="6" t="s">
        <v>1465</v>
      </c>
      <c r="C395" s="5" t="n">
        <v>873</v>
      </c>
      <c r="D395" s="5"/>
      <c r="E395" s="5"/>
      <c r="F395" s="5" t="s">
        <v>1394</v>
      </c>
      <c r="G395" s="8" t="s">
        <v>170</v>
      </c>
      <c r="H395" s="6" t="s">
        <v>1388</v>
      </c>
      <c r="I395" s="5"/>
      <c r="J395" s="5" t="s">
        <v>258</v>
      </c>
      <c r="K395" s="6" t="s">
        <v>1463</v>
      </c>
      <c r="L395" s="5" t="s">
        <v>1384</v>
      </c>
    </row>
    <row r="396" customFormat="false" ht="91" hidden="false" customHeight="false" outlineLevel="0" collapsed="false">
      <c r="A396" s="5" t="s">
        <v>1466</v>
      </c>
      <c r="B396" s="6" t="s">
        <v>1467</v>
      </c>
      <c r="C396" s="5" t="n">
        <v>6.38</v>
      </c>
      <c r="D396" s="5"/>
      <c r="E396" s="5"/>
      <c r="F396" s="5" t="s">
        <v>1387</v>
      </c>
      <c r="G396" s="8" t="s">
        <v>170</v>
      </c>
      <c r="H396" s="6" t="s">
        <v>1388</v>
      </c>
      <c r="I396" s="5"/>
      <c r="J396" s="5" t="s">
        <v>258</v>
      </c>
      <c r="K396" s="6" t="s">
        <v>1463</v>
      </c>
      <c r="L396" s="5" t="s">
        <v>1384</v>
      </c>
    </row>
    <row r="397" customFormat="false" ht="35.05" hidden="false" customHeight="false" outlineLevel="0" collapsed="false">
      <c r="A397" s="5" t="s">
        <v>1468</v>
      </c>
      <c r="B397" s="6" t="s">
        <v>1469</v>
      </c>
      <c r="C397" s="5" t="n">
        <v>1938</v>
      </c>
      <c r="D397" s="5"/>
      <c r="E397" s="5"/>
      <c r="F397" s="5" t="s">
        <v>50</v>
      </c>
      <c r="G397" s="7" t="s">
        <v>42</v>
      </c>
      <c r="H397" s="6" t="s">
        <v>1470</v>
      </c>
      <c r="I397" s="5" t="s">
        <v>64</v>
      </c>
      <c r="J397" s="5" t="s">
        <v>1471</v>
      </c>
      <c r="K397" s="6" t="s">
        <v>1472</v>
      </c>
      <c r="L397" s="5" t="s">
        <v>1384</v>
      </c>
    </row>
    <row r="398" customFormat="false" ht="79.85" hidden="false" customHeight="false" outlineLevel="0" collapsed="false">
      <c r="A398" s="5" t="s">
        <v>1473</v>
      </c>
      <c r="B398" s="6" t="s">
        <v>1474</v>
      </c>
      <c r="C398" s="5" t="n">
        <v>0.99</v>
      </c>
      <c r="D398" s="5"/>
      <c r="E398" s="5"/>
      <c r="F398" s="5" t="s">
        <v>840</v>
      </c>
      <c r="G398" s="8" t="s">
        <v>170</v>
      </c>
      <c r="H398" s="6" t="s">
        <v>1388</v>
      </c>
      <c r="I398" s="5"/>
      <c r="J398" s="5" t="s">
        <v>258</v>
      </c>
      <c r="K398" s="6" t="s">
        <v>1475</v>
      </c>
      <c r="L398" s="5" t="s">
        <v>1384</v>
      </c>
    </row>
    <row r="399" customFormat="false" ht="79.85" hidden="false" customHeight="false" outlineLevel="0" collapsed="false">
      <c r="A399" s="5" t="s">
        <v>1476</v>
      </c>
      <c r="B399" s="6" t="s">
        <v>1477</v>
      </c>
      <c r="C399" s="5" t="n">
        <v>0.63</v>
      </c>
      <c r="D399" s="5"/>
      <c r="E399" s="5"/>
      <c r="F399" s="5" t="s">
        <v>840</v>
      </c>
      <c r="G399" s="8" t="s">
        <v>170</v>
      </c>
      <c r="H399" s="6" t="s">
        <v>1388</v>
      </c>
      <c r="I399" s="5"/>
      <c r="J399" s="5" t="s">
        <v>258</v>
      </c>
      <c r="K399" s="6" t="s">
        <v>1475</v>
      </c>
      <c r="L399" s="5" t="s">
        <v>1384</v>
      </c>
    </row>
    <row r="400" customFormat="false" ht="68.65" hidden="false" customHeight="false" outlineLevel="0" collapsed="false">
      <c r="A400" s="5" t="s">
        <v>1478</v>
      </c>
      <c r="B400" s="6" t="s">
        <v>1479</v>
      </c>
      <c r="C400" s="5" t="n">
        <v>10.7</v>
      </c>
      <c r="D400" s="5"/>
      <c r="E400" s="5"/>
      <c r="F400" s="5" t="s">
        <v>1387</v>
      </c>
      <c r="G400" s="8" t="s">
        <v>170</v>
      </c>
      <c r="H400" s="6" t="s">
        <v>1388</v>
      </c>
      <c r="I400" s="5"/>
      <c r="J400" s="5" t="s">
        <v>258</v>
      </c>
      <c r="K400" s="6" t="s">
        <v>1480</v>
      </c>
      <c r="L400" s="5" t="s">
        <v>1384</v>
      </c>
    </row>
    <row r="401" customFormat="false" ht="68.65" hidden="false" customHeight="false" outlineLevel="0" collapsed="false">
      <c r="A401" s="5" t="s">
        <v>1481</v>
      </c>
      <c r="B401" s="6" t="s">
        <v>1482</v>
      </c>
      <c r="C401" s="5" t="n">
        <v>1.59</v>
      </c>
      <c r="D401" s="5"/>
      <c r="E401" s="5"/>
      <c r="F401" s="5" t="s">
        <v>1387</v>
      </c>
      <c r="G401" s="8" t="s">
        <v>170</v>
      </c>
      <c r="H401" s="6" t="s">
        <v>1388</v>
      </c>
      <c r="I401" s="5"/>
      <c r="J401" s="5" t="s">
        <v>258</v>
      </c>
      <c r="K401" s="6" t="s">
        <v>1480</v>
      </c>
      <c r="L401" s="5" t="s">
        <v>1384</v>
      </c>
    </row>
    <row r="402" customFormat="false" ht="68.65" hidden="false" customHeight="false" outlineLevel="0" collapsed="false">
      <c r="A402" s="5" t="s">
        <v>1483</v>
      </c>
      <c r="B402" s="6" t="s">
        <v>1484</v>
      </c>
      <c r="C402" s="5" t="n">
        <v>15.03</v>
      </c>
      <c r="D402" s="5"/>
      <c r="E402" s="5"/>
      <c r="F402" s="5" t="s">
        <v>1387</v>
      </c>
      <c r="G402" s="8" t="s">
        <v>170</v>
      </c>
      <c r="H402" s="6" t="s">
        <v>1388</v>
      </c>
      <c r="I402" s="5"/>
      <c r="J402" s="5" t="s">
        <v>258</v>
      </c>
      <c r="K402" s="6" t="s">
        <v>1480</v>
      </c>
      <c r="L402" s="5" t="s">
        <v>1384</v>
      </c>
    </row>
    <row r="403" customFormat="false" ht="68.65" hidden="false" customHeight="false" outlineLevel="0" collapsed="false">
      <c r="A403" s="5" t="s">
        <v>1485</v>
      </c>
      <c r="B403" s="6" t="s">
        <v>1482</v>
      </c>
      <c r="C403" s="5" t="n">
        <v>2.3</v>
      </c>
      <c r="D403" s="5"/>
      <c r="E403" s="5"/>
      <c r="F403" s="5" t="s">
        <v>1387</v>
      </c>
      <c r="G403" s="8" t="s">
        <v>170</v>
      </c>
      <c r="H403" s="6" t="s">
        <v>1388</v>
      </c>
      <c r="I403" s="5"/>
      <c r="J403" s="5" t="s">
        <v>258</v>
      </c>
      <c r="K403" s="6" t="s">
        <v>1480</v>
      </c>
      <c r="L403" s="5" t="s">
        <v>1384</v>
      </c>
    </row>
    <row r="404" customFormat="false" ht="68.65" hidden="false" customHeight="false" outlineLevel="0" collapsed="false">
      <c r="A404" s="5" t="s">
        <v>1486</v>
      </c>
      <c r="B404" s="6" t="s">
        <v>1487</v>
      </c>
      <c r="C404" s="5" t="n">
        <v>31.9</v>
      </c>
      <c r="D404" s="5"/>
      <c r="E404" s="5"/>
      <c r="F404" s="5" t="s">
        <v>119</v>
      </c>
      <c r="G404" s="8" t="s">
        <v>170</v>
      </c>
      <c r="H404" s="6" t="s">
        <v>1388</v>
      </c>
      <c r="I404" s="5"/>
      <c r="J404" s="5" t="s">
        <v>258</v>
      </c>
      <c r="K404" s="6" t="s">
        <v>1480</v>
      </c>
      <c r="L404" s="5" t="s">
        <v>1384</v>
      </c>
    </row>
    <row r="405" customFormat="false" ht="68.65" hidden="false" customHeight="false" outlineLevel="0" collapsed="false">
      <c r="A405" s="5" t="s">
        <v>1488</v>
      </c>
      <c r="B405" s="6" t="s">
        <v>1489</v>
      </c>
      <c r="C405" s="5" t="n">
        <v>50.2</v>
      </c>
      <c r="D405" s="5"/>
      <c r="E405" s="5"/>
      <c r="F405" s="5" t="s">
        <v>119</v>
      </c>
      <c r="G405" s="8" t="s">
        <v>170</v>
      </c>
      <c r="H405" s="6" t="s">
        <v>1388</v>
      </c>
      <c r="I405" s="5"/>
      <c r="J405" s="5" t="s">
        <v>258</v>
      </c>
      <c r="K405" s="6" t="s">
        <v>1480</v>
      </c>
      <c r="L405" s="5" t="s">
        <v>1384</v>
      </c>
    </row>
    <row r="406" customFormat="false" ht="68.65" hidden="false" customHeight="false" outlineLevel="0" collapsed="false">
      <c r="A406" s="5" t="s">
        <v>1490</v>
      </c>
      <c r="B406" s="6" t="s">
        <v>1491</v>
      </c>
      <c r="C406" s="5" t="n">
        <v>-3.7</v>
      </c>
      <c r="D406" s="5"/>
      <c r="E406" s="5"/>
      <c r="F406" s="5" t="s">
        <v>119</v>
      </c>
      <c r="G406" s="8" t="s">
        <v>170</v>
      </c>
      <c r="H406" s="6" t="s">
        <v>1388</v>
      </c>
      <c r="I406" s="5"/>
      <c r="J406" s="5" t="s">
        <v>258</v>
      </c>
      <c r="K406" s="6" t="s">
        <v>1480</v>
      </c>
      <c r="L406" s="5" t="s">
        <v>1384</v>
      </c>
    </row>
    <row r="407" customFormat="false" ht="57.45" hidden="false" customHeight="false" outlineLevel="0" collapsed="false">
      <c r="A407" s="5" t="s">
        <v>1492</v>
      </c>
      <c r="B407" s="6" t="s">
        <v>1493</v>
      </c>
      <c r="C407" s="5" t="n">
        <v>2814.3</v>
      </c>
      <c r="D407" s="5"/>
      <c r="E407" s="5"/>
      <c r="F407" s="5" t="s">
        <v>50</v>
      </c>
      <c r="G407" s="7" t="s">
        <v>42</v>
      </c>
      <c r="H407" s="6" t="s">
        <v>1494</v>
      </c>
      <c r="I407" s="5" t="s">
        <v>1495</v>
      </c>
      <c r="J407" s="5" t="s">
        <v>1496</v>
      </c>
      <c r="K407" s="6" t="s">
        <v>1497</v>
      </c>
      <c r="L407" s="5" t="s">
        <v>1498</v>
      </c>
    </row>
    <row r="408" customFormat="false" ht="57.45" hidden="false" customHeight="false" outlineLevel="0" collapsed="false">
      <c r="A408" s="5" t="s">
        <v>1499</v>
      </c>
      <c r="B408" s="6" t="s">
        <v>1500</v>
      </c>
      <c r="C408" s="5" t="n">
        <v>2711.9</v>
      </c>
      <c r="D408" s="5"/>
      <c r="E408" s="5"/>
      <c r="F408" s="5" t="s">
        <v>50</v>
      </c>
      <c r="G408" s="7" t="s">
        <v>42</v>
      </c>
      <c r="H408" s="6" t="s">
        <v>1494</v>
      </c>
      <c r="I408" s="5" t="s">
        <v>1495</v>
      </c>
      <c r="J408" s="5" t="s">
        <v>1496</v>
      </c>
      <c r="K408" s="6" t="s">
        <v>1497</v>
      </c>
      <c r="L408" s="5" t="s">
        <v>1498</v>
      </c>
    </row>
    <row r="409" customFormat="false" ht="23.85" hidden="false" customHeight="false" outlineLevel="0" collapsed="false">
      <c r="A409" s="5" t="s">
        <v>1501</v>
      </c>
      <c r="B409" s="6" t="s">
        <v>1502</v>
      </c>
      <c r="C409" s="5" t="n">
        <v>362</v>
      </c>
      <c r="D409" s="5"/>
      <c r="E409" s="5"/>
      <c r="F409" s="5" t="s">
        <v>1270</v>
      </c>
      <c r="G409" s="7" t="s">
        <v>42</v>
      </c>
      <c r="H409" s="6" t="s">
        <v>1503</v>
      </c>
      <c r="I409" s="5" t="s">
        <v>1495</v>
      </c>
      <c r="J409" s="5" t="s">
        <v>1496</v>
      </c>
      <c r="K409" s="6" t="s">
        <v>1504</v>
      </c>
      <c r="L409" s="5" t="s">
        <v>1498</v>
      </c>
    </row>
    <row r="410" customFormat="false" ht="23.85" hidden="false" customHeight="false" outlineLevel="0" collapsed="false">
      <c r="A410" s="5" t="s">
        <v>1505</v>
      </c>
      <c r="B410" s="6" t="s">
        <v>1506</v>
      </c>
      <c r="C410" s="5" t="n">
        <v>283</v>
      </c>
      <c r="D410" s="5"/>
      <c r="E410" s="5"/>
      <c r="F410" s="5" t="s">
        <v>1507</v>
      </c>
      <c r="G410" s="7" t="s">
        <v>42</v>
      </c>
      <c r="H410" s="6" t="s">
        <v>1503</v>
      </c>
      <c r="I410" s="5" t="s">
        <v>1495</v>
      </c>
      <c r="J410" s="5" t="s">
        <v>1496</v>
      </c>
      <c r="K410" s="6" t="s">
        <v>1508</v>
      </c>
      <c r="L410" s="5" t="s">
        <v>1498</v>
      </c>
    </row>
    <row r="411" customFormat="false" ht="57.45" hidden="false" customHeight="false" outlineLevel="0" collapsed="false">
      <c r="A411" s="5" t="s">
        <v>1509</v>
      </c>
      <c r="B411" s="6" t="s">
        <v>1510</v>
      </c>
      <c r="C411" s="5" t="n">
        <v>3097.4</v>
      </c>
      <c r="D411" s="5"/>
      <c r="E411" s="5"/>
      <c r="F411" s="5" t="s">
        <v>50</v>
      </c>
      <c r="G411" s="7" t="s">
        <v>42</v>
      </c>
      <c r="H411" s="6" t="s">
        <v>1511</v>
      </c>
      <c r="I411" s="5" t="s">
        <v>1495</v>
      </c>
      <c r="J411" s="5" t="s">
        <v>1512</v>
      </c>
      <c r="K411" s="6" t="s">
        <v>1497</v>
      </c>
      <c r="L411" s="5" t="s">
        <v>1498</v>
      </c>
    </row>
    <row r="412" customFormat="false" ht="57.45" hidden="false" customHeight="false" outlineLevel="0" collapsed="false">
      <c r="A412" s="5" t="s">
        <v>1513</v>
      </c>
      <c r="B412" s="6" t="s">
        <v>1514</v>
      </c>
      <c r="C412" s="5" t="n">
        <v>3022.4</v>
      </c>
      <c r="D412" s="5"/>
      <c r="E412" s="5"/>
      <c r="F412" s="5" t="s">
        <v>50</v>
      </c>
      <c r="G412" s="7" t="s">
        <v>42</v>
      </c>
      <c r="H412" s="6" t="s">
        <v>1511</v>
      </c>
      <c r="I412" s="5" t="s">
        <v>1495</v>
      </c>
      <c r="J412" s="5" t="s">
        <v>1512</v>
      </c>
      <c r="K412" s="6" t="s">
        <v>1497</v>
      </c>
      <c r="L412" s="5" t="s">
        <v>1498</v>
      </c>
    </row>
    <row r="413" customFormat="false" ht="23.85" hidden="false" customHeight="false" outlineLevel="0" collapsed="false">
      <c r="A413" s="5" t="s">
        <v>1515</v>
      </c>
      <c r="B413" s="6" t="s">
        <v>1516</v>
      </c>
      <c r="C413" s="5" t="n">
        <v>254</v>
      </c>
      <c r="D413" s="5"/>
      <c r="E413" s="5"/>
      <c r="F413" s="5" t="s">
        <v>1270</v>
      </c>
      <c r="G413" s="7" t="s">
        <v>42</v>
      </c>
      <c r="H413" s="6" t="s">
        <v>1517</v>
      </c>
      <c r="I413" s="5" t="s">
        <v>1495</v>
      </c>
      <c r="J413" s="5" t="s">
        <v>1512</v>
      </c>
      <c r="K413" s="6" t="s">
        <v>1504</v>
      </c>
      <c r="L413" s="5" t="s">
        <v>1498</v>
      </c>
    </row>
    <row r="414" customFormat="false" ht="23.85" hidden="false" customHeight="false" outlineLevel="0" collapsed="false">
      <c r="A414" s="5" t="s">
        <v>1518</v>
      </c>
      <c r="B414" s="6" t="s">
        <v>1519</v>
      </c>
      <c r="C414" s="5" t="n">
        <v>296</v>
      </c>
      <c r="D414" s="5"/>
      <c r="E414" s="5"/>
      <c r="F414" s="5" t="s">
        <v>1507</v>
      </c>
      <c r="G414" s="7" t="s">
        <v>42</v>
      </c>
      <c r="H414" s="6" t="s">
        <v>1517</v>
      </c>
      <c r="I414" s="5" t="s">
        <v>1495</v>
      </c>
      <c r="J414" s="5" t="s">
        <v>1512</v>
      </c>
      <c r="K414" s="6" t="s">
        <v>1508</v>
      </c>
      <c r="L414" s="5" t="s">
        <v>1498</v>
      </c>
    </row>
    <row r="415" customFormat="false" ht="57.45" hidden="false" customHeight="false" outlineLevel="0" collapsed="false">
      <c r="A415" s="5" t="s">
        <v>1520</v>
      </c>
      <c r="B415" s="6" t="s">
        <v>1521</v>
      </c>
      <c r="C415" s="5" t="n">
        <v>3378.3</v>
      </c>
      <c r="D415" s="5"/>
      <c r="E415" s="5"/>
      <c r="F415" s="5" t="s">
        <v>50</v>
      </c>
      <c r="G415" s="7" t="s">
        <v>42</v>
      </c>
      <c r="H415" s="6" t="s">
        <v>1522</v>
      </c>
      <c r="I415" s="5" t="s">
        <v>1523</v>
      </c>
      <c r="J415" s="5" t="s">
        <v>1524</v>
      </c>
      <c r="K415" s="6" t="s">
        <v>1497</v>
      </c>
      <c r="L415" s="5" t="s">
        <v>1498</v>
      </c>
    </row>
    <row r="416" customFormat="false" ht="57.45" hidden="false" customHeight="false" outlineLevel="0" collapsed="false">
      <c r="A416" s="5" t="s">
        <v>1525</v>
      </c>
      <c r="B416" s="6" t="s">
        <v>1526</v>
      </c>
      <c r="C416" s="5" t="n">
        <v>3317.1</v>
      </c>
      <c r="D416" s="5"/>
      <c r="E416" s="5"/>
      <c r="F416" s="5" t="s">
        <v>50</v>
      </c>
      <c r="G416" s="7" t="s">
        <v>42</v>
      </c>
      <c r="H416" s="6" t="s">
        <v>1522</v>
      </c>
      <c r="I416" s="5" t="s">
        <v>1523</v>
      </c>
      <c r="J416" s="5" t="s">
        <v>1524</v>
      </c>
      <c r="K416" s="6" t="s">
        <v>1497</v>
      </c>
      <c r="L416" s="5" t="s">
        <v>1498</v>
      </c>
    </row>
    <row r="417" customFormat="false" ht="23.85" hidden="false" customHeight="false" outlineLevel="0" collapsed="false">
      <c r="A417" s="5" t="s">
        <v>1527</v>
      </c>
      <c r="B417" s="6" t="s">
        <v>1528</v>
      </c>
      <c r="C417" s="5" t="n">
        <v>201</v>
      </c>
      <c r="D417" s="5"/>
      <c r="E417" s="5"/>
      <c r="F417" s="5" t="s">
        <v>1270</v>
      </c>
      <c r="G417" s="7" t="s">
        <v>42</v>
      </c>
      <c r="H417" s="6" t="s">
        <v>1529</v>
      </c>
      <c r="I417" s="5" t="s">
        <v>1530</v>
      </c>
      <c r="J417" s="5" t="s">
        <v>1524</v>
      </c>
      <c r="K417" s="6" t="s">
        <v>1504</v>
      </c>
      <c r="L417" s="5" t="s">
        <v>1498</v>
      </c>
    </row>
    <row r="418" customFormat="false" ht="57.45" hidden="false" customHeight="false" outlineLevel="0" collapsed="false">
      <c r="A418" s="5" t="s">
        <v>1531</v>
      </c>
      <c r="B418" s="6" t="s">
        <v>1532</v>
      </c>
      <c r="C418" s="5" t="n">
        <v>3863.7</v>
      </c>
      <c r="D418" s="5"/>
      <c r="E418" s="5"/>
      <c r="F418" s="5" t="s">
        <v>50</v>
      </c>
      <c r="G418" s="7" t="s">
        <v>42</v>
      </c>
      <c r="H418" s="6" t="s">
        <v>1533</v>
      </c>
      <c r="I418" s="5" t="s">
        <v>1523</v>
      </c>
      <c r="J418" s="5" t="s">
        <v>1534</v>
      </c>
      <c r="K418" s="6" t="s">
        <v>1497</v>
      </c>
      <c r="L418" s="5" t="s">
        <v>1498</v>
      </c>
    </row>
    <row r="419" customFormat="false" ht="57.45" hidden="false" customHeight="false" outlineLevel="0" collapsed="false">
      <c r="A419" s="5" t="s">
        <v>1535</v>
      </c>
      <c r="B419" s="6" t="s">
        <v>1536</v>
      </c>
      <c r="C419" s="5" t="n">
        <v>3426</v>
      </c>
      <c r="D419" s="5"/>
      <c r="E419" s="5"/>
      <c r="F419" s="5" t="s">
        <v>50</v>
      </c>
      <c r="G419" s="7" t="s">
        <v>42</v>
      </c>
      <c r="H419" s="6" t="s">
        <v>1533</v>
      </c>
      <c r="I419" s="5" t="s">
        <v>1523</v>
      </c>
      <c r="J419" s="5" t="s">
        <v>1534</v>
      </c>
      <c r="K419" s="6" t="s">
        <v>1497</v>
      </c>
      <c r="L419" s="5" t="s">
        <v>1498</v>
      </c>
    </row>
    <row r="420" customFormat="false" ht="23.85" hidden="false" customHeight="false" outlineLevel="0" collapsed="false">
      <c r="A420" s="5" t="s">
        <v>1537</v>
      </c>
      <c r="B420" s="6" t="s">
        <v>1538</v>
      </c>
      <c r="C420" s="5" t="n">
        <v>1422</v>
      </c>
      <c r="D420" s="5"/>
      <c r="E420" s="5"/>
      <c r="F420" s="5" t="s">
        <v>1270</v>
      </c>
      <c r="G420" s="7" t="s">
        <v>42</v>
      </c>
      <c r="H420" s="6" t="s">
        <v>1539</v>
      </c>
      <c r="I420" s="5" t="s">
        <v>1523</v>
      </c>
      <c r="J420" s="5" t="s">
        <v>1534</v>
      </c>
      <c r="K420" s="6" t="s">
        <v>1504</v>
      </c>
      <c r="L420" s="5" t="s">
        <v>1498</v>
      </c>
    </row>
    <row r="421" customFormat="false" ht="23.85" hidden="false" customHeight="false" outlineLevel="0" collapsed="false">
      <c r="A421" s="5" t="s">
        <v>1540</v>
      </c>
      <c r="B421" s="6" t="s">
        <v>1541</v>
      </c>
      <c r="C421" s="5" t="n">
        <v>308</v>
      </c>
      <c r="D421" s="5"/>
      <c r="E421" s="5"/>
      <c r="F421" s="5" t="s">
        <v>1507</v>
      </c>
      <c r="G421" s="7" t="s">
        <v>42</v>
      </c>
      <c r="H421" s="6" t="s">
        <v>1539</v>
      </c>
      <c r="I421" s="5" t="s">
        <v>1523</v>
      </c>
      <c r="J421" s="5" t="s">
        <v>1534</v>
      </c>
      <c r="K421" s="6" t="s">
        <v>1508</v>
      </c>
      <c r="L421" s="5" t="s">
        <v>1498</v>
      </c>
    </row>
    <row r="422" customFormat="false" ht="57.45" hidden="false" customHeight="false" outlineLevel="0" collapsed="false">
      <c r="A422" s="5" t="s">
        <v>1542</v>
      </c>
      <c r="B422" s="6" t="s">
        <v>1543</v>
      </c>
      <c r="C422" s="5" t="n">
        <v>3953.6</v>
      </c>
      <c r="D422" s="5"/>
      <c r="E422" s="5"/>
      <c r="F422" s="5" t="s">
        <v>50</v>
      </c>
      <c r="G422" s="7" t="s">
        <v>42</v>
      </c>
      <c r="H422" s="6" t="s">
        <v>1544</v>
      </c>
      <c r="I422" s="5" t="s">
        <v>1545</v>
      </c>
      <c r="J422" s="5" t="s">
        <v>1546</v>
      </c>
      <c r="K422" s="6" t="s">
        <v>1497</v>
      </c>
      <c r="L422" s="5" t="s">
        <v>1498</v>
      </c>
    </row>
    <row r="423" customFormat="false" ht="57.45" hidden="false" customHeight="false" outlineLevel="0" collapsed="false">
      <c r="A423" s="5" t="s">
        <v>1547</v>
      </c>
      <c r="B423" s="6" t="s">
        <v>1548</v>
      </c>
      <c r="C423" s="5" t="n">
        <v>3205.9</v>
      </c>
      <c r="D423" s="5"/>
      <c r="E423" s="5"/>
      <c r="F423" s="5" t="s">
        <v>50</v>
      </c>
      <c r="G423" s="7" t="s">
        <v>42</v>
      </c>
      <c r="H423" s="6" t="s">
        <v>1544</v>
      </c>
      <c r="I423" s="5" t="s">
        <v>1545</v>
      </c>
      <c r="J423" s="5" t="s">
        <v>1546</v>
      </c>
      <c r="K423" s="6" t="s">
        <v>1497</v>
      </c>
      <c r="L423" s="5" t="s">
        <v>1498</v>
      </c>
    </row>
    <row r="424" customFormat="false" ht="35.05" hidden="false" customHeight="false" outlineLevel="0" collapsed="false">
      <c r="A424" s="5" t="s">
        <v>1549</v>
      </c>
      <c r="B424" s="6" t="s">
        <v>1550</v>
      </c>
      <c r="C424" s="5" t="n">
        <v>2846</v>
      </c>
      <c r="D424" s="5"/>
      <c r="E424" s="5"/>
      <c r="F424" s="5" t="s">
        <v>1270</v>
      </c>
      <c r="G424" s="7" t="s">
        <v>42</v>
      </c>
      <c r="H424" s="6" t="s">
        <v>1551</v>
      </c>
      <c r="I424" s="5" t="s">
        <v>1545</v>
      </c>
      <c r="J424" s="5" t="s">
        <v>1546</v>
      </c>
      <c r="K424" s="6" t="s">
        <v>1552</v>
      </c>
      <c r="L424" s="5" t="s">
        <v>1498</v>
      </c>
    </row>
    <row r="425" customFormat="false" ht="23.85" hidden="false" customHeight="false" outlineLevel="0" collapsed="false">
      <c r="A425" s="5" t="s">
        <v>1553</v>
      </c>
      <c r="B425" s="6" t="s">
        <v>1554</v>
      </c>
      <c r="C425" s="5" t="n">
        <v>263</v>
      </c>
      <c r="D425" s="5"/>
      <c r="E425" s="5"/>
      <c r="F425" s="5" t="s">
        <v>1507</v>
      </c>
      <c r="G425" s="7" t="s">
        <v>42</v>
      </c>
      <c r="H425" s="6" t="s">
        <v>1551</v>
      </c>
      <c r="I425" s="5" t="s">
        <v>1545</v>
      </c>
      <c r="J425" s="5" t="s">
        <v>1546</v>
      </c>
      <c r="K425" s="6" t="s">
        <v>1508</v>
      </c>
      <c r="L425" s="5" t="s">
        <v>1498</v>
      </c>
    </row>
    <row r="426" customFormat="false" ht="46.25" hidden="false" customHeight="false" outlineLevel="0" collapsed="false">
      <c r="A426" s="5" t="s">
        <v>1555</v>
      </c>
      <c r="B426" s="6" t="s">
        <v>1556</v>
      </c>
      <c r="C426" s="5" t="n">
        <v>6458.8</v>
      </c>
      <c r="D426" s="5"/>
      <c r="E426" s="5"/>
      <c r="F426" s="5" t="s">
        <v>50</v>
      </c>
      <c r="G426" s="7" t="s">
        <v>42</v>
      </c>
      <c r="H426" s="6" t="s">
        <v>1557</v>
      </c>
      <c r="I426" s="5" t="s">
        <v>1558</v>
      </c>
      <c r="J426" s="5" t="s">
        <v>1559</v>
      </c>
      <c r="K426" s="6" t="s">
        <v>1560</v>
      </c>
      <c r="L426" s="5" t="s">
        <v>1498</v>
      </c>
    </row>
    <row r="427" customFormat="false" ht="68.65" hidden="false" customHeight="false" outlineLevel="0" collapsed="false">
      <c r="A427" s="5" t="s">
        <v>1561</v>
      </c>
      <c r="B427" s="6" t="s">
        <v>1562</v>
      </c>
      <c r="C427" s="5" t="n">
        <v>5380.3</v>
      </c>
      <c r="D427" s="5"/>
      <c r="E427" s="5"/>
      <c r="F427" s="5" t="s">
        <v>50</v>
      </c>
      <c r="G427" s="7" t="s">
        <v>42</v>
      </c>
      <c r="H427" s="6" t="s">
        <v>1557</v>
      </c>
      <c r="I427" s="5" t="s">
        <v>1558</v>
      </c>
      <c r="J427" s="5" t="s">
        <v>1559</v>
      </c>
      <c r="K427" s="6" t="s">
        <v>1563</v>
      </c>
      <c r="L427" s="5" t="s">
        <v>1498</v>
      </c>
    </row>
    <row r="428" customFormat="false" ht="35.05" hidden="false" customHeight="false" outlineLevel="0" collapsed="false">
      <c r="A428" s="5" t="s">
        <v>1564</v>
      </c>
      <c r="B428" s="6" t="s">
        <v>1565</v>
      </c>
      <c r="C428" s="5" t="n">
        <v>2401</v>
      </c>
      <c r="D428" s="5"/>
      <c r="E428" s="5"/>
      <c r="F428" s="5" t="s">
        <v>1270</v>
      </c>
      <c r="G428" s="7" t="s">
        <v>42</v>
      </c>
      <c r="H428" s="6" t="s">
        <v>1566</v>
      </c>
      <c r="I428" s="5" t="s">
        <v>1558</v>
      </c>
      <c r="J428" s="5" t="s">
        <v>1559</v>
      </c>
      <c r="K428" s="6" t="s">
        <v>1504</v>
      </c>
      <c r="L428" s="5" t="s">
        <v>1498</v>
      </c>
    </row>
    <row r="429" customFormat="false" ht="35.05" hidden="false" customHeight="false" outlineLevel="0" collapsed="false">
      <c r="A429" s="5" t="s">
        <v>1567</v>
      </c>
      <c r="B429" s="6" t="s">
        <v>1568</v>
      </c>
      <c r="C429" s="5" t="n">
        <v>449</v>
      </c>
      <c r="D429" s="5"/>
      <c r="E429" s="5"/>
      <c r="F429" s="5" t="s">
        <v>1507</v>
      </c>
      <c r="G429" s="7" t="s">
        <v>42</v>
      </c>
      <c r="H429" s="6" t="s">
        <v>1566</v>
      </c>
      <c r="I429" s="5" t="s">
        <v>1558</v>
      </c>
      <c r="J429" s="5" t="s">
        <v>1559</v>
      </c>
      <c r="K429" s="6" t="s">
        <v>1508</v>
      </c>
      <c r="L429" s="5" t="s">
        <v>1498</v>
      </c>
    </row>
    <row r="430" customFormat="false" ht="46.25" hidden="false" customHeight="false" outlineLevel="0" collapsed="false">
      <c r="A430" s="5" t="s">
        <v>1569</v>
      </c>
      <c r="B430" s="6" t="s">
        <v>1570</v>
      </c>
      <c r="C430" s="5" t="n">
        <v>8883.3</v>
      </c>
      <c r="D430" s="5"/>
      <c r="E430" s="5"/>
      <c r="F430" s="5" t="s">
        <v>50</v>
      </c>
      <c r="G430" s="7" t="s">
        <v>42</v>
      </c>
      <c r="H430" s="6" t="s">
        <v>1571</v>
      </c>
      <c r="I430" s="5" t="s">
        <v>1572</v>
      </c>
      <c r="J430" s="5" t="s">
        <v>1471</v>
      </c>
      <c r="K430" s="6" t="s">
        <v>1560</v>
      </c>
      <c r="L430" s="5" t="s">
        <v>1498</v>
      </c>
    </row>
    <row r="431" customFormat="false" ht="46.25" hidden="false" customHeight="false" outlineLevel="0" collapsed="false">
      <c r="A431" s="5" t="s">
        <v>1573</v>
      </c>
      <c r="B431" s="6" t="s">
        <v>1574</v>
      </c>
      <c r="C431" s="5" t="n">
        <v>7975.4</v>
      </c>
      <c r="D431" s="5"/>
      <c r="E431" s="5"/>
      <c r="F431" s="5" t="s">
        <v>50</v>
      </c>
      <c r="G431" s="7" t="s">
        <v>42</v>
      </c>
      <c r="H431" s="6" t="s">
        <v>1571</v>
      </c>
      <c r="I431" s="5" t="s">
        <v>1572</v>
      </c>
      <c r="J431" s="5" t="s">
        <v>1471</v>
      </c>
      <c r="K431" s="6" t="s">
        <v>1560</v>
      </c>
      <c r="L431" s="5" t="s">
        <v>1498</v>
      </c>
    </row>
    <row r="432" customFormat="false" ht="23.85" hidden="false" customHeight="false" outlineLevel="0" collapsed="false">
      <c r="A432" s="5" t="s">
        <v>1575</v>
      </c>
      <c r="B432" s="6" t="s">
        <v>1576</v>
      </c>
      <c r="C432" s="5" t="n">
        <v>1455</v>
      </c>
      <c r="D432" s="5"/>
      <c r="E432" s="5"/>
      <c r="F432" s="5" t="s">
        <v>1270</v>
      </c>
      <c r="G432" s="7" t="s">
        <v>42</v>
      </c>
      <c r="H432" s="6" t="s">
        <v>1577</v>
      </c>
      <c r="I432" s="5" t="s">
        <v>1558</v>
      </c>
      <c r="J432" s="5" t="s">
        <v>1471</v>
      </c>
      <c r="K432" s="6" t="s">
        <v>1504</v>
      </c>
      <c r="L432" s="5" t="s">
        <v>1498</v>
      </c>
    </row>
    <row r="433" customFormat="false" ht="23.85" hidden="false" customHeight="false" outlineLevel="0" collapsed="false">
      <c r="A433" s="5" t="s">
        <v>1578</v>
      </c>
      <c r="B433" s="6" t="s">
        <v>1579</v>
      </c>
      <c r="C433" s="5" t="n">
        <v>624</v>
      </c>
      <c r="D433" s="5"/>
      <c r="E433" s="5"/>
      <c r="F433" s="5" t="s">
        <v>1507</v>
      </c>
      <c r="G433" s="7" t="s">
        <v>42</v>
      </c>
      <c r="H433" s="6" t="s">
        <v>1577</v>
      </c>
      <c r="I433" s="5" t="s">
        <v>1558</v>
      </c>
      <c r="J433" s="5" t="s">
        <v>1471</v>
      </c>
      <c r="K433" s="6" t="s">
        <v>1508</v>
      </c>
      <c r="L433" s="5" t="s">
        <v>1498</v>
      </c>
    </row>
    <row r="434" customFormat="false" ht="46.25" hidden="false" customHeight="false" outlineLevel="0" collapsed="false">
      <c r="A434" s="5" t="s">
        <v>1580</v>
      </c>
      <c r="B434" s="6" t="s">
        <v>1581</v>
      </c>
      <c r="C434" s="5" t="n">
        <v>8690.3</v>
      </c>
      <c r="D434" s="5"/>
      <c r="E434" s="5"/>
      <c r="F434" s="5" t="s">
        <v>50</v>
      </c>
      <c r="G434" s="7" t="s">
        <v>42</v>
      </c>
      <c r="H434" s="6" t="s">
        <v>1582</v>
      </c>
      <c r="I434" s="5" t="s">
        <v>1572</v>
      </c>
      <c r="J434" s="5" t="s">
        <v>65</v>
      </c>
      <c r="K434" s="6" t="s">
        <v>1560</v>
      </c>
      <c r="L434" s="5" t="s">
        <v>1498</v>
      </c>
    </row>
    <row r="435" customFormat="false" ht="46.25" hidden="false" customHeight="false" outlineLevel="0" collapsed="false">
      <c r="A435" s="5" t="s">
        <v>1583</v>
      </c>
      <c r="B435" s="6" t="s">
        <v>1584</v>
      </c>
      <c r="C435" s="5" t="n">
        <v>8062.2</v>
      </c>
      <c r="D435" s="5"/>
      <c r="E435" s="5"/>
      <c r="F435" s="5" t="s">
        <v>50</v>
      </c>
      <c r="G435" s="7" t="s">
        <v>42</v>
      </c>
      <c r="H435" s="6" t="s">
        <v>1582</v>
      </c>
      <c r="I435" s="5" t="s">
        <v>1572</v>
      </c>
      <c r="J435" s="5" t="s">
        <v>65</v>
      </c>
      <c r="K435" s="6" t="s">
        <v>1560</v>
      </c>
      <c r="L435" s="5" t="s">
        <v>1498</v>
      </c>
    </row>
    <row r="436" customFormat="false" ht="23.85" hidden="false" customHeight="false" outlineLevel="0" collapsed="false">
      <c r="A436" s="5" t="s">
        <v>1585</v>
      </c>
      <c r="B436" s="6" t="s">
        <v>1586</v>
      </c>
      <c r="C436" s="5" t="n">
        <v>1075</v>
      </c>
      <c r="D436" s="5"/>
      <c r="E436" s="5"/>
      <c r="F436" s="5" t="s">
        <v>1270</v>
      </c>
      <c r="G436" s="7" t="s">
        <v>42</v>
      </c>
      <c r="H436" s="6" t="s">
        <v>1587</v>
      </c>
      <c r="I436" s="5" t="s">
        <v>1572</v>
      </c>
      <c r="J436" s="5" t="s">
        <v>65</v>
      </c>
      <c r="K436" s="6" t="s">
        <v>1504</v>
      </c>
      <c r="L436" s="5" t="s">
        <v>1498</v>
      </c>
    </row>
    <row r="437" customFormat="false" ht="23.85" hidden="false" customHeight="false" outlineLevel="0" collapsed="false">
      <c r="A437" s="5" t="s">
        <v>1588</v>
      </c>
      <c r="B437" s="6" t="s">
        <v>1589</v>
      </c>
      <c r="C437" s="5" t="n">
        <v>584</v>
      </c>
      <c r="D437" s="5"/>
      <c r="E437" s="5"/>
      <c r="F437" s="5" t="s">
        <v>1507</v>
      </c>
      <c r="G437" s="7" t="s">
        <v>42</v>
      </c>
      <c r="H437" s="6" t="s">
        <v>1587</v>
      </c>
      <c r="I437" s="5" t="s">
        <v>1572</v>
      </c>
      <c r="J437" s="5" t="s">
        <v>65</v>
      </c>
      <c r="K437" s="6" t="s">
        <v>1508</v>
      </c>
      <c r="L437" s="5" t="s">
        <v>1498</v>
      </c>
    </row>
    <row r="438" customFormat="false" ht="46.25" hidden="false" customHeight="false" outlineLevel="0" collapsed="false">
      <c r="A438" s="5" t="s">
        <v>1590</v>
      </c>
      <c r="B438" s="6" t="s">
        <v>1591</v>
      </c>
      <c r="C438" s="5" t="n">
        <v>3269</v>
      </c>
      <c r="D438" s="5"/>
      <c r="E438" s="5"/>
      <c r="F438" s="5" t="s">
        <v>1270</v>
      </c>
      <c r="G438" s="7" t="s">
        <v>42</v>
      </c>
      <c r="H438" s="6" t="s">
        <v>1551</v>
      </c>
      <c r="I438" s="5" t="s">
        <v>1545</v>
      </c>
      <c r="J438" s="5" t="s">
        <v>1546</v>
      </c>
      <c r="K438" s="6" t="s">
        <v>1592</v>
      </c>
      <c r="L438" s="5" t="s">
        <v>1498</v>
      </c>
    </row>
    <row r="439" customFormat="false" ht="57.45" hidden="false" customHeight="false" outlineLevel="0" collapsed="false">
      <c r="A439" s="5" t="s">
        <v>1593</v>
      </c>
      <c r="B439" s="6" t="s">
        <v>1594</v>
      </c>
      <c r="C439" s="5" t="n">
        <v>13</v>
      </c>
      <c r="D439" s="5"/>
      <c r="E439" s="5"/>
      <c r="F439" s="5" t="s">
        <v>119</v>
      </c>
      <c r="G439" s="7" t="s">
        <v>42</v>
      </c>
      <c r="H439" s="6" t="s">
        <v>1595</v>
      </c>
      <c r="I439" s="5" t="s">
        <v>1596</v>
      </c>
      <c r="J439" s="5" t="s">
        <v>1534</v>
      </c>
      <c r="K439" s="6" t="s">
        <v>1597</v>
      </c>
      <c r="L439" s="5" t="s">
        <v>1598</v>
      </c>
    </row>
    <row r="440" customFormat="false" ht="124.6" hidden="false" customHeight="false" outlineLevel="0" collapsed="false">
      <c r="A440" s="5" t="s">
        <v>1599</v>
      </c>
      <c r="B440" s="6" t="s">
        <v>1600</v>
      </c>
      <c r="C440" s="5" t="n">
        <v>0.873</v>
      </c>
      <c r="D440" s="5"/>
      <c r="E440" s="5"/>
      <c r="F440" s="5" t="s">
        <v>840</v>
      </c>
      <c r="G440" s="8" t="s">
        <v>170</v>
      </c>
      <c r="H440" s="6" t="s">
        <v>1601</v>
      </c>
      <c r="I440" s="5"/>
      <c r="J440" s="5" t="s">
        <v>258</v>
      </c>
      <c r="K440" s="6" t="s">
        <v>1602</v>
      </c>
      <c r="L440" s="5" t="s">
        <v>1603</v>
      </c>
    </row>
    <row r="441" customFormat="false" ht="124.6" hidden="false" customHeight="false" outlineLevel="0" collapsed="false">
      <c r="A441" s="5" t="s">
        <v>1604</v>
      </c>
      <c r="B441" s="6" t="s">
        <v>1605</v>
      </c>
      <c r="C441" s="5" t="n">
        <v>0.941</v>
      </c>
      <c r="D441" s="5"/>
      <c r="E441" s="5"/>
      <c r="F441" s="5" t="s">
        <v>840</v>
      </c>
      <c r="G441" s="8" t="s">
        <v>170</v>
      </c>
      <c r="H441" s="6" t="s">
        <v>1601</v>
      </c>
      <c r="I441" s="5"/>
      <c r="J441" s="5" t="s">
        <v>258</v>
      </c>
      <c r="K441" s="6" t="s">
        <v>1606</v>
      </c>
      <c r="L441" s="5" t="s">
        <v>1603</v>
      </c>
    </row>
    <row r="442" customFormat="false" ht="113.4" hidden="false" customHeight="false" outlineLevel="0" collapsed="false">
      <c r="A442" s="5" t="s">
        <v>1607</v>
      </c>
      <c r="B442" s="6" t="s">
        <v>1608</v>
      </c>
      <c r="C442" s="5" t="n">
        <v>0.109</v>
      </c>
      <c r="D442" s="5"/>
      <c r="E442" s="5"/>
      <c r="F442" s="5" t="s">
        <v>1609</v>
      </c>
      <c r="G442" s="8" t="s">
        <v>170</v>
      </c>
      <c r="H442" s="6" t="s">
        <v>1601</v>
      </c>
      <c r="I442" s="5"/>
      <c r="J442" s="5" t="s">
        <v>258</v>
      </c>
      <c r="K442" s="6" t="s">
        <v>1610</v>
      </c>
      <c r="L442" s="5" t="s">
        <v>1603</v>
      </c>
    </row>
    <row r="443" customFormat="false" ht="169.4" hidden="false" customHeight="false" outlineLevel="0" collapsed="false">
      <c r="A443" s="5" t="s">
        <v>1611</v>
      </c>
      <c r="B443" s="6" t="s">
        <v>1612</v>
      </c>
      <c r="C443" s="5" t="n">
        <v>0.863</v>
      </c>
      <c r="D443" s="5"/>
      <c r="E443" s="5"/>
      <c r="F443" s="5" t="s">
        <v>840</v>
      </c>
      <c r="G443" s="8" t="s">
        <v>170</v>
      </c>
      <c r="H443" s="6" t="s">
        <v>1601</v>
      </c>
      <c r="I443" s="5"/>
      <c r="J443" s="5" t="s">
        <v>258</v>
      </c>
      <c r="K443" s="6" t="s">
        <v>1613</v>
      </c>
      <c r="L443" s="5" t="s">
        <v>1603</v>
      </c>
    </row>
    <row r="444" customFormat="false" ht="169.4" hidden="false" customHeight="false" outlineLevel="0" collapsed="false">
      <c r="A444" s="5" t="s">
        <v>1614</v>
      </c>
      <c r="B444" s="6" t="s">
        <v>1608</v>
      </c>
      <c r="C444" s="5" t="n">
        <v>0.5</v>
      </c>
      <c r="D444" s="5"/>
      <c r="E444" s="5"/>
      <c r="F444" s="5" t="s">
        <v>1609</v>
      </c>
      <c r="G444" s="8" t="s">
        <v>170</v>
      </c>
      <c r="H444" s="6" t="s">
        <v>1601</v>
      </c>
      <c r="I444" s="5"/>
      <c r="J444" s="5" t="s">
        <v>258</v>
      </c>
      <c r="K444" s="6" t="s">
        <v>1613</v>
      </c>
      <c r="L444" s="5" t="s">
        <v>1603</v>
      </c>
    </row>
    <row r="445" customFormat="false" ht="169.4" hidden="false" customHeight="false" outlineLevel="0" collapsed="false">
      <c r="A445" s="5" t="s">
        <v>1615</v>
      </c>
      <c r="B445" s="6" t="s">
        <v>1616</v>
      </c>
      <c r="C445" s="5" t="n">
        <v>2.051</v>
      </c>
      <c r="D445" s="5"/>
      <c r="E445" s="5"/>
      <c r="F445" s="5" t="s">
        <v>840</v>
      </c>
      <c r="G445" s="8" t="s">
        <v>170</v>
      </c>
      <c r="H445" s="6" t="s">
        <v>1601</v>
      </c>
      <c r="I445" s="5"/>
      <c r="J445" s="5" t="s">
        <v>258</v>
      </c>
      <c r="K445" s="6" t="s">
        <v>1613</v>
      </c>
      <c r="L445" s="5" t="s">
        <v>1603</v>
      </c>
    </row>
    <row r="446" customFormat="false" ht="147" hidden="false" customHeight="false" outlineLevel="0" collapsed="false">
      <c r="A446" s="5" t="s">
        <v>1617</v>
      </c>
      <c r="B446" s="6" t="s">
        <v>1618</v>
      </c>
      <c r="C446" s="5" t="n">
        <v>0.941</v>
      </c>
      <c r="D446" s="5"/>
      <c r="E446" s="5"/>
      <c r="F446" s="5" t="s">
        <v>840</v>
      </c>
      <c r="G446" s="8" t="s">
        <v>170</v>
      </c>
      <c r="H446" s="6" t="s">
        <v>1601</v>
      </c>
      <c r="I446" s="5"/>
      <c r="J446" s="5" t="s">
        <v>258</v>
      </c>
      <c r="K446" s="6" t="s">
        <v>1619</v>
      </c>
      <c r="L446" s="5" t="s">
        <v>1603</v>
      </c>
    </row>
    <row r="447" customFormat="false" ht="147" hidden="false" customHeight="false" outlineLevel="0" collapsed="false">
      <c r="A447" s="5" t="s">
        <v>1620</v>
      </c>
      <c r="B447" s="6" t="s">
        <v>1608</v>
      </c>
      <c r="C447" s="5" t="n">
        <v>0.109</v>
      </c>
      <c r="D447" s="5"/>
      <c r="E447" s="5"/>
      <c r="F447" s="5" t="s">
        <v>1609</v>
      </c>
      <c r="G447" s="8" t="s">
        <v>170</v>
      </c>
      <c r="H447" s="6" t="s">
        <v>1601</v>
      </c>
      <c r="I447" s="5"/>
      <c r="J447" s="5" t="s">
        <v>258</v>
      </c>
      <c r="K447" s="6" t="s">
        <v>1619</v>
      </c>
      <c r="L447" s="5" t="s">
        <v>1603</v>
      </c>
    </row>
    <row r="448" customFormat="false" ht="57.45" hidden="false" customHeight="false" outlineLevel="0" collapsed="false">
      <c r="A448" s="5" t="s">
        <v>1621</v>
      </c>
      <c r="B448" s="6" t="s">
        <v>1622</v>
      </c>
      <c r="C448" s="5" t="n">
        <v>1.054</v>
      </c>
      <c r="D448" s="5"/>
      <c r="E448" s="5"/>
      <c r="F448" s="5" t="s">
        <v>840</v>
      </c>
      <c r="G448" s="8" t="s">
        <v>170</v>
      </c>
      <c r="H448" s="6" t="s">
        <v>1601</v>
      </c>
      <c r="I448" s="5"/>
      <c r="J448" s="5" t="s">
        <v>258</v>
      </c>
      <c r="K448" s="6" t="s">
        <v>1623</v>
      </c>
      <c r="L448" s="5" t="s">
        <v>1603</v>
      </c>
    </row>
    <row r="449" customFormat="false" ht="57.45" hidden="false" customHeight="false" outlineLevel="0" collapsed="false">
      <c r="A449" s="5" t="s">
        <v>1624</v>
      </c>
      <c r="B449" s="6" t="s">
        <v>1625</v>
      </c>
      <c r="C449" s="5" t="n">
        <v>1.028</v>
      </c>
      <c r="D449" s="5"/>
      <c r="E449" s="5"/>
      <c r="F449" s="5" t="s">
        <v>840</v>
      </c>
      <c r="G449" s="8" t="s">
        <v>170</v>
      </c>
      <c r="H449" s="6" t="s">
        <v>1601</v>
      </c>
      <c r="I449" s="5"/>
      <c r="J449" s="5" t="s">
        <v>258</v>
      </c>
      <c r="K449" s="6" t="s">
        <v>1623</v>
      </c>
      <c r="L449" s="5" t="s">
        <v>1603</v>
      </c>
    </row>
    <row r="450" customFormat="false" ht="79.85" hidden="false" customHeight="false" outlineLevel="0" collapsed="false">
      <c r="A450" s="5" t="s">
        <v>1626</v>
      </c>
      <c r="B450" s="6" t="s">
        <v>1627</v>
      </c>
      <c r="C450" s="5" t="n">
        <v>0.841</v>
      </c>
      <c r="D450" s="5"/>
      <c r="E450" s="5"/>
      <c r="F450" s="5" t="s">
        <v>840</v>
      </c>
      <c r="G450" s="8" t="s">
        <v>170</v>
      </c>
      <c r="H450" s="6" t="s">
        <v>1601</v>
      </c>
      <c r="I450" s="5"/>
      <c r="J450" s="5" t="s">
        <v>258</v>
      </c>
      <c r="K450" s="6" t="s">
        <v>1628</v>
      </c>
      <c r="L450" s="5" t="s">
        <v>1603</v>
      </c>
    </row>
    <row r="451" customFormat="false" ht="79.85" hidden="false" customHeight="false" outlineLevel="0" collapsed="false">
      <c r="A451" s="5" t="s">
        <v>1629</v>
      </c>
      <c r="B451" s="6" t="s">
        <v>1608</v>
      </c>
      <c r="C451" s="5" t="n">
        <v>0.031</v>
      </c>
      <c r="D451" s="5"/>
      <c r="E451" s="5"/>
      <c r="F451" s="5" t="s">
        <v>1609</v>
      </c>
      <c r="G451" s="8" t="s">
        <v>170</v>
      </c>
      <c r="H451" s="6" t="s">
        <v>1601</v>
      </c>
      <c r="I451" s="5"/>
      <c r="J451" s="5" t="s">
        <v>258</v>
      </c>
      <c r="K451" s="6" t="s">
        <v>1628</v>
      </c>
      <c r="L451" s="5" t="s">
        <v>1603</v>
      </c>
    </row>
    <row r="452" customFormat="false" ht="79.85" hidden="false" customHeight="false" outlineLevel="0" collapsed="false">
      <c r="A452" s="5" t="s">
        <v>1630</v>
      </c>
      <c r="B452" s="6" t="s">
        <v>1631</v>
      </c>
      <c r="C452" s="5" t="n">
        <v>0.976</v>
      </c>
      <c r="D452" s="5"/>
      <c r="E452" s="5"/>
      <c r="F452" s="5" t="s">
        <v>840</v>
      </c>
      <c r="G452" s="8" t="s">
        <v>170</v>
      </c>
      <c r="H452" s="6" t="s">
        <v>1601</v>
      </c>
      <c r="I452" s="5"/>
      <c r="J452" s="5" t="s">
        <v>258</v>
      </c>
      <c r="K452" s="6" t="s">
        <v>1628</v>
      </c>
      <c r="L452" s="5" t="s">
        <v>1603</v>
      </c>
    </row>
    <row r="453" customFormat="false" ht="79.85" hidden="false" customHeight="false" outlineLevel="0" collapsed="false">
      <c r="A453" s="5" t="s">
        <v>1632</v>
      </c>
      <c r="B453" s="6" t="s">
        <v>1608</v>
      </c>
      <c r="C453" s="5" t="n">
        <v>0.872</v>
      </c>
      <c r="D453" s="5"/>
      <c r="E453" s="5"/>
      <c r="F453" s="5" t="s">
        <v>1609</v>
      </c>
      <c r="G453" s="8" t="s">
        <v>170</v>
      </c>
      <c r="H453" s="6" t="s">
        <v>1601</v>
      </c>
      <c r="I453" s="5"/>
      <c r="J453" s="5" t="s">
        <v>258</v>
      </c>
      <c r="K453" s="6" t="s">
        <v>1628</v>
      </c>
      <c r="L453" s="5" t="s">
        <v>1603</v>
      </c>
    </row>
    <row r="454" customFormat="false" ht="68.65" hidden="false" customHeight="false" outlineLevel="0" collapsed="false">
      <c r="A454" s="5" t="s">
        <v>1633</v>
      </c>
      <c r="B454" s="6" t="s">
        <v>1634</v>
      </c>
      <c r="C454" s="5" t="n">
        <v>4</v>
      </c>
      <c r="D454" s="5"/>
      <c r="E454" s="5"/>
      <c r="F454" s="5" t="s">
        <v>119</v>
      </c>
      <c r="G454" s="8" t="s">
        <v>170</v>
      </c>
      <c r="H454" s="6" t="s">
        <v>1601</v>
      </c>
      <c r="I454" s="5"/>
      <c r="J454" s="5" t="s">
        <v>258</v>
      </c>
      <c r="K454" s="6" t="s">
        <v>1635</v>
      </c>
      <c r="L454" s="5" t="s">
        <v>1603</v>
      </c>
    </row>
    <row r="455" customFormat="false" ht="68.65" hidden="false" customHeight="false" outlineLevel="0" collapsed="false">
      <c r="A455" s="5" t="s">
        <v>1636</v>
      </c>
      <c r="B455" s="6" t="s">
        <v>1637</v>
      </c>
      <c r="C455" s="5" t="n">
        <v>22</v>
      </c>
      <c r="D455" s="5"/>
      <c r="E455" s="5"/>
      <c r="F455" s="5" t="s">
        <v>119</v>
      </c>
      <c r="G455" s="8" t="s">
        <v>170</v>
      </c>
      <c r="H455" s="6" t="s">
        <v>1601</v>
      </c>
      <c r="I455" s="5"/>
      <c r="J455" s="5" t="s">
        <v>258</v>
      </c>
      <c r="K455" s="6" t="s">
        <v>1635</v>
      </c>
      <c r="L455" s="5" t="s">
        <v>1603</v>
      </c>
    </row>
    <row r="456" customFormat="false" ht="68.65" hidden="false" customHeight="false" outlineLevel="0" collapsed="false">
      <c r="A456" s="5" t="s">
        <v>1638</v>
      </c>
      <c r="B456" s="6" t="s">
        <v>1639</v>
      </c>
      <c r="C456" s="5" t="n">
        <v>38</v>
      </c>
      <c r="D456" s="5"/>
      <c r="E456" s="5"/>
      <c r="F456" s="5" t="s">
        <v>119</v>
      </c>
      <c r="G456" s="8" t="s">
        <v>170</v>
      </c>
      <c r="H456" s="6" t="s">
        <v>1601</v>
      </c>
      <c r="I456" s="5"/>
      <c r="J456" s="5" t="s">
        <v>258</v>
      </c>
      <c r="K456" s="6" t="s">
        <v>1635</v>
      </c>
      <c r="L456" s="5" t="s">
        <v>1603</v>
      </c>
    </row>
    <row r="457" customFormat="false" ht="91" hidden="false" customHeight="false" outlineLevel="0" collapsed="false">
      <c r="A457" s="5" t="s">
        <v>1640</v>
      </c>
      <c r="B457" s="6" t="s">
        <v>1641</v>
      </c>
      <c r="C457" s="5" t="n">
        <v>29.3</v>
      </c>
      <c r="D457" s="5"/>
      <c r="E457" s="5"/>
      <c r="F457" s="5" t="s">
        <v>1642</v>
      </c>
      <c r="G457" s="8" t="s">
        <v>170</v>
      </c>
      <c r="H457" s="6" t="s">
        <v>1643</v>
      </c>
      <c r="I457" s="5"/>
      <c r="J457" s="5" t="s">
        <v>258</v>
      </c>
      <c r="K457" s="6" t="s">
        <v>1644</v>
      </c>
      <c r="L457" s="5" t="s">
        <v>1603</v>
      </c>
    </row>
    <row r="458" customFormat="false" ht="91" hidden="false" customHeight="false" outlineLevel="0" collapsed="false">
      <c r="A458" s="5" t="s">
        <v>1645</v>
      </c>
      <c r="B458" s="6" t="s">
        <v>1646</v>
      </c>
      <c r="C458" s="5" t="n">
        <v>15.6</v>
      </c>
      <c r="D458" s="5"/>
      <c r="E458" s="5"/>
      <c r="F458" s="5" t="s">
        <v>1642</v>
      </c>
      <c r="G458" s="8" t="s">
        <v>170</v>
      </c>
      <c r="H458" s="6" t="s">
        <v>1643</v>
      </c>
      <c r="I458" s="5"/>
      <c r="J458" s="5" t="s">
        <v>258</v>
      </c>
      <c r="K458" s="6" t="s">
        <v>1644</v>
      </c>
      <c r="L458" s="5" t="s">
        <v>1603</v>
      </c>
    </row>
    <row r="459" customFormat="false" ht="91" hidden="false" customHeight="false" outlineLevel="0" collapsed="false">
      <c r="A459" s="5" t="s">
        <v>1647</v>
      </c>
      <c r="B459" s="6" t="s">
        <v>1648</v>
      </c>
      <c r="C459" s="5" t="n">
        <v>16.9</v>
      </c>
      <c r="D459" s="5"/>
      <c r="E459" s="5"/>
      <c r="F459" s="5" t="s">
        <v>1642</v>
      </c>
      <c r="G459" s="8" t="s">
        <v>170</v>
      </c>
      <c r="H459" s="6" t="s">
        <v>1643</v>
      </c>
      <c r="I459" s="5"/>
      <c r="J459" s="5" t="s">
        <v>258</v>
      </c>
      <c r="K459" s="6" t="s">
        <v>1644</v>
      </c>
      <c r="L459" s="5" t="s">
        <v>1603</v>
      </c>
    </row>
    <row r="460" customFormat="false" ht="91" hidden="false" customHeight="false" outlineLevel="0" collapsed="false">
      <c r="A460" s="5" t="s">
        <v>1649</v>
      </c>
      <c r="B460" s="6" t="s">
        <v>1650</v>
      </c>
      <c r="C460" s="5" t="n">
        <v>9.4</v>
      </c>
      <c r="D460" s="5"/>
      <c r="E460" s="5"/>
      <c r="F460" s="5" t="s">
        <v>1642</v>
      </c>
      <c r="G460" s="8" t="s">
        <v>170</v>
      </c>
      <c r="H460" s="6" t="s">
        <v>1643</v>
      </c>
      <c r="I460" s="5"/>
      <c r="J460" s="5" t="s">
        <v>258</v>
      </c>
      <c r="K460" s="6" t="s">
        <v>1644</v>
      </c>
      <c r="L460" s="5" t="s">
        <v>1603</v>
      </c>
    </row>
    <row r="461" customFormat="false" ht="91" hidden="false" customHeight="false" outlineLevel="0" collapsed="false">
      <c r="A461" s="5" t="s">
        <v>1651</v>
      </c>
      <c r="B461" s="6" t="s">
        <v>1652</v>
      </c>
      <c r="C461" s="5" t="n">
        <v>0</v>
      </c>
      <c r="D461" s="5"/>
      <c r="E461" s="5"/>
      <c r="F461" s="5" t="s">
        <v>1653</v>
      </c>
      <c r="G461" s="8" t="s">
        <v>170</v>
      </c>
      <c r="H461" s="6" t="s">
        <v>1643</v>
      </c>
      <c r="I461" s="5"/>
      <c r="J461" s="5" t="s">
        <v>258</v>
      </c>
      <c r="K461" s="6" t="s">
        <v>1644</v>
      </c>
      <c r="L461" s="5" t="s">
        <v>1603</v>
      </c>
    </row>
    <row r="462" customFormat="false" ht="91" hidden="false" customHeight="false" outlineLevel="0" collapsed="false">
      <c r="A462" s="5" t="s">
        <v>1654</v>
      </c>
      <c r="B462" s="6" t="s">
        <v>1655</v>
      </c>
      <c r="C462" s="5" t="n">
        <v>6</v>
      </c>
      <c r="D462" s="5"/>
      <c r="E462" s="5"/>
      <c r="F462" s="5" t="s">
        <v>1653</v>
      </c>
      <c r="G462" s="8" t="s">
        <v>170</v>
      </c>
      <c r="H462" s="6" t="s">
        <v>1643</v>
      </c>
      <c r="I462" s="5"/>
      <c r="J462" s="5" t="s">
        <v>258</v>
      </c>
      <c r="K462" s="6" t="s">
        <v>1644</v>
      </c>
      <c r="L462" s="5" t="s">
        <v>1603</v>
      </c>
    </row>
    <row r="463" customFormat="false" ht="91" hidden="false" customHeight="false" outlineLevel="0" collapsed="false">
      <c r="A463" s="5" t="s">
        <v>1656</v>
      </c>
      <c r="B463" s="6" t="s">
        <v>1657</v>
      </c>
      <c r="C463" s="5" t="n">
        <v>-11.1</v>
      </c>
      <c r="D463" s="5"/>
      <c r="E463" s="5"/>
      <c r="F463" s="5" t="s">
        <v>1642</v>
      </c>
      <c r="G463" s="8" t="s">
        <v>170</v>
      </c>
      <c r="H463" s="6" t="s">
        <v>1643</v>
      </c>
      <c r="I463" s="5"/>
      <c r="J463" s="5" t="s">
        <v>258</v>
      </c>
      <c r="K463" s="6" t="s">
        <v>1644</v>
      </c>
      <c r="L463" s="5" t="s">
        <v>1603</v>
      </c>
    </row>
    <row r="464" customFormat="false" ht="91" hidden="false" customHeight="false" outlineLevel="0" collapsed="false">
      <c r="A464" s="5" t="s">
        <v>1658</v>
      </c>
      <c r="B464" s="6" t="s">
        <v>1659</v>
      </c>
      <c r="C464" s="5" t="n">
        <v>1.4</v>
      </c>
      <c r="D464" s="5"/>
      <c r="E464" s="5"/>
      <c r="F464" s="5" t="s">
        <v>840</v>
      </c>
      <c r="G464" s="8" t="s">
        <v>170</v>
      </c>
      <c r="H464" s="6" t="s">
        <v>1643</v>
      </c>
      <c r="I464" s="5"/>
      <c r="J464" s="5" t="s">
        <v>258</v>
      </c>
      <c r="K464" s="6" t="s">
        <v>1644</v>
      </c>
      <c r="L464" s="5" t="s">
        <v>1603</v>
      </c>
    </row>
    <row r="465" customFormat="false" ht="68.65" hidden="false" customHeight="false" outlineLevel="0" collapsed="false">
      <c r="A465" s="5" t="s">
        <v>1660</v>
      </c>
      <c r="B465" s="6" t="s">
        <v>1661</v>
      </c>
      <c r="C465" s="5" t="n">
        <v>2.01</v>
      </c>
      <c r="D465" s="5"/>
      <c r="E465" s="5"/>
      <c r="F465" s="5" t="s">
        <v>840</v>
      </c>
      <c r="G465" s="8" t="s">
        <v>170</v>
      </c>
      <c r="H465" s="6" t="s">
        <v>1662</v>
      </c>
      <c r="I465" s="5"/>
      <c r="J465" s="5" t="s">
        <v>258</v>
      </c>
      <c r="K465" s="6" t="s">
        <v>1663</v>
      </c>
      <c r="L465" s="5" t="s">
        <v>1603</v>
      </c>
    </row>
    <row r="466" customFormat="false" ht="68.65" hidden="false" customHeight="false" outlineLevel="0" collapsed="false">
      <c r="A466" s="5" t="s">
        <v>1664</v>
      </c>
      <c r="B466" s="6" t="s">
        <v>1665</v>
      </c>
      <c r="C466" s="5" t="n">
        <v>1.95</v>
      </c>
      <c r="D466" s="5"/>
      <c r="E466" s="5"/>
      <c r="F466" s="5" t="s">
        <v>840</v>
      </c>
      <c r="G466" s="8" t="s">
        <v>170</v>
      </c>
      <c r="H466" s="6" t="s">
        <v>1662</v>
      </c>
      <c r="I466" s="5"/>
      <c r="J466" s="5" t="s">
        <v>258</v>
      </c>
      <c r="K466" s="6" t="s">
        <v>1663</v>
      </c>
      <c r="L466" s="5" t="s">
        <v>1603</v>
      </c>
    </row>
    <row r="467" customFormat="false" ht="46.25" hidden="false" customHeight="false" outlineLevel="0" collapsed="false">
      <c r="A467" s="5" t="s">
        <v>1666</v>
      </c>
      <c r="B467" s="6" t="s">
        <v>1667</v>
      </c>
      <c r="C467" s="5" t="n">
        <v>5</v>
      </c>
      <c r="D467" s="5"/>
      <c r="E467" s="5"/>
      <c r="F467" s="5" t="s">
        <v>119</v>
      </c>
      <c r="G467" s="7" t="s">
        <v>42</v>
      </c>
      <c r="H467" s="6" t="s">
        <v>1668</v>
      </c>
      <c r="I467" s="5" t="s">
        <v>1669</v>
      </c>
      <c r="J467" s="5" t="s">
        <v>1670</v>
      </c>
      <c r="K467" s="6" t="s">
        <v>1671</v>
      </c>
      <c r="L467" s="5" t="s">
        <v>1603</v>
      </c>
    </row>
    <row r="468" customFormat="false" ht="57.45" hidden="false" customHeight="false" outlineLevel="0" collapsed="false">
      <c r="A468" s="5" t="s">
        <v>1672</v>
      </c>
      <c r="B468" s="6" t="s">
        <v>1673</v>
      </c>
      <c r="C468" s="5" t="n">
        <v>53920</v>
      </c>
      <c r="D468" s="5"/>
      <c r="E468" s="5"/>
      <c r="F468" s="5" t="s">
        <v>844</v>
      </c>
      <c r="G468" s="7" t="s">
        <v>42</v>
      </c>
      <c r="H468" s="6" t="s">
        <v>1674</v>
      </c>
      <c r="I468" s="5" t="s">
        <v>1675</v>
      </c>
      <c r="J468" s="5" t="s">
        <v>1512</v>
      </c>
      <c r="K468" s="6" t="s">
        <v>1676</v>
      </c>
      <c r="L468" s="5" t="s">
        <v>1677</v>
      </c>
    </row>
    <row r="469" customFormat="false" ht="57.45" hidden="false" customHeight="false" outlineLevel="0" collapsed="false">
      <c r="A469" s="5" t="s">
        <v>1678</v>
      </c>
      <c r="B469" s="6" t="s">
        <v>1679</v>
      </c>
      <c r="C469" s="5" t="n">
        <v>30327</v>
      </c>
      <c r="D469" s="5"/>
      <c r="E469" s="5"/>
      <c r="F469" s="5" t="s">
        <v>844</v>
      </c>
      <c r="G469" s="7" t="s">
        <v>42</v>
      </c>
      <c r="H469" s="6" t="s">
        <v>1674</v>
      </c>
      <c r="I469" s="5" t="s">
        <v>1675</v>
      </c>
      <c r="J469" s="5" t="s">
        <v>1512</v>
      </c>
      <c r="K469" s="6" t="s">
        <v>1676</v>
      </c>
      <c r="L469" s="5" t="s">
        <v>1677</v>
      </c>
    </row>
    <row r="470" customFormat="false" ht="57.45" hidden="false" customHeight="false" outlineLevel="0" collapsed="false">
      <c r="A470" s="5" t="s">
        <v>1680</v>
      </c>
      <c r="B470" s="6" t="s">
        <v>1681</v>
      </c>
      <c r="C470" s="5" t="n">
        <v>7709</v>
      </c>
      <c r="D470" s="5"/>
      <c r="E470" s="5"/>
      <c r="F470" s="5" t="s">
        <v>844</v>
      </c>
      <c r="G470" s="7" t="s">
        <v>42</v>
      </c>
      <c r="H470" s="6" t="s">
        <v>1674</v>
      </c>
      <c r="I470" s="5" t="s">
        <v>1675</v>
      </c>
      <c r="J470" s="5" t="s">
        <v>1512</v>
      </c>
      <c r="K470" s="6" t="s">
        <v>1676</v>
      </c>
      <c r="L470" s="5" t="s">
        <v>1677</v>
      </c>
    </row>
    <row r="471" customFormat="false" ht="79.85" hidden="false" customHeight="false" outlineLevel="0" collapsed="false">
      <c r="A471" s="5" t="s">
        <v>1682</v>
      </c>
      <c r="B471" s="6" t="s">
        <v>1683</v>
      </c>
      <c r="C471" s="5" t="n">
        <v>6.6</v>
      </c>
      <c r="D471" s="5"/>
      <c r="E471" s="5"/>
      <c r="F471" s="5" t="s">
        <v>1684</v>
      </c>
      <c r="G471" s="8" t="s">
        <v>170</v>
      </c>
      <c r="H471" s="6" t="s">
        <v>257</v>
      </c>
      <c r="I471" s="5"/>
      <c r="J471" s="5" t="s">
        <v>258</v>
      </c>
      <c r="K471" s="6" t="s">
        <v>1685</v>
      </c>
      <c r="L471" s="5" t="s">
        <v>1677</v>
      </c>
    </row>
    <row r="472" customFormat="false" ht="79.85" hidden="false" customHeight="false" outlineLevel="0" collapsed="false">
      <c r="A472" s="5" t="s">
        <v>1686</v>
      </c>
      <c r="B472" s="6" t="s">
        <v>1687</v>
      </c>
      <c r="C472" s="5" t="n">
        <v>3.4</v>
      </c>
      <c r="D472" s="5"/>
      <c r="E472" s="5"/>
      <c r="F472" s="5" t="s">
        <v>1684</v>
      </c>
      <c r="G472" s="8" t="s">
        <v>170</v>
      </c>
      <c r="H472" s="6" t="s">
        <v>257</v>
      </c>
      <c r="I472" s="5"/>
      <c r="J472" s="5" t="s">
        <v>258</v>
      </c>
      <c r="K472" s="6" t="s">
        <v>1685</v>
      </c>
      <c r="L472" s="5" t="s">
        <v>1677</v>
      </c>
    </row>
    <row r="473" customFormat="false" ht="79.85" hidden="false" customHeight="false" outlineLevel="0" collapsed="false">
      <c r="A473" s="5" t="s">
        <v>1688</v>
      </c>
      <c r="B473" s="6" t="s">
        <v>1689</v>
      </c>
      <c r="C473" s="5" t="n">
        <v>6.7</v>
      </c>
      <c r="D473" s="5"/>
      <c r="E473" s="5"/>
      <c r="F473" s="5" t="s">
        <v>1684</v>
      </c>
      <c r="G473" s="8" t="s">
        <v>170</v>
      </c>
      <c r="H473" s="6" t="s">
        <v>257</v>
      </c>
      <c r="I473" s="5"/>
      <c r="J473" s="5" t="s">
        <v>258</v>
      </c>
      <c r="K473" s="6" t="s">
        <v>1685</v>
      </c>
      <c r="L473" s="5" t="s">
        <v>1677</v>
      </c>
    </row>
    <row r="474" customFormat="false" ht="79.85" hidden="false" customHeight="false" outlineLevel="0" collapsed="false">
      <c r="A474" s="5" t="s">
        <v>1690</v>
      </c>
      <c r="B474" s="6" t="s">
        <v>1691</v>
      </c>
      <c r="C474" s="5" t="n">
        <v>51.1</v>
      </c>
      <c r="D474" s="5"/>
      <c r="E474" s="5"/>
      <c r="F474" s="5" t="s">
        <v>119</v>
      </c>
      <c r="G474" s="8" t="s">
        <v>170</v>
      </c>
      <c r="H474" s="6" t="s">
        <v>257</v>
      </c>
      <c r="I474" s="5"/>
      <c r="J474" s="5" t="s">
        <v>258</v>
      </c>
      <c r="K474" s="6" t="s">
        <v>1685</v>
      </c>
      <c r="L474" s="5" t="s">
        <v>1677</v>
      </c>
    </row>
    <row r="475" customFormat="false" ht="79.85" hidden="false" customHeight="false" outlineLevel="0" collapsed="false">
      <c r="A475" s="5" t="s">
        <v>1692</v>
      </c>
      <c r="B475" s="6" t="s">
        <v>1693</v>
      </c>
      <c r="C475" s="5" t="n">
        <v>29.8</v>
      </c>
      <c r="D475" s="5"/>
      <c r="E475" s="5"/>
      <c r="F475" s="5" t="s">
        <v>119</v>
      </c>
      <c r="G475" s="8" t="s">
        <v>170</v>
      </c>
      <c r="H475" s="6" t="s">
        <v>257</v>
      </c>
      <c r="I475" s="5"/>
      <c r="J475" s="5" t="s">
        <v>258</v>
      </c>
      <c r="K475" s="6" t="s">
        <v>1685</v>
      </c>
      <c r="L475" s="5" t="s">
        <v>1677</v>
      </c>
    </row>
    <row r="476" customFormat="false" ht="102.2" hidden="false" customHeight="false" outlineLevel="0" collapsed="false">
      <c r="A476" s="5" t="s">
        <v>1694</v>
      </c>
      <c r="B476" s="6" t="s">
        <v>1695</v>
      </c>
      <c r="C476" s="5" t="n">
        <v>12.4</v>
      </c>
      <c r="D476" s="5"/>
      <c r="E476" s="5"/>
      <c r="F476" s="5" t="s">
        <v>119</v>
      </c>
      <c r="G476" s="8" t="s">
        <v>170</v>
      </c>
      <c r="H476" s="6" t="s">
        <v>257</v>
      </c>
      <c r="I476" s="5"/>
      <c r="J476" s="5" t="s">
        <v>258</v>
      </c>
      <c r="K476" s="6" t="s">
        <v>1696</v>
      </c>
      <c r="L476" s="5" t="s">
        <v>1677</v>
      </c>
    </row>
    <row r="477" customFormat="false" ht="102.2" hidden="false" customHeight="false" outlineLevel="0" collapsed="false">
      <c r="A477" s="5" t="s">
        <v>1697</v>
      </c>
      <c r="B477" s="6" t="s">
        <v>1698</v>
      </c>
      <c r="C477" s="5" t="n">
        <v>21.8</v>
      </c>
      <c r="D477" s="5"/>
      <c r="E477" s="5"/>
      <c r="F477" s="5" t="s">
        <v>119</v>
      </c>
      <c r="G477" s="8" t="s">
        <v>170</v>
      </c>
      <c r="H477" s="6" t="s">
        <v>257</v>
      </c>
      <c r="I477" s="5"/>
      <c r="J477" s="5" t="s">
        <v>258</v>
      </c>
      <c r="K477" s="6" t="s">
        <v>1696</v>
      </c>
      <c r="L477" s="5" t="s">
        <v>1677</v>
      </c>
    </row>
    <row r="478" customFormat="false" ht="102.2" hidden="false" customHeight="false" outlineLevel="0" collapsed="false">
      <c r="A478" s="5" t="s">
        <v>1699</v>
      </c>
      <c r="B478" s="6" t="s">
        <v>1700</v>
      </c>
      <c r="C478" s="5" t="n">
        <v>0.6</v>
      </c>
      <c r="D478" s="5"/>
      <c r="E478" s="5"/>
      <c r="F478" s="5" t="s">
        <v>119</v>
      </c>
      <c r="G478" s="8" t="s">
        <v>170</v>
      </c>
      <c r="H478" s="6" t="s">
        <v>257</v>
      </c>
      <c r="I478" s="5"/>
      <c r="J478" s="5" t="s">
        <v>258</v>
      </c>
      <c r="K478" s="6" t="s">
        <v>1696</v>
      </c>
      <c r="L478" s="5" t="s">
        <v>1677</v>
      </c>
    </row>
    <row r="479" customFormat="false" ht="102.2" hidden="false" customHeight="false" outlineLevel="0" collapsed="false">
      <c r="A479" s="5" t="s">
        <v>1701</v>
      </c>
      <c r="B479" s="6" t="s">
        <v>1702</v>
      </c>
      <c r="C479" s="5" t="n">
        <v>0</v>
      </c>
      <c r="D479" s="5"/>
      <c r="E479" s="5"/>
      <c r="F479" s="5" t="s">
        <v>119</v>
      </c>
      <c r="G479" s="8" t="s">
        <v>170</v>
      </c>
      <c r="H479" s="6" t="s">
        <v>257</v>
      </c>
      <c r="I479" s="5"/>
      <c r="J479" s="5" t="s">
        <v>258</v>
      </c>
      <c r="K479" s="6" t="s">
        <v>1696</v>
      </c>
      <c r="L479" s="5" t="s">
        <v>1677</v>
      </c>
    </row>
    <row r="480" customFormat="false" ht="102.2" hidden="false" customHeight="false" outlineLevel="0" collapsed="false">
      <c r="A480" s="5" t="s">
        <v>1703</v>
      </c>
      <c r="B480" s="6" t="s">
        <v>1704</v>
      </c>
      <c r="C480" s="5" t="n">
        <v>0.94</v>
      </c>
      <c r="D480" s="5"/>
      <c r="E480" s="5"/>
      <c r="F480" s="5" t="s">
        <v>1705</v>
      </c>
      <c r="G480" s="8" t="s">
        <v>170</v>
      </c>
      <c r="H480" s="6" t="s">
        <v>257</v>
      </c>
      <c r="I480" s="5"/>
      <c r="J480" s="5" t="s">
        <v>258</v>
      </c>
      <c r="K480" s="6" t="s">
        <v>1696</v>
      </c>
      <c r="L480" s="5" t="s">
        <v>1677</v>
      </c>
    </row>
    <row r="481" customFormat="false" ht="102.2" hidden="false" customHeight="false" outlineLevel="0" collapsed="false">
      <c r="A481" s="5" t="s">
        <v>1706</v>
      </c>
      <c r="B481" s="6" t="s">
        <v>1707</v>
      </c>
      <c r="C481" s="5" t="n">
        <v>100</v>
      </c>
      <c r="D481" s="5"/>
      <c r="E481" s="5"/>
      <c r="F481" s="5" t="s">
        <v>119</v>
      </c>
      <c r="G481" s="8" t="s">
        <v>170</v>
      </c>
      <c r="H481" s="6" t="s">
        <v>257</v>
      </c>
      <c r="I481" s="5"/>
      <c r="J481" s="5" t="s">
        <v>258</v>
      </c>
      <c r="K481" s="6" t="s">
        <v>1696</v>
      </c>
      <c r="L481" s="5" t="s">
        <v>1677</v>
      </c>
    </row>
    <row r="482" customFormat="false" ht="102.2" hidden="false" customHeight="false" outlineLevel="0" collapsed="false">
      <c r="A482" s="5" t="s">
        <v>1708</v>
      </c>
      <c r="B482" s="6" t="s">
        <v>1709</v>
      </c>
      <c r="C482" s="5" t="n">
        <v>1.16</v>
      </c>
      <c r="D482" s="5"/>
      <c r="E482" s="5"/>
      <c r="F482" s="5" t="s">
        <v>119</v>
      </c>
      <c r="G482" s="8" t="s">
        <v>170</v>
      </c>
      <c r="H482" s="6" t="s">
        <v>257</v>
      </c>
      <c r="I482" s="5"/>
      <c r="J482" s="5" t="s">
        <v>258</v>
      </c>
      <c r="K482" s="6" t="s">
        <v>1696</v>
      </c>
      <c r="L482" s="5" t="s">
        <v>1677</v>
      </c>
    </row>
    <row r="483" customFormat="false" ht="102.2" hidden="false" customHeight="false" outlineLevel="0" collapsed="false">
      <c r="A483" s="5" t="s">
        <v>1710</v>
      </c>
      <c r="B483" s="6" t="s">
        <v>1711</v>
      </c>
      <c r="C483" s="5" t="n">
        <v>1.46</v>
      </c>
      <c r="D483" s="5"/>
      <c r="E483" s="5"/>
      <c r="F483" s="5" t="s">
        <v>119</v>
      </c>
      <c r="G483" s="8" t="s">
        <v>170</v>
      </c>
      <c r="H483" s="6" t="s">
        <v>257</v>
      </c>
      <c r="I483" s="5"/>
      <c r="J483" s="5" t="s">
        <v>258</v>
      </c>
      <c r="K483" s="6" t="s">
        <v>1696</v>
      </c>
      <c r="L483" s="5" t="s">
        <v>1677</v>
      </c>
    </row>
    <row r="484" customFormat="false" ht="135.8" hidden="false" customHeight="false" outlineLevel="0" collapsed="false">
      <c r="A484" s="5" t="s">
        <v>1712</v>
      </c>
      <c r="B484" s="6" t="s">
        <v>1713</v>
      </c>
      <c r="C484" s="5" t="n">
        <v>72</v>
      </c>
      <c r="D484" s="5"/>
      <c r="E484" s="5"/>
      <c r="F484" s="5" t="s">
        <v>119</v>
      </c>
      <c r="G484" s="8" t="s">
        <v>170</v>
      </c>
      <c r="H484" s="6" t="s">
        <v>257</v>
      </c>
      <c r="I484" s="5"/>
      <c r="J484" s="5" t="s">
        <v>258</v>
      </c>
      <c r="K484" s="6" t="s">
        <v>1714</v>
      </c>
      <c r="L484" s="5" t="s">
        <v>1677</v>
      </c>
    </row>
    <row r="485" customFormat="false" ht="147" hidden="false" customHeight="false" outlineLevel="0" collapsed="false">
      <c r="A485" s="5" t="s">
        <v>1715</v>
      </c>
      <c r="B485" s="6" t="s">
        <v>1716</v>
      </c>
      <c r="C485" s="5" t="n">
        <v>8.7</v>
      </c>
      <c r="D485" s="5"/>
      <c r="E485" s="5"/>
      <c r="F485" s="5" t="s">
        <v>463</v>
      </c>
      <c r="G485" s="8" t="s">
        <v>170</v>
      </c>
      <c r="H485" s="6" t="s">
        <v>257</v>
      </c>
      <c r="I485" s="5"/>
      <c r="J485" s="5" t="s">
        <v>258</v>
      </c>
      <c r="K485" s="6" t="s">
        <v>1717</v>
      </c>
      <c r="L485" s="5" t="s">
        <v>1677</v>
      </c>
    </row>
    <row r="486" customFormat="false" ht="147" hidden="false" customHeight="false" outlineLevel="0" collapsed="false">
      <c r="A486" s="5" t="s">
        <v>1718</v>
      </c>
      <c r="B486" s="6" t="s">
        <v>1719</v>
      </c>
      <c r="C486" s="5" t="n">
        <v>-4.5</v>
      </c>
      <c r="D486" s="5"/>
      <c r="E486" s="5"/>
      <c r="F486" s="5" t="s">
        <v>463</v>
      </c>
      <c r="G486" s="8" t="s">
        <v>170</v>
      </c>
      <c r="H486" s="6" t="s">
        <v>257</v>
      </c>
      <c r="I486" s="5"/>
      <c r="J486" s="5" t="s">
        <v>258</v>
      </c>
      <c r="K486" s="6" t="s">
        <v>1720</v>
      </c>
      <c r="L486" s="5" t="s">
        <v>1677</v>
      </c>
    </row>
    <row r="487" customFormat="false" ht="147" hidden="false" customHeight="false" outlineLevel="0" collapsed="false">
      <c r="A487" s="5" t="s">
        <v>1721</v>
      </c>
      <c r="B487" s="6" t="s">
        <v>1722</v>
      </c>
      <c r="C487" s="5" t="n">
        <v>11.3</v>
      </c>
      <c r="D487" s="5"/>
      <c r="E487" s="5"/>
      <c r="F487" s="5" t="s">
        <v>463</v>
      </c>
      <c r="G487" s="8" t="s">
        <v>170</v>
      </c>
      <c r="H487" s="6" t="s">
        <v>257</v>
      </c>
      <c r="I487" s="5"/>
      <c r="J487" s="5" t="s">
        <v>258</v>
      </c>
      <c r="K487" s="6" t="s">
        <v>1720</v>
      </c>
      <c r="L487" s="5" t="s">
        <v>1677</v>
      </c>
    </row>
    <row r="488" customFormat="false" ht="147" hidden="false" customHeight="false" outlineLevel="0" collapsed="false">
      <c r="A488" s="5" t="s">
        <v>1723</v>
      </c>
      <c r="B488" s="6" t="s">
        <v>1724</v>
      </c>
      <c r="C488" s="5" t="n">
        <v>21.6</v>
      </c>
      <c r="D488" s="5"/>
      <c r="E488" s="5"/>
      <c r="F488" s="5" t="s">
        <v>463</v>
      </c>
      <c r="G488" s="8" t="s">
        <v>170</v>
      </c>
      <c r="H488" s="6" t="s">
        <v>257</v>
      </c>
      <c r="I488" s="5"/>
      <c r="J488" s="5" t="s">
        <v>258</v>
      </c>
      <c r="K488" s="6" t="s">
        <v>1717</v>
      </c>
      <c r="L488" s="5" t="s">
        <v>1677</v>
      </c>
    </row>
    <row r="489" customFormat="false" ht="147" hidden="false" customHeight="false" outlineLevel="0" collapsed="false">
      <c r="A489" s="5" t="s">
        <v>1725</v>
      </c>
      <c r="B489" s="6" t="s">
        <v>1726</v>
      </c>
      <c r="C489" s="5" t="n">
        <v>61.8</v>
      </c>
      <c r="D489" s="5"/>
      <c r="E489" s="5"/>
      <c r="F489" s="5" t="s">
        <v>463</v>
      </c>
      <c r="G489" s="8" t="s">
        <v>170</v>
      </c>
      <c r="H489" s="6" t="s">
        <v>257</v>
      </c>
      <c r="I489" s="5"/>
      <c r="J489" s="5" t="s">
        <v>258</v>
      </c>
      <c r="K489" s="6" t="s">
        <v>1717</v>
      </c>
      <c r="L489" s="5" t="s">
        <v>1677</v>
      </c>
    </row>
    <row r="490" customFormat="false" ht="147" hidden="false" customHeight="false" outlineLevel="0" collapsed="false">
      <c r="A490" s="5" t="s">
        <v>1727</v>
      </c>
      <c r="B490" s="6" t="s">
        <v>1728</v>
      </c>
      <c r="C490" s="5" t="n">
        <v>87.1</v>
      </c>
      <c r="D490" s="5"/>
      <c r="E490" s="5"/>
      <c r="F490" s="5" t="s">
        <v>463</v>
      </c>
      <c r="G490" s="8" t="s">
        <v>170</v>
      </c>
      <c r="H490" s="6" t="s">
        <v>257</v>
      </c>
      <c r="I490" s="5"/>
      <c r="J490" s="5" t="s">
        <v>258</v>
      </c>
      <c r="K490" s="6" t="s">
        <v>1717</v>
      </c>
      <c r="L490" s="5" t="s">
        <v>1677</v>
      </c>
    </row>
    <row r="491" customFormat="false" ht="147" hidden="false" customHeight="false" outlineLevel="0" collapsed="false">
      <c r="A491" s="5" t="s">
        <v>1729</v>
      </c>
      <c r="B491" s="6" t="s">
        <v>1730</v>
      </c>
      <c r="C491" s="5" t="n">
        <v>77.5</v>
      </c>
      <c r="D491" s="5"/>
      <c r="E491" s="5"/>
      <c r="F491" s="5" t="s">
        <v>463</v>
      </c>
      <c r="G491" s="8" t="s">
        <v>170</v>
      </c>
      <c r="H491" s="6" t="s">
        <v>257</v>
      </c>
      <c r="I491" s="5"/>
      <c r="J491" s="5" t="s">
        <v>258</v>
      </c>
      <c r="K491" s="6" t="s">
        <v>1717</v>
      </c>
      <c r="L491" s="5" t="s">
        <v>1677</v>
      </c>
    </row>
    <row r="492" customFormat="false" ht="147" hidden="false" customHeight="false" outlineLevel="0" collapsed="false">
      <c r="A492" s="5" t="s">
        <v>1731</v>
      </c>
      <c r="B492" s="6" t="s">
        <v>1732</v>
      </c>
      <c r="C492" s="5" t="n">
        <v>0</v>
      </c>
      <c r="D492" s="5"/>
      <c r="E492" s="5"/>
      <c r="F492" s="5" t="s">
        <v>1394</v>
      </c>
      <c r="G492" s="8" t="s">
        <v>170</v>
      </c>
      <c r="H492" s="6" t="s">
        <v>257</v>
      </c>
      <c r="I492" s="5"/>
      <c r="J492" s="5" t="s">
        <v>258</v>
      </c>
      <c r="K492" s="6" t="s">
        <v>1720</v>
      </c>
      <c r="L492" s="5" t="s">
        <v>1677</v>
      </c>
    </row>
    <row r="493" customFormat="false" ht="147" hidden="false" customHeight="false" outlineLevel="0" collapsed="false">
      <c r="A493" s="5" t="s">
        <v>1733</v>
      </c>
      <c r="B493" s="6" t="s">
        <v>1734</v>
      </c>
      <c r="C493" s="5" t="n">
        <v>7</v>
      </c>
      <c r="D493" s="5"/>
      <c r="E493" s="5"/>
      <c r="F493" s="5" t="s">
        <v>1394</v>
      </c>
      <c r="G493" s="8" t="s">
        <v>170</v>
      </c>
      <c r="H493" s="6" t="s">
        <v>257</v>
      </c>
      <c r="I493" s="5"/>
      <c r="J493" s="5" t="s">
        <v>258</v>
      </c>
      <c r="K493" s="6" t="s">
        <v>1720</v>
      </c>
      <c r="L493" s="5" t="s">
        <v>1677</v>
      </c>
    </row>
    <row r="494" customFormat="false" ht="102.2" hidden="false" customHeight="false" outlineLevel="0" collapsed="false">
      <c r="A494" s="5" t="s">
        <v>1735</v>
      </c>
      <c r="B494" s="6" t="s">
        <v>1736</v>
      </c>
      <c r="C494" s="5" t="n">
        <v>-19.1</v>
      </c>
      <c r="D494" s="5"/>
      <c r="E494" s="5"/>
      <c r="F494" s="5" t="s">
        <v>669</v>
      </c>
      <c r="G494" s="8" t="s">
        <v>170</v>
      </c>
      <c r="H494" s="6" t="s">
        <v>1737</v>
      </c>
      <c r="I494" s="5"/>
      <c r="J494" s="5" t="s">
        <v>258</v>
      </c>
      <c r="K494" s="6" t="s">
        <v>1738</v>
      </c>
      <c r="L494" s="5" t="s">
        <v>113</v>
      </c>
    </row>
    <row r="495" customFormat="false" ht="102.2" hidden="false" customHeight="false" outlineLevel="0" collapsed="false">
      <c r="A495" s="5" t="s">
        <v>1739</v>
      </c>
      <c r="B495" s="6" t="s">
        <v>1740</v>
      </c>
      <c r="C495" s="5" t="n">
        <v>-25.5</v>
      </c>
      <c r="D495" s="5"/>
      <c r="E495" s="5"/>
      <c r="F495" s="5" t="s">
        <v>669</v>
      </c>
      <c r="G495" s="8" t="s">
        <v>170</v>
      </c>
      <c r="H495" s="6" t="s">
        <v>1737</v>
      </c>
      <c r="I495" s="5"/>
      <c r="J495" s="5" t="s">
        <v>258</v>
      </c>
      <c r="K495" s="6" t="s">
        <v>1738</v>
      </c>
      <c r="L495" s="5" t="s">
        <v>113</v>
      </c>
    </row>
    <row r="496" customFormat="false" ht="102.2" hidden="false" customHeight="false" outlineLevel="0" collapsed="false">
      <c r="A496" s="5" t="s">
        <v>1741</v>
      </c>
      <c r="B496" s="6" t="s">
        <v>1742</v>
      </c>
      <c r="C496" s="5" t="n">
        <v>-14.1</v>
      </c>
      <c r="D496" s="5"/>
      <c r="E496" s="5"/>
      <c r="F496" s="5" t="s">
        <v>669</v>
      </c>
      <c r="G496" s="8" t="s">
        <v>170</v>
      </c>
      <c r="H496" s="6" t="s">
        <v>1737</v>
      </c>
      <c r="I496" s="5"/>
      <c r="J496" s="5" t="s">
        <v>258</v>
      </c>
      <c r="K496" s="6" t="s">
        <v>1738</v>
      </c>
      <c r="L496" s="5" t="s">
        <v>113</v>
      </c>
    </row>
    <row r="497" customFormat="false" ht="102.2" hidden="false" customHeight="false" outlineLevel="0" collapsed="false">
      <c r="A497" s="5" t="s">
        <v>1743</v>
      </c>
      <c r="B497" s="6" t="s">
        <v>1744</v>
      </c>
      <c r="C497" s="5" t="n">
        <v>-18</v>
      </c>
      <c r="D497" s="5"/>
      <c r="E497" s="5"/>
      <c r="F497" s="5" t="s">
        <v>669</v>
      </c>
      <c r="G497" s="8" t="s">
        <v>170</v>
      </c>
      <c r="H497" s="6" t="s">
        <v>1737</v>
      </c>
      <c r="I497" s="5"/>
      <c r="J497" s="5" t="s">
        <v>258</v>
      </c>
      <c r="K497" s="6" t="s">
        <v>1738</v>
      </c>
      <c r="L497" s="5" t="s">
        <v>113</v>
      </c>
    </row>
    <row r="498" customFormat="false" ht="102.2" hidden="false" customHeight="false" outlineLevel="0" collapsed="false">
      <c r="A498" s="5" t="s">
        <v>1745</v>
      </c>
      <c r="B498" s="6" t="s">
        <v>1746</v>
      </c>
      <c r="C498" s="5" t="n">
        <v>-2.7</v>
      </c>
      <c r="D498" s="5"/>
      <c r="E498" s="5"/>
      <c r="F498" s="5" t="s">
        <v>669</v>
      </c>
      <c r="G498" s="8" t="s">
        <v>170</v>
      </c>
      <c r="H498" s="6" t="s">
        <v>1737</v>
      </c>
      <c r="I498" s="5"/>
      <c r="J498" s="5" t="s">
        <v>258</v>
      </c>
      <c r="K498" s="6" t="s">
        <v>1738</v>
      </c>
      <c r="L498" s="5" t="s">
        <v>113</v>
      </c>
    </row>
    <row r="499" customFormat="false" ht="57.45" hidden="false" customHeight="false" outlineLevel="0" collapsed="false">
      <c r="A499" s="5" t="s">
        <v>1747</v>
      </c>
      <c r="B499" s="6" t="s">
        <v>1748</v>
      </c>
      <c r="C499" s="5" t="n">
        <v>3.8</v>
      </c>
      <c r="D499" s="5"/>
      <c r="E499" s="5"/>
      <c r="F499" s="5" t="s">
        <v>1749</v>
      </c>
      <c r="G499" s="8" t="s">
        <v>170</v>
      </c>
      <c r="H499" s="6" t="s">
        <v>1737</v>
      </c>
      <c r="I499" s="5"/>
      <c r="J499" s="5" t="s">
        <v>258</v>
      </c>
      <c r="K499" s="6" t="s">
        <v>1750</v>
      </c>
      <c r="L499" s="5" t="s">
        <v>113</v>
      </c>
    </row>
    <row r="500" customFormat="false" ht="57.45" hidden="false" customHeight="false" outlineLevel="0" collapsed="false">
      <c r="A500" s="5" t="s">
        <v>1751</v>
      </c>
      <c r="B500" s="6" t="s">
        <v>1752</v>
      </c>
      <c r="C500" s="5" t="n">
        <v>0.9</v>
      </c>
      <c r="D500" s="5"/>
      <c r="E500" s="5"/>
      <c r="F500" s="5" t="s">
        <v>1749</v>
      </c>
      <c r="G500" s="8" t="s">
        <v>170</v>
      </c>
      <c r="H500" s="6" t="s">
        <v>1737</v>
      </c>
      <c r="I500" s="5"/>
      <c r="J500" s="5" t="s">
        <v>258</v>
      </c>
      <c r="K500" s="6" t="s">
        <v>1750</v>
      </c>
      <c r="L500" s="5" t="s">
        <v>113</v>
      </c>
    </row>
    <row r="501" customFormat="false" ht="57.45" hidden="false" customHeight="false" outlineLevel="0" collapsed="false">
      <c r="A501" s="5" t="s">
        <v>1753</v>
      </c>
      <c r="B501" s="6" t="s">
        <v>1754</v>
      </c>
      <c r="C501" s="5" t="n">
        <v>-2</v>
      </c>
      <c r="D501" s="5"/>
      <c r="E501" s="5"/>
      <c r="F501" s="5" t="s">
        <v>1749</v>
      </c>
      <c r="G501" s="8" t="s">
        <v>170</v>
      </c>
      <c r="H501" s="6" t="s">
        <v>1737</v>
      </c>
      <c r="I501" s="5"/>
      <c r="J501" s="5" t="s">
        <v>258</v>
      </c>
      <c r="K501" s="6" t="s">
        <v>1750</v>
      </c>
      <c r="L501" s="5" t="s">
        <v>113</v>
      </c>
    </row>
    <row r="502" customFormat="false" ht="57.45" hidden="false" customHeight="false" outlineLevel="0" collapsed="false">
      <c r="A502" s="5" t="s">
        <v>1755</v>
      </c>
      <c r="B502" s="6" t="s">
        <v>1756</v>
      </c>
      <c r="C502" s="5" t="n">
        <v>-4.3</v>
      </c>
      <c r="D502" s="5"/>
      <c r="E502" s="5"/>
      <c r="F502" s="5" t="s">
        <v>1749</v>
      </c>
      <c r="G502" s="8" t="s">
        <v>170</v>
      </c>
      <c r="H502" s="6" t="s">
        <v>1737</v>
      </c>
      <c r="I502" s="5"/>
      <c r="J502" s="5" t="s">
        <v>258</v>
      </c>
      <c r="K502" s="6" t="s">
        <v>1750</v>
      </c>
      <c r="L502" s="5" t="s">
        <v>113</v>
      </c>
    </row>
    <row r="503" customFormat="false" ht="79.85" hidden="false" customHeight="false" outlineLevel="0" collapsed="false">
      <c r="A503" s="5" t="s">
        <v>1757</v>
      </c>
      <c r="B503" s="6" t="s">
        <v>1758</v>
      </c>
      <c r="C503" s="5" t="n">
        <v>-21.5</v>
      </c>
      <c r="D503" s="5"/>
      <c r="E503" s="5"/>
      <c r="F503" s="5" t="s">
        <v>119</v>
      </c>
      <c r="G503" s="8" t="s">
        <v>170</v>
      </c>
      <c r="H503" s="6" t="s">
        <v>1759</v>
      </c>
      <c r="I503" s="5"/>
      <c r="J503" s="5" t="s">
        <v>258</v>
      </c>
      <c r="K503" s="6" t="s">
        <v>1760</v>
      </c>
      <c r="L503" s="5" t="s">
        <v>113</v>
      </c>
    </row>
    <row r="504" customFormat="false" ht="79.85" hidden="false" customHeight="false" outlineLevel="0" collapsed="false">
      <c r="A504" s="5" t="s">
        <v>1761</v>
      </c>
      <c r="B504" s="6" t="s">
        <v>1762</v>
      </c>
      <c r="C504" s="5" t="n">
        <v>-6.7</v>
      </c>
      <c r="D504" s="5"/>
      <c r="E504" s="5"/>
      <c r="F504" s="5" t="s">
        <v>119</v>
      </c>
      <c r="G504" s="8" t="s">
        <v>170</v>
      </c>
      <c r="H504" s="6" t="s">
        <v>1759</v>
      </c>
      <c r="I504" s="5"/>
      <c r="J504" s="5" t="s">
        <v>258</v>
      </c>
      <c r="K504" s="6" t="s">
        <v>1760</v>
      </c>
      <c r="L504" s="5" t="s">
        <v>113</v>
      </c>
    </row>
    <row r="505" customFormat="false" ht="79.85" hidden="false" customHeight="false" outlineLevel="0" collapsed="false">
      <c r="A505" s="5" t="s">
        <v>1763</v>
      </c>
      <c r="B505" s="6" t="s">
        <v>1764</v>
      </c>
      <c r="C505" s="5" t="n">
        <v>-17.1</v>
      </c>
      <c r="D505" s="5"/>
      <c r="E505" s="5"/>
      <c r="F505" s="5" t="s">
        <v>119</v>
      </c>
      <c r="G505" s="8" t="s">
        <v>170</v>
      </c>
      <c r="H505" s="6" t="s">
        <v>1759</v>
      </c>
      <c r="I505" s="5"/>
      <c r="J505" s="5" t="s">
        <v>258</v>
      </c>
      <c r="K505" s="6" t="s">
        <v>1760</v>
      </c>
      <c r="L505" s="5" t="s">
        <v>113</v>
      </c>
    </row>
    <row r="506" customFormat="false" ht="79.85" hidden="false" customHeight="false" outlineLevel="0" collapsed="false">
      <c r="A506" s="5" t="s">
        <v>1765</v>
      </c>
      <c r="B506" s="6" t="s">
        <v>1766</v>
      </c>
      <c r="C506" s="5" t="n">
        <v>-9</v>
      </c>
      <c r="D506" s="5"/>
      <c r="E506" s="5"/>
      <c r="F506" s="5" t="s">
        <v>119</v>
      </c>
      <c r="G506" s="8" t="s">
        <v>170</v>
      </c>
      <c r="H506" s="6" t="s">
        <v>1759</v>
      </c>
      <c r="I506" s="5"/>
      <c r="J506" s="5" t="s">
        <v>258</v>
      </c>
      <c r="K506" s="6" t="s">
        <v>1760</v>
      </c>
      <c r="L506" s="5" t="s">
        <v>113</v>
      </c>
    </row>
    <row r="507" customFormat="false" ht="79.85" hidden="false" customHeight="false" outlineLevel="0" collapsed="false">
      <c r="A507" s="5" t="s">
        <v>1767</v>
      </c>
      <c r="B507" s="6" t="s">
        <v>1768</v>
      </c>
      <c r="C507" s="5" t="n">
        <v>-45.3</v>
      </c>
      <c r="D507" s="5"/>
      <c r="E507" s="5"/>
      <c r="F507" s="5" t="s">
        <v>119</v>
      </c>
      <c r="G507" s="8" t="s">
        <v>170</v>
      </c>
      <c r="H507" s="6" t="s">
        <v>1759</v>
      </c>
      <c r="I507" s="5"/>
      <c r="J507" s="5" t="s">
        <v>258</v>
      </c>
      <c r="K507" s="6" t="s">
        <v>1760</v>
      </c>
      <c r="L507" s="5" t="s">
        <v>113</v>
      </c>
    </row>
    <row r="508" customFormat="false" ht="79.85" hidden="false" customHeight="false" outlineLevel="0" collapsed="false">
      <c r="A508" s="5" t="s">
        <v>1769</v>
      </c>
      <c r="B508" s="6" t="s">
        <v>1770</v>
      </c>
      <c r="C508" s="5" t="n">
        <v>3.22</v>
      </c>
      <c r="D508" s="5"/>
      <c r="E508" s="5"/>
      <c r="F508" s="5" t="s">
        <v>840</v>
      </c>
      <c r="G508" s="8" t="s">
        <v>170</v>
      </c>
      <c r="H508" s="6" t="s">
        <v>1759</v>
      </c>
      <c r="I508" s="5"/>
      <c r="J508" s="5" t="s">
        <v>258</v>
      </c>
      <c r="K508" s="6" t="s">
        <v>1760</v>
      </c>
      <c r="L508" s="5" t="s">
        <v>113</v>
      </c>
    </row>
    <row r="509" customFormat="false" ht="79.85" hidden="false" customHeight="false" outlineLevel="0" collapsed="false">
      <c r="A509" s="5" t="s">
        <v>1771</v>
      </c>
      <c r="B509" s="6" t="s">
        <v>1772</v>
      </c>
      <c r="C509" s="5" t="n">
        <v>2.66</v>
      </c>
      <c r="D509" s="5"/>
      <c r="E509" s="5"/>
      <c r="F509" s="5" t="s">
        <v>840</v>
      </c>
      <c r="G509" s="8" t="s">
        <v>170</v>
      </c>
      <c r="H509" s="6" t="s">
        <v>1759</v>
      </c>
      <c r="I509" s="5"/>
      <c r="J509" s="5" t="s">
        <v>258</v>
      </c>
      <c r="K509" s="6" t="s">
        <v>1760</v>
      </c>
      <c r="L509" s="5" t="s">
        <v>113</v>
      </c>
    </row>
    <row r="510" customFormat="false" ht="79.85" hidden="false" customHeight="false" outlineLevel="0" collapsed="false">
      <c r="A510" s="5" t="s">
        <v>1773</v>
      </c>
      <c r="B510" s="6" t="s">
        <v>1774</v>
      </c>
      <c r="C510" s="5" t="n">
        <v>3.36</v>
      </c>
      <c r="D510" s="5"/>
      <c r="E510" s="5"/>
      <c r="F510" s="5" t="s">
        <v>840</v>
      </c>
      <c r="G510" s="8" t="s">
        <v>170</v>
      </c>
      <c r="H510" s="6" t="s">
        <v>1759</v>
      </c>
      <c r="I510" s="5"/>
      <c r="J510" s="5" t="s">
        <v>258</v>
      </c>
      <c r="K510" s="6" t="s">
        <v>1760</v>
      </c>
      <c r="L510" s="5" t="s">
        <v>113</v>
      </c>
    </row>
    <row r="511" customFormat="false" ht="79.85" hidden="false" customHeight="false" outlineLevel="0" collapsed="false">
      <c r="A511" s="5" t="s">
        <v>1775</v>
      </c>
      <c r="B511" s="6" t="s">
        <v>1776</v>
      </c>
      <c r="C511" s="5" t="n">
        <v>1.6</v>
      </c>
      <c r="D511" s="5"/>
      <c r="E511" s="5"/>
      <c r="F511" s="5" t="s">
        <v>840</v>
      </c>
      <c r="G511" s="8" t="s">
        <v>170</v>
      </c>
      <c r="H511" s="6" t="s">
        <v>1759</v>
      </c>
      <c r="I511" s="5"/>
      <c r="J511" s="5" t="s">
        <v>258</v>
      </c>
      <c r="K511" s="6" t="s">
        <v>1760</v>
      </c>
      <c r="L511" s="5" t="s">
        <v>113</v>
      </c>
    </row>
    <row r="512" customFormat="false" ht="79.85" hidden="false" customHeight="false" outlineLevel="0" collapsed="false">
      <c r="A512" s="5" t="s">
        <v>1777</v>
      </c>
      <c r="B512" s="6" t="s">
        <v>1772</v>
      </c>
      <c r="C512" s="5" t="n">
        <v>1.06</v>
      </c>
      <c r="D512" s="5"/>
      <c r="E512" s="5"/>
      <c r="F512" s="5" t="s">
        <v>840</v>
      </c>
      <c r="G512" s="8" t="s">
        <v>170</v>
      </c>
      <c r="H512" s="6" t="s">
        <v>1759</v>
      </c>
      <c r="I512" s="5"/>
      <c r="J512" s="5" t="s">
        <v>258</v>
      </c>
      <c r="K512" s="6" t="s">
        <v>1760</v>
      </c>
      <c r="L512" s="5" t="s">
        <v>113</v>
      </c>
    </row>
    <row r="513" customFormat="false" ht="79.85" hidden="false" customHeight="false" outlineLevel="0" collapsed="false">
      <c r="A513" s="5" t="s">
        <v>1778</v>
      </c>
      <c r="B513" s="6" t="s">
        <v>1774</v>
      </c>
      <c r="C513" s="5" t="n">
        <v>1.84</v>
      </c>
      <c r="D513" s="5"/>
      <c r="E513" s="5"/>
      <c r="F513" s="5" t="s">
        <v>840</v>
      </c>
      <c r="G513" s="8" t="s">
        <v>170</v>
      </c>
      <c r="H513" s="6" t="s">
        <v>1759</v>
      </c>
      <c r="I513" s="5"/>
      <c r="J513" s="5" t="s">
        <v>258</v>
      </c>
      <c r="K513" s="6" t="s">
        <v>1760</v>
      </c>
      <c r="L513" s="5" t="s">
        <v>113</v>
      </c>
    </row>
    <row r="514" customFormat="false" ht="68.65" hidden="false" customHeight="false" outlineLevel="0" collapsed="false">
      <c r="A514" s="5" t="s">
        <v>1779</v>
      </c>
      <c r="B514" s="6" t="s">
        <v>1780</v>
      </c>
      <c r="C514" s="5" t="n">
        <v>10.2</v>
      </c>
      <c r="D514" s="5"/>
      <c r="E514" s="5"/>
      <c r="F514" s="5" t="s">
        <v>119</v>
      </c>
      <c r="G514" s="8" t="s">
        <v>170</v>
      </c>
      <c r="H514" s="6" t="s">
        <v>1781</v>
      </c>
      <c r="I514" s="5"/>
      <c r="J514" s="5" t="s">
        <v>258</v>
      </c>
      <c r="K514" s="6" t="s">
        <v>1782</v>
      </c>
      <c r="L514" s="5" t="s">
        <v>113</v>
      </c>
    </row>
    <row r="515" customFormat="false" ht="68.65" hidden="false" customHeight="false" outlineLevel="0" collapsed="false">
      <c r="A515" s="5" t="s">
        <v>1783</v>
      </c>
      <c r="B515" s="6" t="s">
        <v>1784</v>
      </c>
      <c r="C515" s="5" t="n">
        <v>3.7</v>
      </c>
      <c r="D515" s="5"/>
      <c r="E515" s="5"/>
      <c r="F515" s="5" t="s">
        <v>119</v>
      </c>
      <c r="G515" s="8" t="s">
        <v>170</v>
      </c>
      <c r="H515" s="6" t="s">
        <v>1781</v>
      </c>
      <c r="I515" s="5"/>
      <c r="J515" s="5" t="s">
        <v>258</v>
      </c>
      <c r="K515" s="6" t="s">
        <v>1782</v>
      </c>
      <c r="L515" s="5" t="s">
        <v>113</v>
      </c>
    </row>
    <row r="516" customFormat="false" ht="68.65" hidden="false" customHeight="false" outlineLevel="0" collapsed="false">
      <c r="A516" s="5" t="s">
        <v>1785</v>
      </c>
      <c r="B516" s="6" t="s">
        <v>1786</v>
      </c>
      <c r="C516" s="5" t="n">
        <v>14.5</v>
      </c>
      <c r="D516" s="5"/>
      <c r="E516" s="5"/>
      <c r="F516" s="5" t="s">
        <v>119</v>
      </c>
      <c r="G516" s="8" t="s">
        <v>170</v>
      </c>
      <c r="H516" s="6" t="s">
        <v>1781</v>
      </c>
      <c r="I516" s="5"/>
      <c r="J516" s="5" t="s">
        <v>258</v>
      </c>
      <c r="K516" s="6" t="s">
        <v>1782</v>
      </c>
      <c r="L516" s="5" t="s">
        <v>113</v>
      </c>
    </row>
    <row r="517" customFormat="false" ht="68.65" hidden="false" customHeight="false" outlineLevel="0" collapsed="false">
      <c r="A517" s="5" t="s">
        <v>1787</v>
      </c>
      <c r="B517" s="6" t="s">
        <v>1788</v>
      </c>
      <c r="C517" s="5" t="n">
        <v>13.6</v>
      </c>
      <c r="D517" s="5"/>
      <c r="E517" s="5"/>
      <c r="F517" s="5" t="s">
        <v>119</v>
      </c>
      <c r="G517" s="8" t="s">
        <v>170</v>
      </c>
      <c r="H517" s="6" t="s">
        <v>1781</v>
      </c>
      <c r="I517" s="5"/>
      <c r="J517" s="5" t="s">
        <v>258</v>
      </c>
      <c r="K517" s="6" t="s">
        <v>1782</v>
      </c>
      <c r="L517" s="5" t="s">
        <v>113</v>
      </c>
    </row>
    <row r="518" customFormat="false" ht="57.45" hidden="false" customHeight="false" outlineLevel="0" collapsed="false">
      <c r="A518" s="5" t="s">
        <v>1789</v>
      </c>
      <c r="B518" s="6" t="s">
        <v>1790</v>
      </c>
      <c r="C518" s="5" t="n">
        <v>79</v>
      </c>
      <c r="D518" s="5"/>
      <c r="E518" s="5"/>
      <c r="F518" s="5" t="s">
        <v>119</v>
      </c>
      <c r="G518" s="8" t="s">
        <v>170</v>
      </c>
      <c r="H518" s="6" t="s">
        <v>1791</v>
      </c>
      <c r="I518" s="5"/>
      <c r="J518" s="5" t="s">
        <v>258</v>
      </c>
      <c r="K518" s="6" t="s">
        <v>1792</v>
      </c>
      <c r="L518" s="5" t="s">
        <v>113</v>
      </c>
    </row>
    <row r="519" customFormat="false" ht="57.45" hidden="false" customHeight="false" outlineLevel="0" collapsed="false">
      <c r="A519" s="5" t="s">
        <v>1793</v>
      </c>
      <c r="B519" s="6" t="s">
        <v>1794</v>
      </c>
      <c r="C519" s="5" t="n">
        <v>78</v>
      </c>
      <c r="D519" s="5"/>
      <c r="E519" s="5"/>
      <c r="F519" s="5" t="s">
        <v>119</v>
      </c>
      <c r="G519" s="8" t="s">
        <v>170</v>
      </c>
      <c r="H519" s="6" t="s">
        <v>1791</v>
      </c>
      <c r="I519" s="5"/>
      <c r="J519" s="5" t="s">
        <v>258</v>
      </c>
      <c r="K519" s="6" t="s">
        <v>1792</v>
      </c>
      <c r="L519" s="5" t="s">
        <v>113</v>
      </c>
    </row>
    <row r="520" customFormat="false" ht="57.45" hidden="false" customHeight="false" outlineLevel="0" collapsed="false">
      <c r="A520" s="5" t="s">
        <v>1795</v>
      </c>
      <c r="B520" s="6" t="s">
        <v>1796</v>
      </c>
      <c r="C520" s="5" t="n">
        <v>10.4</v>
      </c>
      <c r="D520" s="5"/>
      <c r="E520" s="5"/>
      <c r="F520" s="5" t="s">
        <v>119</v>
      </c>
      <c r="G520" s="8" t="s">
        <v>170</v>
      </c>
      <c r="H520" s="6" t="s">
        <v>1791</v>
      </c>
      <c r="I520" s="5"/>
      <c r="J520" s="5" t="s">
        <v>258</v>
      </c>
      <c r="K520" s="6" t="s">
        <v>1792</v>
      </c>
      <c r="L520" s="5" t="s">
        <v>113</v>
      </c>
    </row>
    <row r="521" customFormat="false" ht="57.45" hidden="false" customHeight="false" outlineLevel="0" collapsed="false">
      <c r="A521" s="5" t="s">
        <v>1797</v>
      </c>
      <c r="B521" s="6" t="s">
        <v>1794</v>
      </c>
      <c r="C521" s="5" t="n">
        <v>11.2</v>
      </c>
      <c r="D521" s="5"/>
      <c r="E521" s="5"/>
      <c r="F521" s="5" t="s">
        <v>119</v>
      </c>
      <c r="G521" s="8" t="s">
        <v>170</v>
      </c>
      <c r="H521" s="6" t="s">
        <v>1791</v>
      </c>
      <c r="I521" s="5"/>
      <c r="J521" s="5" t="s">
        <v>258</v>
      </c>
      <c r="K521" s="6" t="s">
        <v>1792</v>
      </c>
      <c r="L521" s="5" t="s">
        <v>113</v>
      </c>
    </row>
    <row r="522" customFormat="false" ht="57.45" hidden="false" customHeight="false" outlineLevel="0" collapsed="false">
      <c r="A522" s="5" t="s">
        <v>1798</v>
      </c>
      <c r="B522" s="6" t="s">
        <v>1799</v>
      </c>
      <c r="C522" s="5" t="n">
        <v>-0.9</v>
      </c>
      <c r="D522" s="5"/>
      <c r="E522" s="5"/>
      <c r="F522" s="5" t="s">
        <v>669</v>
      </c>
      <c r="G522" s="8" t="s">
        <v>170</v>
      </c>
      <c r="H522" s="6" t="s">
        <v>1791</v>
      </c>
      <c r="I522" s="5"/>
      <c r="J522" s="5" t="s">
        <v>258</v>
      </c>
      <c r="K522" s="6" t="s">
        <v>1792</v>
      </c>
      <c r="L522" s="5" t="s">
        <v>113</v>
      </c>
    </row>
    <row r="523" customFormat="false" ht="68.65" hidden="false" customHeight="false" outlineLevel="0" collapsed="false">
      <c r="A523" s="5" t="s">
        <v>1800</v>
      </c>
      <c r="B523" s="6" t="s">
        <v>1801</v>
      </c>
      <c r="C523" s="5" t="n">
        <v>79.2</v>
      </c>
      <c r="D523" s="5"/>
      <c r="E523" s="5"/>
      <c r="F523" s="5" t="s">
        <v>119</v>
      </c>
      <c r="G523" s="8" t="s">
        <v>170</v>
      </c>
      <c r="H523" s="6" t="s">
        <v>1802</v>
      </c>
      <c r="I523" s="5"/>
      <c r="J523" s="5" t="s">
        <v>258</v>
      </c>
      <c r="K523" s="6" t="s">
        <v>1803</v>
      </c>
      <c r="L523" s="5" t="s">
        <v>1804</v>
      </c>
    </row>
    <row r="524" customFormat="false" ht="68.65" hidden="false" customHeight="false" outlineLevel="0" collapsed="false">
      <c r="A524" s="5" t="s">
        <v>1805</v>
      </c>
      <c r="B524" s="6" t="s">
        <v>1806</v>
      </c>
      <c r="C524" s="5" t="n">
        <v>70.1</v>
      </c>
      <c r="D524" s="5"/>
      <c r="E524" s="5"/>
      <c r="F524" s="5" t="s">
        <v>119</v>
      </c>
      <c r="G524" s="8" t="s">
        <v>170</v>
      </c>
      <c r="H524" s="6" t="s">
        <v>1802</v>
      </c>
      <c r="I524" s="5"/>
      <c r="J524" s="5" t="s">
        <v>258</v>
      </c>
      <c r="K524" s="6" t="s">
        <v>1803</v>
      </c>
      <c r="L524" s="5" t="s">
        <v>1804</v>
      </c>
    </row>
    <row r="525" customFormat="false" ht="68.65" hidden="false" customHeight="false" outlineLevel="0" collapsed="false">
      <c r="A525" s="5" t="s">
        <v>1807</v>
      </c>
      <c r="B525" s="6" t="s">
        <v>1808</v>
      </c>
      <c r="C525" s="5" t="n">
        <v>79.5</v>
      </c>
      <c r="D525" s="5"/>
      <c r="E525" s="5"/>
      <c r="F525" s="5" t="s">
        <v>119</v>
      </c>
      <c r="G525" s="8" t="s">
        <v>170</v>
      </c>
      <c r="H525" s="6" t="s">
        <v>1802</v>
      </c>
      <c r="I525" s="5"/>
      <c r="J525" s="5" t="s">
        <v>258</v>
      </c>
      <c r="K525" s="6" t="s">
        <v>1803</v>
      </c>
      <c r="L525" s="5" t="s">
        <v>1804</v>
      </c>
    </row>
    <row r="526" customFormat="false" ht="68.65" hidden="false" customHeight="false" outlineLevel="0" collapsed="false">
      <c r="A526" s="5" t="s">
        <v>1809</v>
      </c>
      <c r="B526" s="6" t="s">
        <v>1810</v>
      </c>
      <c r="C526" s="5" t="n">
        <v>7</v>
      </c>
      <c r="D526" s="5"/>
      <c r="E526" s="5"/>
      <c r="F526" s="5" t="s">
        <v>1811</v>
      </c>
      <c r="G526" s="8" t="s">
        <v>170</v>
      </c>
      <c r="H526" s="6" t="s">
        <v>1802</v>
      </c>
      <c r="I526" s="5"/>
      <c r="J526" s="5" t="s">
        <v>258</v>
      </c>
      <c r="K526" s="6" t="s">
        <v>1803</v>
      </c>
      <c r="L526" s="5" t="s">
        <v>1804</v>
      </c>
    </row>
    <row r="527" customFormat="false" ht="68.65" hidden="false" customHeight="false" outlineLevel="0" collapsed="false">
      <c r="A527" s="5" t="s">
        <v>1812</v>
      </c>
      <c r="B527" s="6" t="s">
        <v>1813</v>
      </c>
      <c r="C527" s="5" t="n">
        <v>3</v>
      </c>
      <c r="D527" s="5"/>
      <c r="E527" s="5"/>
      <c r="F527" s="5" t="s">
        <v>1811</v>
      </c>
      <c r="G527" s="8" t="s">
        <v>170</v>
      </c>
      <c r="H527" s="6" t="s">
        <v>1802</v>
      </c>
      <c r="I527" s="5"/>
      <c r="J527" s="5" t="s">
        <v>258</v>
      </c>
      <c r="K527" s="6" t="s">
        <v>1803</v>
      </c>
      <c r="L527" s="5" t="s">
        <v>1804</v>
      </c>
    </row>
    <row r="528" customFormat="false" ht="91" hidden="false" customHeight="false" outlineLevel="0" collapsed="false">
      <c r="A528" s="5" t="s">
        <v>1814</v>
      </c>
      <c r="B528" s="6" t="s">
        <v>1815</v>
      </c>
      <c r="C528" s="5" t="n">
        <v>9803</v>
      </c>
      <c r="D528" s="5"/>
      <c r="E528" s="5"/>
      <c r="F528" s="5" t="s">
        <v>1816</v>
      </c>
      <c r="G528" s="8" t="s">
        <v>170</v>
      </c>
      <c r="H528" s="6" t="s">
        <v>1817</v>
      </c>
      <c r="I528" s="5"/>
      <c r="J528" s="5" t="s">
        <v>258</v>
      </c>
      <c r="K528" s="6" t="s">
        <v>1818</v>
      </c>
      <c r="L528" s="5" t="s">
        <v>1804</v>
      </c>
    </row>
    <row r="529" customFormat="false" ht="91" hidden="false" customHeight="false" outlineLevel="0" collapsed="false">
      <c r="A529" s="5" t="s">
        <v>1819</v>
      </c>
      <c r="B529" s="6" t="s">
        <v>1820</v>
      </c>
      <c r="C529" s="5" t="n">
        <v>196</v>
      </c>
      <c r="D529" s="5"/>
      <c r="E529" s="5"/>
      <c r="F529" s="5" t="s">
        <v>1821</v>
      </c>
      <c r="G529" s="8" t="s">
        <v>170</v>
      </c>
      <c r="H529" s="6" t="s">
        <v>1817</v>
      </c>
      <c r="I529" s="5"/>
      <c r="J529" s="5" t="s">
        <v>258</v>
      </c>
      <c r="K529" s="6" t="s">
        <v>1818</v>
      </c>
      <c r="L529" s="5" t="s">
        <v>1804</v>
      </c>
    </row>
    <row r="530" customFormat="false" ht="91" hidden="false" customHeight="false" outlineLevel="0" collapsed="false">
      <c r="A530" s="5" t="s">
        <v>1822</v>
      </c>
      <c r="B530" s="6" t="s">
        <v>1823</v>
      </c>
      <c r="C530" s="5" t="n">
        <v>584</v>
      </c>
      <c r="D530" s="5"/>
      <c r="E530" s="5"/>
      <c r="F530" s="5" t="s">
        <v>1821</v>
      </c>
      <c r="G530" s="8" t="s">
        <v>170</v>
      </c>
      <c r="H530" s="6" t="s">
        <v>1817</v>
      </c>
      <c r="I530" s="5"/>
      <c r="J530" s="5" t="s">
        <v>258</v>
      </c>
      <c r="K530" s="6" t="s">
        <v>1818</v>
      </c>
      <c r="L530" s="5" t="s">
        <v>1804</v>
      </c>
    </row>
    <row r="531" customFormat="false" ht="91" hidden="false" customHeight="false" outlineLevel="0" collapsed="false">
      <c r="A531" s="5" t="s">
        <v>1824</v>
      </c>
      <c r="B531" s="6" t="s">
        <v>1825</v>
      </c>
      <c r="C531" s="5" t="n">
        <v>1069</v>
      </c>
      <c r="D531" s="5"/>
      <c r="E531" s="5"/>
      <c r="F531" s="5" t="s">
        <v>1821</v>
      </c>
      <c r="G531" s="8" t="s">
        <v>170</v>
      </c>
      <c r="H531" s="6" t="s">
        <v>1817</v>
      </c>
      <c r="I531" s="5"/>
      <c r="J531" s="5" t="s">
        <v>258</v>
      </c>
      <c r="K531" s="6" t="s">
        <v>1818</v>
      </c>
      <c r="L531" s="5" t="s">
        <v>1804</v>
      </c>
    </row>
    <row r="532" customFormat="false" ht="91" hidden="false" customHeight="false" outlineLevel="0" collapsed="false">
      <c r="A532" s="5" t="s">
        <v>1826</v>
      </c>
      <c r="B532" s="6" t="s">
        <v>1827</v>
      </c>
      <c r="C532" s="5" t="n">
        <v>2.8</v>
      </c>
      <c r="D532" s="5"/>
      <c r="E532" s="5"/>
      <c r="F532" s="5" t="s">
        <v>598</v>
      </c>
      <c r="G532" s="8" t="s">
        <v>170</v>
      </c>
      <c r="H532" s="6" t="s">
        <v>1817</v>
      </c>
      <c r="I532" s="5"/>
      <c r="J532" s="5" t="s">
        <v>258</v>
      </c>
      <c r="K532" s="6" t="s">
        <v>1818</v>
      </c>
      <c r="L532" s="5" t="s">
        <v>1804</v>
      </c>
    </row>
    <row r="533" customFormat="false" ht="91" hidden="false" customHeight="false" outlineLevel="0" collapsed="false">
      <c r="A533" s="5" t="s">
        <v>1828</v>
      </c>
      <c r="B533" s="6" t="s">
        <v>1829</v>
      </c>
      <c r="C533" s="5" t="n">
        <v>4.8</v>
      </c>
      <c r="D533" s="5"/>
      <c r="E533" s="5"/>
      <c r="F533" s="5" t="s">
        <v>598</v>
      </c>
      <c r="G533" s="8" t="s">
        <v>170</v>
      </c>
      <c r="H533" s="6" t="s">
        <v>1817</v>
      </c>
      <c r="I533" s="5"/>
      <c r="J533" s="5" t="s">
        <v>258</v>
      </c>
      <c r="K533" s="6" t="s">
        <v>1818</v>
      </c>
      <c r="L533" s="5" t="s">
        <v>1804</v>
      </c>
    </row>
    <row r="534" customFormat="false" ht="91" hidden="false" customHeight="false" outlineLevel="0" collapsed="false">
      <c r="A534" s="5" t="s">
        <v>1830</v>
      </c>
      <c r="B534" s="6" t="s">
        <v>1831</v>
      </c>
      <c r="C534" s="5" t="n">
        <v>6.5</v>
      </c>
      <c r="D534" s="5"/>
      <c r="E534" s="5"/>
      <c r="F534" s="5" t="s">
        <v>598</v>
      </c>
      <c r="G534" s="8" t="s">
        <v>170</v>
      </c>
      <c r="H534" s="6" t="s">
        <v>1817</v>
      </c>
      <c r="I534" s="5"/>
      <c r="J534" s="5" t="s">
        <v>258</v>
      </c>
      <c r="K534" s="6" t="s">
        <v>1818</v>
      </c>
      <c r="L534" s="5" t="s">
        <v>1804</v>
      </c>
    </row>
    <row r="535" customFormat="false" ht="135.8" hidden="false" customHeight="false" outlineLevel="0" collapsed="false">
      <c r="A535" s="5" t="s">
        <v>1832</v>
      </c>
      <c r="B535" s="6" t="s">
        <v>1833</v>
      </c>
      <c r="C535" s="5" t="n">
        <v>8822</v>
      </c>
      <c r="D535" s="5"/>
      <c r="E535" s="5"/>
      <c r="F535" s="5" t="s">
        <v>1816</v>
      </c>
      <c r="G535" s="8" t="s">
        <v>170</v>
      </c>
      <c r="H535" s="6" t="s">
        <v>1817</v>
      </c>
      <c r="I535" s="5"/>
      <c r="J535" s="5" t="s">
        <v>258</v>
      </c>
      <c r="K535" s="6" t="s">
        <v>1834</v>
      </c>
      <c r="L535" s="5" t="s">
        <v>1804</v>
      </c>
    </row>
    <row r="536" customFormat="false" ht="135.8" hidden="false" customHeight="false" outlineLevel="0" collapsed="false">
      <c r="A536" s="5" t="s">
        <v>1835</v>
      </c>
      <c r="B536" s="6" t="s">
        <v>1836</v>
      </c>
      <c r="C536" s="5" t="n">
        <v>15683</v>
      </c>
      <c r="D536" s="5"/>
      <c r="E536" s="5"/>
      <c r="F536" s="5" t="s">
        <v>1816</v>
      </c>
      <c r="G536" s="8" t="s">
        <v>170</v>
      </c>
      <c r="H536" s="6" t="s">
        <v>1817</v>
      </c>
      <c r="I536" s="5"/>
      <c r="J536" s="5" t="s">
        <v>258</v>
      </c>
      <c r="K536" s="6" t="s">
        <v>1834</v>
      </c>
      <c r="L536" s="5" t="s">
        <v>1804</v>
      </c>
    </row>
    <row r="537" customFormat="false" ht="169.4" hidden="false" customHeight="false" outlineLevel="0" collapsed="false">
      <c r="A537" s="5" t="s">
        <v>1837</v>
      </c>
      <c r="B537" s="6" t="s">
        <v>1838</v>
      </c>
      <c r="C537" s="5" t="n">
        <v>2.7</v>
      </c>
      <c r="D537" s="5"/>
      <c r="E537" s="5"/>
      <c r="F537" s="5" t="s">
        <v>119</v>
      </c>
      <c r="G537" s="8" t="s">
        <v>170</v>
      </c>
      <c r="H537" s="6" t="s">
        <v>1817</v>
      </c>
      <c r="I537" s="5"/>
      <c r="J537" s="5" t="s">
        <v>258</v>
      </c>
      <c r="K537" s="6" t="s">
        <v>1839</v>
      </c>
      <c r="L537" s="5" t="s">
        <v>1804</v>
      </c>
    </row>
    <row r="538" customFormat="false" ht="102.2" hidden="false" customHeight="false" outlineLevel="0" collapsed="false">
      <c r="A538" s="5" t="s">
        <v>1840</v>
      </c>
      <c r="B538" s="6" t="s">
        <v>1841</v>
      </c>
      <c r="C538" s="5" t="n">
        <v>11</v>
      </c>
      <c r="D538" s="5"/>
      <c r="E538" s="5"/>
      <c r="F538" s="5" t="s">
        <v>119</v>
      </c>
      <c r="G538" s="8" t="s">
        <v>170</v>
      </c>
      <c r="H538" s="6" t="s">
        <v>1842</v>
      </c>
      <c r="I538" s="5"/>
      <c r="J538" s="5" t="s">
        <v>258</v>
      </c>
      <c r="K538" s="6" t="s">
        <v>1843</v>
      </c>
      <c r="L538" s="5" t="s">
        <v>554</v>
      </c>
    </row>
    <row r="539" customFormat="false" ht="102.2" hidden="false" customHeight="false" outlineLevel="0" collapsed="false">
      <c r="A539" s="5" t="s">
        <v>1844</v>
      </c>
      <c r="B539" s="6" t="s">
        <v>1845</v>
      </c>
      <c r="C539" s="5" t="n">
        <v>20</v>
      </c>
      <c r="D539" s="5"/>
      <c r="E539" s="5"/>
      <c r="F539" s="5" t="s">
        <v>119</v>
      </c>
      <c r="G539" s="8" t="s">
        <v>170</v>
      </c>
      <c r="H539" s="6" t="s">
        <v>1842</v>
      </c>
      <c r="I539" s="5"/>
      <c r="J539" s="5" t="s">
        <v>258</v>
      </c>
      <c r="K539" s="6" t="s">
        <v>1843</v>
      </c>
      <c r="L539" s="5" t="s">
        <v>554</v>
      </c>
    </row>
    <row r="540" customFormat="false" ht="102.2" hidden="false" customHeight="false" outlineLevel="0" collapsed="false">
      <c r="A540" s="5" t="s">
        <v>1846</v>
      </c>
      <c r="B540" s="6" t="s">
        <v>1847</v>
      </c>
      <c r="C540" s="5" t="n">
        <v>140</v>
      </c>
      <c r="D540" s="5"/>
      <c r="E540" s="5"/>
      <c r="F540" s="5" t="s">
        <v>119</v>
      </c>
      <c r="G540" s="8" t="s">
        <v>170</v>
      </c>
      <c r="H540" s="6" t="s">
        <v>1842</v>
      </c>
      <c r="I540" s="5"/>
      <c r="J540" s="5" t="s">
        <v>258</v>
      </c>
      <c r="K540" s="6" t="s">
        <v>1848</v>
      </c>
      <c r="L540" s="5" t="s">
        <v>554</v>
      </c>
    </row>
    <row r="541" customFormat="false" ht="91" hidden="false" customHeight="false" outlineLevel="0" collapsed="false">
      <c r="A541" s="5" t="s">
        <v>1849</v>
      </c>
      <c r="B541" s="6" t="s">
        <v>1850</v>
      </c>
      <c r="C541" s="5" t="n">
        <v>142</v>
      </c>
      <c r="D541" s="5"/>
      <c r="E541" s="5"/>
      <c r="F541" s="5" t="s">
        <v>119</v>
      </c>
      <c r="G541" s="8" t="s">
        <v>170</v>
      </c>
      <c r="H541" s="6" t="s">
        <v>1842</v>
      </c>
      <c r="I541" s="5"/>
      <c r="J541" s="5" t="s">
        <v>258</v>
      </c>
      <c r="K541" s="6" t="s">
        <v>1851</v>
      </c>
      <c r="L541" s="5" t="s">
        <v>554</v>
      </c>
    </row>
    <row r="542" customFormat="false" ht="124.6" hidden="false" customHeight="false" outlineLevel="0" collapsed="false">
      <c r="A542" s="5" t="s">
        <v>1852</v>
      </c>
      <c r="B542" s="6" t="s">
        <v>1853</v>
      </c>
      <c r="C542" s="5" t="n">
        <v>3</v>
      </c>
      <c r="D542" s="5"/>
      <c r="E542" s="5"/>
      <c r="F542" s="5" t="s">
        <v>1684</v>
      </c>
      <c r="G542" s="8" t="s">
        <v>170</v>
      </c>
      <c r="H542" s="6" t="s">
        <v>1842</v>
      </c>
      <c r="I542" s="5"/>
      <c r="J542" s="5" t="s">
        <v>258</v>
      </c>
      <c r="K542" s="6" t="s">
        <v>1854</v>
      </c>
      <c r="L542" s="5" t="s">
        <v>554</v>
      </c>
    </row>
    <row r="543" customFormat="false" ht="46.25" hidden="false" customHeight="false" outlineLevel="0" collapsed="false">
      <c r="A543" s="5" t="s">
        <v>1855</v>
      </c>
      <c r="B543" s="6" t="s">
        <v>1856</v>
      </c>
      <c r="C543" s="5" t="n">
        <v>0.05</v>
      </c>
      <c r="D543" s="5"/>
      <c r="E543" s="5"/>
      <c r="F543" s="5" t="s">
        <v>1857</v>
      </c>
      <c r="G543" s="7" t="s">
        <v>42</v>
      </c>
      <c r="H543" s="6" t="s">
        <v>1858</v>
      </c>
      <c r="I543" s="5" t="s">
        <v>1859</v>
      </c>
      <c r="J543" s="5" t="s">
        <v>1860</v>
      </c>
      <c r="K543" s="6" t="s">
        <v>1861</v>
      </c>
      <c r="L543" s="5" t="s">
        <v>1804</v>
      </c>
    </row>
    <row r="544" customFormat="false" ht="57.45" hidden="false" customHeight="false" outlineLevel="0" collapsed="false">
      <c r="A544" s="5" t="s">
        <v>1862</v>
      </c>
      <c r="B544" s="6" t="s">
        <v>1863</v>
      </c>
      <c r="C544" s="5" t="n">
        <v>0.15</v>
      </c>
      <c r="D544" s="5"/>
      <c r="E544" s="5"/>
      <c r="F544" s="5" t="s">
        <v>1857</v>
      </c>
      <c r="G544" s="7" t="s">
        <v>42</v>
      </c>
      <c r="H544" s="6" t="s">
        <v>1864</v>
      </c>
      <c r="I544" s="5" t="s">
        <v>1865</v>
      </c>
      <c r="J544" s="5" t="s">
        <v>1866</v>
      </c>
      <c r="K544" s="6" t="s">
        <v>1867</v>
      </c>
      <c r="L544" s="5" t="s">
        <v>1804</v>
      </c>
    </row>
    <row r="545" customFormat="false" ht="23.85" hidden="false" customHeight="false" outlineLevel="0" collapsed="false">
      <c r="A545" s="5" t="s">
        <v>1868</v>
      </c>
      <c r="B545" s="6" t="s">
        <v>1869</v>
      </c>
      <c r="C545" s="5" t="n">
        <v>0.31</v>
      </c>
      <c r="D545" s="5"/>
      <c r="E545" s="5"/>
      <c r="F545" s="5" t="s">
        <v>1857</v>
      </c>
      <c r="G545" s="7" t="s">
        <v>42</v>
      </c>
      <c r="H545" s="6" t="s">
        <v>1870</v>
      </c>
      <c r="I545" s="5" t="s">
        <v>1865</v>
      </c>
      <c r="J545" s="5" t="s">
        <v>1866</v>
      </c>
      <c r="K545" s="6" t="s">
        <v>1871</v>
      </c>
      <c r="L545" s="5" t="s">
        <v>1804</v>
      </c>
    </row>
    <row r="546" customFormat="false" ht="102.2" hidden="false" customHeight="false" outlineLevel="0" collapsed="false">
      <c r="A546" s="5" t="s">
        <v>1872</v>
      </c>
      <c r="B546" s="6" t="s">
        <v>1873</v>
      </c>
      <c r="C546" s="5" t="n">
        <v>-0.21</v>
      </c>
      <c r="D546" s="5"/>
      <c r="E546" s="5"/>
      <c r="F546" s="5" t="s">
        <v>598</v>
      </c>
      <c r="G546" s="8" t="s">
        <v>170</v>
      </c>
      <c r="H546" s="6" t="s">
        <v>1874</v>
      </c>
      <c r="I546" s="5"/>
      <c r="J546" s="5" t="s">
        <v>258</v>
      </c>
      <c r="K546" s="6" t="s">
        <v>1875</v>
      </c>
      <c r="L546" s="5" t="s">
        <v>1804</v>
      </c>
    </row>
    <row r="547" customFormat="false" ht="102.2" hidden="false" customHeight="false" outlineLevel="0" collapsed="false">
      <c r="A547" s="5" t="s">
        <v>1876</v>
      </c>
      <c r="B547" s="6" t="s">
        <v>1877</v>
      </c>
      <c r="C547" s="5" t="n">
        <v>0.29</v>
      </c>
      <c r="D547" s="5"/>
      <c r="E547" s="5"/>
      <c r="F547" s="5" t="s">
        <v>598</v>
      </c>
      <c r="G547" s="8" t="s">
        <v>170</v>
      </c>
      <c r="H547" s="6" t="s">
        <v>1874</v>
      </c>
      <c r="I547" s="5"/>
      <c r="J547" s="5" t="s">
        <v>258</v>
      </c>
      <c r="K547" s="6" t="s">
        <v>1875</v>
      </c>
      <c r="L547" s="5" t="s">
        <v>1804</v>
      </c>
    </row>
    <row r="548" customFormat="false" ht="102.2" hidden="false" customHeight="false" outlineLevel="0" collapsed="false">
      <c r="A548" s="5" t="s">
        <v>1878</v>
      </c>
      <c r="B548" s="6" t="s">
        <v>1740</v>
      </c>
      <c r="C548" s="5" t="n">
        <v>-0.24</v>
      </c>
      <c r="D548" s="5"/>
      <c r="E548" s="5"/>
      <c r="F548" s="5" t="s">
        <v>598</v>
      </c>
      <c r="G548" s="8" t="s">
        <v>170</v>
      </c>
      <c r="H548" s="6" t="s">
        <v>1874</v>
      </c>
      <c r="I548" s="5"/>
      <c r="J548" s="5" t="s">
        <v>258</v>
      </c>
      <c r="K548" s="6" t="s">
        <v>1875</v>
      </c>
      <c r="L548" s="5" t="s">
        <v>1804</v>
      </c>
    </row>
    <row r="549" customFormat="false" ht="102.2" hidden="false" customHeight="false" outlineLevel="0" collapsed="false">
      <c r="A549" s="5" t="s">
        <v>1879</v>
      </c>
      <c r="B549" s="6" t="s">
        <v>1742</v>
      </c>
      <c r="C549" s="5" t="n">
        <v>0.84</v>
      </c>
      <c r="D549" s="5"/>
      <c r="E549" s="5"/>
      <c r="F549" s="5" t="s">
        <v>598</v>
      </c>
      <c r="G549" s="8" t="s">
        <v>170</v>
      </c>
      <c r="H549" s="6" t="s">
        <v>1874</v>
      </c>
      <c r="I549" s="5"/>
      <c r="J549" s="5" t="s">
        <v>258</v>
      </c>
      <c r="K549" s="6" t="s">
        <v>1875</v>
      </c>
      <c r="L549" s="5" t="s">
        <v>1804</v>
      </c>
    </row>
    <row r="550" customFormat="false" ht="102.2" hidden="false" customHeight="false" outlineLevel="0" collapsed="false">
      <c r="A550" s="5" t="s">
        <v>1880</v>
      </c>
      <c r="B550" s="6" t="s">
        <v>1881</v>
      </c>
      <c r="C550" s="5" t="n">
        <v>0.01</v>
      </c>
      <c r="D550" s="5"/>
      <c r="E550" s="5"/>
      <c r="F550" s="5" t="s">
        <v>598</v>
      </c>
      <c r="G550" s="8" t="s">
        <v>170</v>
      </c>
      <c r="H550" s="6" t="s">
        <v>1874</v>
      </c>
      <c r="I550" s="5"/>
      <c r="J550" s="5" t="s">
        <v>258</v>
      </c>
      <c r="K550" s="6" t="s">
        <v>1875</v>
      </c>
      <c r="L550" s="5" t="s">
        <v>1804</v>
      </c>
    </row>
    <row r="551" customFormat="false" ht="102.2" hidden="false" customHeight="false" outlineLevel="0" collapsed="false">
      <c r="A551" s="5" t="s">
        <v>1882</v>
      </c>
      <c r="B551" s="6" t="s">
        <v>1883</v>
      </c>
      <c r="C551" s="5" t="n">
        <v>0.498</v>
      </c>
      <c r="D551" s="5"/>
      <c r="E551" s="5"/>
      <c r="F551" s="5" t="s">
        <v>940</v>
      </c>
      <c r="G551" s="8" t="s">
        <v>170</v>
      </c>
      <c r="H551" s="6" t="s">
        <v>1874</v>
      </c>
      <c r="I551" s="5"/>
      <c r="J551" s="5" t="s">
        <v>258</v>
      </c>
      <c r="K551" s="6" t="s">
        <v>1875</v>
      </c>
      <c r="L551" s="5" t="s">
        <v>1804</v>
      </c>
    </row>
    <row r="552" customFormat="false" ht="102.2" hidden="false" customHeight="false" outlineLevel="0" collapsed="false">
      <c r="A552" s="5" t="s">
        <v>1884</v>
      </c>
      <c r="B552" s="6" t="s">
        <v>1885</v>
      </c>
      <c r="C552" s="5" t="n">
        <v>0.51</v>
      </c>
      <c r="D552" s="5"/>
      <c r="E552" s="5"/>
      <c r="F552" s="5" t="s">
        <v>940</v>
      </c>
      <c r="G552" s="8" t="s">
        <v>170</v>
      </c>
      <c r="H552" s="6" t="s">
        <v>1874</v>
      </c>
      <c r="I552" s="5"/>
      <c r="J552" s="5" t="s">
        <v>258</v>
      </c>
      <c r="K552" s="6" t="s">
        <v>1875</v>
      </c>
      <c r="L552" s="5" t="s">
        <v>1804</v>
      </c>
    </row>
    <row r="553" customFormat="false" ht="102.2" hidden="false" customHeight="false" outlineLevel="0" collapsed="false">
      <c r="A553" s="5" t="s">
        <v>1886</v>
      </c>
      <c r="B553" s="6" t="s">
        <v>1887</v>
      </c>
      <c r="C553" s="5" t="n">
        <v>0.556</v>
      </c>
      <c r="D553" s="5"/>
      <c r="E553" s="5"/>
      <c r="F553" s="5" t="s">
        <v>940</v>
      </c>
      <c r="G553" s="8" t="s">
        <v>170</v>
      </c>
      <c r="H553" s="6" t="s">
        <v>1874</v>
      </c>
      <c r="I553" s="5"/>
      <c r="J553" s="5" t="s">
        <v>258</v>
      </c>
      <c r="K553" s="6" t="s">
        <v>1875</v>
      </c>
      <c r="L553" s="5" t="s">
        <v>1804</v>
      </c>
    </row>
    <row r="554" customFormat="false" ht="124.6" hidden="false" customHeight="false" outlineLevel="0" collapsed="false">
      <c r="A554" s="5" t="s">
        <v>1888</v>
      </c>
      <c r="B554" s="6" t="s">
        <v>1889</v>
      </c>
      <c r="C554" s="5" t="n">
        <v>1.84</v>
      </c>
      <c r="D554" s="5"/>
      <c r="E554" s="5"/>
      <c r="F554" s="5" t="s">
        <v>916</v>
      </c>
      <c r="G554" s="8" t="s">
        <v>170</v>
      </c>
      <c r="H554" s="6" t="s">
        <v>1890</v>
      </c>
      <c r="I554" s="5"/>
      <c r="J554" s="5" t="s">
        <v>258</v>
      </c>
      <c r="K554" s="6" t="s">
        <v>1891</v>
      </c>
      <c r="L554" s="5" t="s">
        <v>1892</v>
      </c>
    </row>
    <row r="555" customFormat="false" ht="68.65" hidden="false" customHeight="false" outlineLevel="0" collapsed="false">
      <c r="A555" s="5" t="s">
        <v>1893</v>
      </c>
      <c r="B555" s="6" t="s">
        <v>1894</v>
      </c>
      <c r="C555" s="5" t="n">
        <v>1.91</v>
      </c>
      <c r="D555" s="5"/>
      <c r="E555" s="5"/>
      <c r="F555" s="5" t="s">
        <v>916</v>
      </c>
      <c r="G555" s="8" t="s">
        <v>170</v>
      </c>
      <c r="H555" s="6" t="s">
        <v>1890</v>
      </c>
      <c r="I555" s="5"/>
      <c r="J555" s="5" t="s">
        <v>258</v>
      </c>
      <c r="K555" s="6" t="s">
        <v>1895</v>
      </c>
      <c r="L555" s="5" t="s">
        <v>1892</v>
      </c>
    </row>
    <row r="556" customFormat="false" ht="124.6" hidden="false" customHeight="false" outlineLevel="0" collapsed="false">
      <c r="A556" s="5" t="s">
        <v>1896</v>
      </c>
      <c r="B556" s="6" t="s">
        <v>1897</v>
      </c>
      <c r="C556" s="5" t="n">
        <v>0.882</v>
      </c>
      <c r="D556" s="5"/>
      <c r="E556" s="5"/>
      <c r="F556" s="5" t="s">
        <v>1898</v>
      </c>
      <c r="G556" s="8" t="s">
        <v>170</v>
      </c>
      <c r="H556" s="6" t="s">
        <v>1890</v>
      </c>
      <c r="I556" s="5"/>
      <c r="J556" s="5" t="s">
        <v>258</v>
      </c>
      <c r="K556" s="6" t="s">
        <v>1891</v>
      </c>
      <c r="L556" s="5" t="s">
        <v>1892</v>
      </c>
    </row>
    <row r="557" customFormat="false" ht="68.65" hidden="false" customHeight="false" outlineLevel="0" collapsed="false">
      <c r="A557" s="5" t="s">
        <v>1899</v>
      </c>
      <c r="B557" s="6" t="s">
        <v>1900</v>
      </c>
      <c r="C557" s="5" t="n">
        <v>0.93</v>
      </c>
      <c r="D557" s="5"/>
      <c r="E557" s="5"/>
      <c r="F557" s="5" t="s">
        <v>1898</v>
      </c>
      <c r="G557" s="8" t="s">
        <v>170</v>
      </c>
      <c r="H557" s="6" t="s">
        <v>1890</v>
      </c>
      <c r="I557" s="5"/>
      <c r="J557" s="5" t="s">
        <v>258</v>
      </c>
      <c r="K557" s="6" t="s">
        <v>1895</v>
      </c>
      <c r="L557" s="5" t="s">
        <v>1892</v>
      </c>
    </row>
    <row r="558" customFormat="false" ht="135.8" hidden="false" customHeight="false" outlineLevel="0" collapsed="false">
      <c r="A558" s="5" t="s">
        <v>1901</v>
      </c>
      <c r="B558" s="6" t="s">
        <v>1902</v>
      </c>
      <c r="C558" s="5" t="n">
        <v>1.1</v>
      </c>
      <c r="D558" s="5"/>
      <c r="E558" s="5"/>
      <c r="F558" s="5" t="s">
        <v>1903</v>
      </c>
      <c r="G558" s="8" t="s">
        <v>170</v>
      </c>
      <c r="H558" s="6" t="s">
        <v>1890</v>
      </c>
      <c r="I558" s="5"/>
      <c r="J558" s="5" t="s">
        <v>258</v>
      </c>
      <c r="K558" s="6" t="s">
        <v>1904</v>
      </c>
      <c r="L558" s="5" t="s">
        <v>1892</v>
      </c>
    </row>
    <row r="559" customFormat="false" ht="147" hidden="false" customHeight="false" outlineLevel="0" collapsed="false">
      <c r="A559" s="5" t="s">
        <v>1905</v>
      </c>
      <c r="B559" s="6" t="s">
        <v>1906</v>
      </c>
      <c r="C559" s="5" t="n">
        <v>1.73</v>
      </c>
      <c r="D559" s="5"/>
      <c r="E559" s="5"/>
      <c r="F559" s="5" t="s">
        <v>916</v>
      </c>
      <c r="G559" s="8" t="s">
        <v>170</v>
      </c>
      <c r="H559" s="6" t="s">
        <v>1890</v>
      </c>
      <c r="I559" s="5"/>
      <c r="J559" s="5" t="s">
        <v>258</v>
      </c>
      <c r="K559" s="6" t="s">
        <v>1907</v>
      </c>
      <c r="L559" s="5" t="s">
        <v>1892</v>
      </c>
    </row>
    <row r="560" customFormat="false" ht="124.6" hidden="false" customHeight="false" outlineLevel="0" collapsed="false">
      <c r="A560" s="5" t="s">
        <v>1908</v>
      </c>
      <c r="B560" s="6" t="s">
        <v>1909</v>
      </c>
      <c r="C560" s="5" t="n">
        <v>6.1</v>
      </c>
      <c r="D560" s="5"/>
      <c r="E560" s="5"/>
      <c r="F560" s="5" t="s">
        <v>119</v>
      </c>
      <c r="G560" s="8" t="s">
        <v>170</v>
      </c>
      <c r="H560" s="6" t="s">
        <v>1890</v>
      </c>
      <c r="I560" s="5"/>
      <c r="J560" s="5" t="s">
        <v>258</v>
      </c>
      <c r="K560" s="6" t="s">
        <v>1891</v>
      </c>
      <c r="L560" s="5" t="s">
        <v>1892</v>
      </c>
    </row>
    <row r="561" customFormat="false" ht="135.8" hidden="false" customHeight="false" outlineLevel="0" collapsed="false">
      <c r="A561" s="5" t="s">
        <v>1910</v>
      </c>
      <c r="B561" s="6" t="s">
        <v>1911</v>
      </c>
      <c r="C561" s="5" t="n">
        <v>1.55</v>
      </c>
      <c r="D561" s="5"/>
      <c r="E561" s="5"/>
      <c r="F561" s="5" t="s">
        <v>916</v>
      </c>
      <c r="G561" s="8" t="s">
        <v>170</v>
      </c>
      <c r="H561" s="6" t="s">
        <v>1890</v>
      </c>
      <c r="I561" s="5"/>
      <c r="J561" s="5" t="s">
        <v>258</v>
      </c>
      <c r="K561" s="6" t="s">
        <v>1912</v>
      </c>
      <c r="L561" s="5" t="s">
        <v>1892</v>
      </c>
    </row>
    <row r="562" customFormat="false" ht="147" hidden="false" customHeight="false" outlineLevel="0" collapsed="false">
      <c r="A562" s="5" t="s">
        <v>1913</v>
      </c>
      <c r="B562" s="6" t="s">
        <v>1914</v>
      </c>
      <c r="C562" s="5" t="n">
        <v>2.16</v>
      </c>
      <c r="D562" s="5"/>
      <c r="E562" s="5"/>
      <c r="F562" s="5" t="s">
        <v>916</v>
      </c>
      <c r="G562" s="8" t="s">
        <v>170</v>
      </c>
      <c r="H562" s="6" t="s">
        <v>1890</v>
      </c>
      <c r="I562" s="5"/>
      <c r="J562" s="5" t="s">
        <v>258</v>
      </c>
      <c r="K562" s="6" t="s">
        <v>1915</v>
      </c>
      <c r="L562" s="5" t="s">
        <v>1892</v>
      </c>
    </row>
    <row r="563" customFormat="false" ht="147" hidden="false" customHeight="false" outlineLevel="0" collapsed="false">
      <c r="A563" s="5" t="s">
        <v>1916</v>
      </c>
      <c r="B563" s="6" t="s">
        <v>1917</v>
      </c>
      <c r="C563" s="5" t="n">
        <v>1.24</v>
      </c>
      <c r="D563" s="5"/>
      <c r="E563" s="5"/>
      <c r="F563" s="5" t="s">
        <v>916</v>
      </c>
      <c r="G563" s="8" t="s">
        <v>170</v>
      </c>
      <c r="H563" s="6" t="s">
        <v>1890</v>
      </c>
      <c r="I563" s="5"/>
      <c r="J563" s="5" t="s">
        <v>258</v>
      </c>
      <c r="K563" s="6" t="s">
        <v>1915</v>
      </c>
      <c r="L563" s="5" t="s">
        <v>1892</v>
      </c>
    </row>
    <row r="564" customFormat="false" ht="147" hidden="false" customHeight="false" outlineLevel="0" collapsed="false">
      <c r="A564" s="5" t="s">
        <v>1918</v>
      </c>
      <c r="B564" s="6" t="s">
        <v>1919</v>
      </c>
      <c r="C564" s="5" t="n">
        <v>31.3</v>
      </c>
      <c r="D564" s="5"/>
      <c r="E564" s="5"/>
      <c r="F564" s="5" t="s">
        <v>119</v>
      </c>
      <c r="G564" s="8" t="s">
        <v>170</v>
      </c>
      <c r="H564" s="6" t="s">
        <v>1890</v>
      </c>
      <c r="I564" s="5"/>
      <c r="J564" s="5" t="s">
        <v>258</v>
      </c>
      <c r="K564" s="6" t="s">
        <v>1915</v>
      </c>
      <c r="L564" s="5" t="s">
        <v>1892</v>
      </c>
    </row>
    <row r="565" customFormat="false" ht="46.25" hidden="false" customHeight="false" outlineLevel="0" collapsed="false">
      <c r="A565" s="5" t="s">
        <v>1920</v>
      </c>
      <c r="B565" s="6" t="s">
        <v>1921</v>
      </c>
      <c r="C565" s="5" t="n">
        <v>88.4</v>
      </c>
      <c r="D565" s="5"/>
      <c r="E565" s="5"/>
      <c r="F565" s="5" t="s">
        <v>119</v>
      </c>
      <c r="G565" s="8" t="s">
        <v>170</v>
      </c>
      <c r="H565" s="6" t="s">
        <v>1922</v>
      </c>
      <c r="I565" s="5"/>
      <c r="J565" s="5" t="s">
        <v>258</v>
      </c>
      <c r="K565" s="6" t="s">
        <v>1923</v>
      </c>
      <c r="L565" s="5" t="s">
        <v>1892</v>
      </c>
    </row>
    <row r="566" customFormat="false" ht="57.45" hidden="false" customHeight="false" outlineLevel="0" collapsed="false">
      <c r="A566" s="5" t="s">
        <v>1924</v>
      </c>
      <c r="B566" s="6" t="s">
        <v>1925</v>
      </c>
      <c r="C566" s="5" t="n">
        <v>0.31</v>
      </c>
      <c r="D566" s="5"/>
      <c r="E566" s="5"/>
      <c r="F566" s="5" t="s">
        <v>119</v>
      </c>
      <c r="G566" s="8" t="s">
        <v>170</v>
      </c>
      <c r="H566" s="6" t="s">
        <v>1922</v>
      </c>
      <c r="I566" s="5"/>
      <c r="J566" s="5" t="s">
        <v>258</v>
      </c>
      <c r="K566" s="6" t="s">
        <v>1926</v>
      </c>
      <c r="L566" s="5" t="s">
        <v>1892</v>
      </c>
    </row>
    <row r="567" customFormat="false" ht="57.45" hidden="false" customHeight="false" outlineLevel="0" collapsed="false">
      <c r="A567" s="5" t="s">
        <v>1927</v>
      </c>
      <c r="B567" s="6" t="s">
        <v>1928</v>
      </c>
      <c r="C567" s="5" t="n">
        <v>18620</v>
      </c>
      <c r="D567" s="5"/>
      <c r="E567" s="5"/>
      <c r="F567" s="5" t="s">
        <v>602</v>
      </c>
      <c r="G567" s="7" t="s">
        <v>42</v>
      </c>
      <c r="H567" s="6" t="s">
        <v>1929</v>
      </c>
      <c r="I567" s="5" t="s">
        <v>1930</v>
      </c>
      <c r="J567" s="5" t="s">
        <v>1559</v>
      </c>
      <c r="K567" s="6" t="s">
        <v>1931</v>
      </c>
      <c r="L567" s="5" t="s">
        <v>1932</v>
      </c>
    </row>
    <row r="568" customFormat="false" ht="57.45" hidden="false" customHeight="false" outlineLevel="0" collapsed="false">
      <c r="A568" s="5" t="s">
        <v>1933</v>
      </c>
      <c r="B568" s="6" t="s">
        <v>1934</v>
      </c>
      <c r="C568" s="5" t="n">
        <v>29</v>
      </c>
      <c r="D568" s="5"/>
      <c r="E568" s="5"/>
      <c r="F568" s="5" t="s">
        <v>119</v>
      </c>
      <c r="G568" s="7" t="s">
        <v>42</v>
      </c>
      <c r="H568" s="6" t="s">
        <v>1935</v>
      </c>
      <c r="I568" s="5" t="s">
        <v>1930</v>
      </c>
      <c r="J568" s="5" t="s">
        <v>1559</v>
      </c>
      <c r="K568" s="6" t="s">
        <v>1931</v>
      </c>
      <c r="L568" s="5" t="s">
        <v>1932</v>
      </c>
    </row>
    <row r="569" customFormat="false" ht="46.25" hidden="false" customHeight="false" outlineLevel="0" collapsed="false">
      <c r="A569" s="5" t="s">
        <v>1936</v>
      </c>
      <c r="B569" s="6" t="s">
        <v>1937</v>
      </c>
      <c r="C569" s="5" t="n">
        <v>6030874</v>
      </c>
      <c r="D569" s="5"/>
      <c r="E569" s="5"/>
      <c r="F569" s="5" t="s">
        <v>844</v>
      </c>
      <c r="G569" s="7" t="s">
        <v>42</v>
      </c>
      <c r="H569" s="6" t="s">
        <v>1938</v>
      </c>
      <c r="I569" s="5" t="s">
        <v>1939</v>
      </c>
      <c r="J569" s="5" t="s">
        <v>1559</v>
      </c>
      <c r="K569" s="6" t="s">
        <v>1940</v>
      </c>
      <c r="L569" s="5" t="s">
        <v>1932</v>
      </c>
    </row>
    <row r="570" customFormat="false" ht="46.25" hidden="false" customHeight="false" outlineLevel="0" collapsed="false">
      <c r="A570" s="5" t="s">
        <v>1941</v>
      </c>
      <c r="B570" s="6" t="s">
        <v>1942</v>
      </c>
      <c r="C570" s="5" t="n">
        <v>10.2</v>
      </c>
      <c r="D570" s="5"/>
      <c r="E570" s="5"/>
      <c r="F570" s="5" t="s">
        <v>833</v>
      </c>
      <c r="G570" s="7" t="s">
        <v>42</v>
      </c>
      <c r="H570" s="6" t="s">
        <v>1943</v>
      </c>
      <c r="I570" s="5" t="s">
        <v>1939</v>
      </c>
      <c r="J570" s="5" t="s">
        <v>1559</v>
      </c>
      <c r="K570" s="6" t="s">
        <v>1940</v>
      </c>
      <c r="L570" s="5" t="s">
        <v>1932</v>
      </c>
    </row>
    <row r="571" customFormat="false" ht="46.25" hidden="false" customHeight="false" outlineLevel="0" collapsed="false">
      <c r="A571" s="5" t="s">
        <v>1944</v>
      </c>
      <c r="B571" s="6" t="s">
        <v>1945</v>
      </c>
      <c r="C571" s="5" t="n">
        <v>466752</v>
      </c>
      <c r="D571" s="5"/>
      <c r="E571" s="5"/>
      <c r="F571" s="5" t="s">
        <v>844</v>
      </c>
      <c r="G571" s="7" t="s">
        <v>42</v>
      </c>
      <c r="H571" s="6" t="s">
        <v>1946</v>
      </c>
      <c r="I571" s="5" t="s">
        <v>1939</v>
      </c>
      <c r="J571" s="5" t="s">
        <v>1559</v>
      </c>
      <c r="K571" s="6" t="s">
        <v>1940</v>
      </c>
      <c r="L571" s="5" t="s">
        <v>1932</v>
      </c>
    </row>
    <row r="572" customFormat="false" ht="46.25" hidden="false" customHeight="false" outlineLevel="0" collapsed="false">
      <c r="A572" s="5" t="s">
        <v>1947</v>
      </c>
      <c r="B572" s="6" t="s">
        <v>1948</v>
      </c>
      <c r="C572" s="5" t="n">
        <v>506166</v>
      </c>
      <c r="D572" s="5"/>
      <c r="E572" s="5"/>
      <c r="F572" s="5" t="s">
        <v>844</v>
      </c>
      <c r="G572" s="7" t="s">
        <v>42</v>
      </c>
      <c r="H572" s="6" t="s">
        <v>1946</v>
      </c>
      <c r="I572" s="5" t="s">
        <v>1939</v>
      </c>
      <c r="J572" s="5" t="s">
        <v>1559</v>
      </c>
      <c r="K572" s="6" t="s">
        <v>1940</v>
      </c>
      <c r="L572" s="5" t="s">
        <v>1932</v>
      </c>
    </row>
    <row r="573" customFormat="false" ht="46.25" hidden="false" customHeight="false" outlineLevel="0" collapsed="false">
      <c r="A573" s="5" t="s">
        <v>1949</v>
      </c>
      <c r="B573" s="6" t="s">
        <v>1950</v>
      </c>
      <c r="C573" s="5" t="n">
        <v>635568</v>
      </c>
      <c r="D573" s="5"/>
      <c r="E573" s="5"/>
      <c r="F573" s="5" t="s">
        <v>844</v>
      </c>
      <c r="G573" s="7" t="s">
        <v>42</v>
      </c>
      <c r="H573" s="6" t="s">
        <v>1946</v>
      </c>
      <c r="I573" s="5" t="s">
        <v>1939</v>
      </c>
      <c r="J573" s="5" t="s">
        <v>1559</v>
      </c>
      <c r="K573" s="6" t="s">
        <v>1940</v>
      </c>
      <c r="L573" s="5" t="s">
        <v>1932</v>
      </c>
    </row>
    <row r="574" customFormat="false" ht="46.25" hidden="false" customHeight="false" outlineLevel="0" collapsed="false">
      <c r="A574" s="5" t="s">
        <v>1951</v>
      </c>
      <c r="B574" s="6" t="s">
        <v>1952</v>
      </c>
      <c r="C574" s="5" t="n">
        <v>551135</v>
      </c>
      <c r="D574" s="5"/>
      <c r="E574" s="5"/>
      <c r="F574" s="5" t="s">
        <v>844</v>
      </c>
      <c r="G574" s="7" t="s">
        <v>42</v>
      </c>
      <c r="H574" s="6" t="s">
        <v>1946</v>
      </c>
      <c r="I574" s="5" t="s">
        <v>1939</v>
      </c>
      <c r="J574" s="5" t="s">
        <v>1559</v>
      </c>
      <c r="K574" s="6" t="s">
        <v>1940</v>
      </c>
      <c r="L574" s="5" t="s">
        <v>1932</v>
      </c>
    </row>
    <row r="575" customFormat="false" ht="46.25" hidden="false" customHeight="false" outlineLevel="0" collapsed="false">
      <c r="A575" s="5" t="s">
        <v>1953</v>
      </c>
      <c r="B575" s="6" t="s">
        <v>1954</v>
      </c>
      <c r="C575" s="5" t="n">
        <v>1260287</v>
      </c>
      <c r="D575" s="5"/>
      <c r="E575" s="5"/>
      <c r="F575" s="5" t="s">
        <v>844</v>
      </c>
      <c r="G575" s="7" t="s">
        <v>42</v>
      </c>
      <c r="H575" s="6" t="s">
        <v>1946</v>
      </c>
      <c r="I575" s="5" t="s">
        <v>1939</v>
      </c>
      <c r="J575" s="5" t="s">
        <v>1559</v>
      </c>
      <c r="K575" s="6" t="s">
        <v>1940</v>
      </c>
      <c r="L575" s="5" t="s">
        <v>1932</v>
      </c>
    </row>
    <row r="576" customFormat="false" ht="46.25" hidden="false" customHeight="false" outlineLevel="0" collapsed="false">
      <c r="A576" s="5" t="s">
        <v>1955</v>
      </c>
      <c r="B576" s="6" t="s">
        <v>1956</v>
      </c>
      <c r="C576" s="5" t="n">
        <v>154819</v>
      </c>
      <c r="D576" s="5"/>
      <c r="E576" s="5"/>
      <c r="F576" s="5" t="s">
        <v>844</v>
      </c>
      <c r="G576" s="7" t="s">
        <v>42</v>
      </c>
      <c r="H576" s="6" t="s">
        <v>1946</v>
      </c>
      <c r="I576" s="5" t="s">
        <v>1939</v>
      </c>
      <c r="J576" s="5" t="s">
        <v>1559</v>
      </c>
      <c r="K576" s="6" t="s">
        <v>1940</v>
      </c>
      <c r="L576" s="5" t="s">
        <v>1932</v>
      </c>
    </row>
    <row r="577" customFormat="false" ht="46.25" hidden="false" customHeight="false" outlineLevel="0" collapsed="false">
      <c r="A577" s="5" t="s">
        <v>1957</v>
      </c>
      <c r="B577" s="6" t="s">
        <v>1958</v>
      </c>
      <c r="C577" s="5" t="n">
        <v>152234</v>
      </c>
      <c r="D577" s="5"/>
      <c r="E577" s="5"/>
      <c r="F577" s="5" t="s">
        <v>844</v>
      </c>
      <c r="G577" s="7" t="s">
        <v>42</v>
      </c>
      <c r="H577" s="6" t="s">
        <v>1946</v>
      </c>
      <c r="I577" s="5" t="s">
        <v>1939</v>
      </c>
      <c r="J577" s="5" t="s">
        <v>1559</v>
      </c>
      <c r="K577" s="6" t="s">
        <v>1940</v>
      </c>
      <c r="L577" s="5" t="s">
        <v>1932</v>
      </c>
    </row>
    <row r="578" customFormat="false" ht="46.25" hidden="false" customHeight="false" outlineLevel="0" collapsed="false">
      <c r="A578" s="5" t="s">
        <v>1959</v>
      </c>
      <c r="B578" s="6" t="s">
        <v>1960</v>
      </c>
      <c r="C578" s="5" t="n">
        <v>204802</v>
      </c>
      <c r="D578" s="5"/>
      <c r="E578" s="5"/>
      <c r="F578" s="5" t="s">
        <v>844</v>
      </c>
      <c r="G578" s="7" t="s">
        <v>42</v>
      </c>
      <c r="H578" s="6" t="s">
        <v>1946</v>
      </c>
      <c r="I578" s="5" t="s">
        <v>1939</v>
      </c>
      <c r="J578" s="5" t="s">
        <v>1559</v>
      </c>
      <c r="K578" s="6" t="s">
        <v>1940</v>
      </c>
      <c r="L578" s="5" t="s">
        <v>1932</v>
      </c>
    </row>
    <row r="579" customFormat="false" ht="46.25" hidden="false" customHeight="false" outlineLevel="0" collapsed="false">
      <c r="A579" s="5" t="s">
        <v>1961</v>
      </c>
      <c r="B579" s="6" t="s">
        <v>1962</v>
      </c>
      <c r="C579" s="5" t="n">
        <v>184643</v>
      </c>
      <c r="D579" s="5"/>
      <c r="E579" s="5"/>
      <c r="F579" s="5" t="s">
        <v>844</v>
      </c>
      <c r="G579" s="7" t="s">
        <v>42</v>
      </c>
      <c r="H579" s="6" t="s">
        <v>1946</v>
      </c>
      <c r="I579" s="5" t="s">
        <v>1939</v>
      </c>
      <c r="J579" s="5" t="s">
        <v>1559</v>
      </c>
      <c r="K579" s="6" t="s">
        <v>1940</v>
      </c>
      <c r="L579" s="5" t="s">
        <v>1932</v>
      </c>
    </row>
    <row r="580" customFormat="false" ht="46.25" hidden="false" customHeight="false" outlineLevel="0" collapsed="false">
      <c r="A580" s="5" t="s">
        <v>1963</v>
      </c>
      <c r="B580" s="6" t="s">
        <v>1964</v>
      </c>
      <c r="C580" s="5" t="n">
        <v>247987</v>
      </c>
      <c r="D580" s="5"/>
      <c r="E580" s="5"/>
      <c r="F580" s="5" t="s">
        <v>844</v>
      </c>
      <c r="G580" s="7" t="s">
        <v>42</v>
      </c>
      <c r="H580" s="6" t="s">
        <v>1946</v>
      </c>
      <c r="I580" s="5" t="s">
        <v>1939</v>
      </c>
      <c r="J580" s="5" t="s">
        <v>1559</v>
      </c>
      <c r="K580" s="6" t="s">
        <v>1940</v>
      </c>
      <c r="L580" s="5" t="s">
        <v>1932</v>
      </c>
    </row>
    <row r="581" customFormat="false" ht="57.45" hidden="false" customHeight="false" outlineLevel="0" collapsed="false">
      <c r="A581" s="5" t="s">
        <v>1965</v>
      </c>
      <c r="B581" s="6" t="s">
        <v>1966</v>
      </c>
      <c r="C581" s="5" t="n">
        <v>11430</v>
      </c>
      <c r="D581" s="5"/>
      <c r="E581" s="5"/>
      <c r="F581" s="5" t="s">
        <v>602</v>
      </c>
      <c r="G581" s="7" t="s">
        <v>42</v>
      </c>
      <c r="H581" s="6" t="s">
        <v>1967</v>
      </c>
      <c r="I581" s="5" t="s">
        <v>1968</v>
      </c>
      <c r="J581" s="5" t="s">
        <v>1969</v>
      </c>
      <c r="K581" s="6" t="s">
        <v>1970</v>
      </c>
      <c r="L581" s="5" t="s">
        <v>1932</v>
      </c>
    </row>
    <row r="582" customFormat="false" ht="57.45" hidden="false" customHeight="false" outlineLevel="0" collapsed="false">
      <c r="A582" s="5" t="s">
        <v>1971</v>
      </c>
      <c r="B582" s="6" t="s">
        <v>1972</v>
      </c>
      <c r="C582" s="5" t="n">
        <v>11250</v>
      </c>
      <c r="D582" s="5"/>
      <c r="E582" s="5"/>
      <c r="F582" s="5" t="s">
        <v>602</v>
      </c>
      <c r="G582" s="7" t="s">
        <v>42</v>
      </c>
      <c r="H582" s="6" t="s">
        <v>1967</v>
      </c>
      <c r="I582" s="5" t="s">
        <v>1968</v>
      </c>
      <c r="J582" s="5" t="s">
        <v>1973</v>
      </c>
      <c r="K582" s="6" t="s">
        <v>1970</v>
      </c>
      <c r="L582" s="5" t="s">
        <v>1932</v>
      </c>
    </row>
    <row r="583" customFormat="false" ht="57.45" hidden="false" customHeight="false" outlineLevel="0" collapsed="false">
      <c r="A583" s="5" t="s">
        <v>1974</v>
      </c>
      <c r="B583" s="6" t="s">
        <v>1975</v>
      </c>
      <c r="C583" s="5" t="n">
        <v>11780</v>
      </c>
      <c r="D583" s="5"/>
      <c r="E583" s="5"/>
      <c r="F583" s="5" t="s">
        <v>602</v>
      </c>
      <c r="G583" s="7" t="s">
        <v>42</v>
      </c>
      <c r="H583" s="6" t="s">
        <v>1967</v>
      </c>
      <c r="I583" s="5" t="s">
        <v>1968</v>
      </c>
      <c r="J583" s="5" t="s">
        <v>1496</v>
      </c>
      <c r="K583" s="6" t="s">
        <v>1970</v>
      </c>
      <c r="L583" s="5" t="s">
        <v>1932</v>
      </c>
    </row>
    <row r="584" customFormat="false" ht="57.45" hidden="false" customHeight="false" outlineLevel="0" collapsed="false">
      <c r="A584" s="5" t="s">
        <v>1976</v>
      </c>
      <c r="B584" s="6" t="s">
        <v>1977</v>
      </c>
      <c r="C584" s="5" t="n">
        <v>12470</v>
      </c>
      <c r="D584" s="5"/>
      <c r="E584" s="5"/>
      <c r="F584" s="5" t="s">
        <v>602</v>
      </c>
      <c r="G584" s="7" t="s">
        <v>42</v>
      </c>
      <c r="H584" s="6" t="s">
        <v>1967</v>
      </c>
      <c r="I584" s="5" t="s">
        <v>1968</v>
      </c>
      <c r="J584" s="5" t="s">
        <v>1512</v>
      </c>
      <c r="K584" s="6" t="s">
        <v>1970</v>
      </c>
      <c r="L584" s="5" t="s">
        <v>1932</v>
      </c>
    </row>
    <row r="585" customFormat="false" ht="57.45" hidden="false" customHeight="false" outlineLevel="0" collapsed="false">
      <c r="A585" s="5" t="s">
        <v>1978</v>
      </c>
      <c r="B585" s="6" t="s">
        <v>1979</v>
      </c>
      <c r="C585" s="5" t="n">
        <v>14730</v>
      </c>
      <c r="D585" s="5"/>
      <c r="E585" s="5"/>
      <c r="F585" s="5" t="s">
        <v>602</v>
      </c>
      <c r="G585" s="7" t="s">
        <v>42</v>
      </c>
      <c r="H585" s="6" t="s">
        <v>1967</v>
      </c>
      <c r="I585" s="5" t="s">
        <v>1968</v>
      </c>
      <c r="J585" s="5" t="s">
        <v>1524</v>
      </c>
      <c r="K585" s="6" t="s">
        <v>1970</v>
      </c>
      <c r="L585" s="5" t="s">
        <v>1932</v>
      </c>
    </row>
    <row r="586" customFormat="false" ht="57.45" hidden="false" customHeight="false" outlineLevel="0" collapsed="false">
      <c r="A586" s="5" t="s">
        <v>1980</v>
      </c>
      <c r="B586" s="6" t="s">
        <v>1981</v>
      </c>
      <c r="C586" s="5" t="n">
        <v>15740</v>
      </c>
      <c r="D586" s="5"/>
      <c r="E586" s="5"/>
      <c r="F586" s="5" t="s">
        <v>602</v>
      </c>
      <c r="G586" s="7" t="s">
        <v>42</v>
      </c>
      <c r="H586" s="6" t="s">
        <v>1967</v>
      </c>
      <c r="I586" s="5" t="s">
        <v>1968</v>
      </c>
      <c r="J586" s="5" t="s">
        <v>1534</v>
      </c>
      <c r="K586" s="6" t="s">
        <v>1970</v>
      </c>
      <c r="L586" s="5" t="s">
        <v>1932</v>
      </c>
    </row>
    <row r="587" customFormat="false" ht="57.45" hidden="false" customHeight="false" outlineLevel="0" collapsed="false">
      <c r="A587" s="5" t="s">
        <v>1982</v>
      </c>
      <c r="B587" s="6" t="s">
        <v>1983</v>
      </c>
      <c r="C587" s="5" t="n">
        <v>18800</v>
      </c>
      <c r="D587" s="5"/>
      <c r="E587" s="5"/>
      <c r="F587" s="5" t="s">
        <v>602</v>
      </c>
      <c r="G587" s="7" t="s">
        <v>42</v>
      </c>
      <c r="H587" s="6" t="s">
        <v>1967</v>
      </c>
      <c r="I587" s="5" t="s">
        <v>1968</v>
      </c>
      <c r="J587" s="5" t="s">
        <v>1546</v>
      </c>
      <c r="K587" s="6" t="s">
        <v>1970</v>
      </c>
      <c r="L587" s="5" t="s">
        <v>1932</v>
      </c>
    </row>
    <row r="588" customFormat="false" ht="57.45" hidden="false" customHeight="false" outlineLevel="0" collapsed="false">
      <c r="A588" s="5" t="s">
        <v>1984</v>
      </c>
      <c r="B588" s="6" t="s">
        <v>1985</v>
      </c>
      <c r="C588" s="5" t="n">
        <v>18600</v>
      </c>
      <c r="D588" s="5"/>
      <c r="E588" s="5"/>
      <c r="F588" s="5" t="s">
        <v>602</v>
      </c>
      <c r="G588" s="7" t="s">
        <v>42</v>
      </c>
      <c r="H588" s="6" t="s">
        <v>1967</v>
      </c>
      <c r="I588" s="5" t="s">
        <v>1968</v>
      </c>
      <c r="J588" s="5" t="s">
        <v>1471</v>
      </c>
      <c r="K588" s="6" t="s">
        <v>1970</v>
      </c>
      <c r="L588" s="5" t="s">
        <v>1932</v>
      </c>
    </row>
    <row r="589" customFormat="false" ht="57.45" hidden="false" customHeight="false" outlineLevel="0" collapsed="false">
      <c r="A589" s="5" t="s">
        <v>1986</v>
      </c>
      <c r="B589" s="6" t="s">
        <v>1987</v>
      </c>
      <c r="C589" s="5" t="n">
        <v>18310</v>
      </c>
      <c r="D589" s="5"/>
      <c r="E589" s="5"/>
      <c r="F589" s="5" t="s">
        <v>602</v>
      </c>
      <c r="G589" s="7" t="s">
        <v>42</v>
      </c>
      <c r="H589" s="6" t="s">
        <v>1967</v>
      </c>
      <c r="I589" s="5" t="s">
        <v>1968</v>
      </c>
      <c r="J589" s="5" t="s">
        <v>65</v>
      </c>
      <c r="K589" s="6" t="s">
        <v>1970</v>
      </c>
      <c r="L589" s="5" t="s">
        <v>1932</v>
      </c>
    </row>
    <row r="590" customFormat="false" ht="68.65" hidden="false" customHeight="false" outlineLevel="0" collapsed="false">
      <c r="A590" s="5" t="s">
        <v>1988</v>
      </c>
      <c r="B590" s="6" t="s">
        <v>1989</v>
      </c>
      <c r="C590" s="5" t="n">
        <v>19</v>
      </c>
      <c r="D590" s="5"/>
      <c r="E590" s="5"/>
      <c r="F590" s="5" t="s">
        <v>119</v>
      </c>
      <c r="G590" s="7" t="s">
        <v>42</v>
      </c>
      <c r="H590" s="6" t="s">
        <v>1990</v>
      </c>
      <c r="I590" s="5" t="s">
        <v>1991</v>
      </c>
      <c r="J590" s="5" t="s">
        <v>1992</v>
      </c>
      <c r="K590" s="6" t="s">
        <v>1993</v>
      </c>
      <c r="L590" s="5" t="s">
        <v>1932</v>
      </c>
    </row>
    <row r="591" customFormat="false" ht="68.65" hidden="false" customHeight="false" outlineLevel="0" collapsed="false">
      <c r="A591" s="5" t="s">
        <v>1994</v>
      </c>
      <c r="B591" s="6" t="s">
        <v>1995</v>
      </c>
      <c r="C591" s="5" t="n">
        <v>28609</v>
      </c>
      <c r="D591" s="5"/>
      <c r="E591" s="5"/>
      <c r="F591" s="5" t="s">
        <v>602</v>
      </c>
      <c r="G591" s="7" t="s">
        <v>42</v>
      </c>
      <c r="H591" s="6" t="s">
        <v>1996</v>
      </c>
      <c r="I591" s="5" t="s">
        <v>1997</v>
      </c>
      <c r="J591" s="5" t="s">
        <v>1998</v>
      </c>
      <c r="K591" s="6" t="s">
        <v>1993</v>
      </c>
      <c r="L591" s="5" t="s">
        <v>1932</v>
      </c>
    </row>
    <row r="592" customFormat="false" ht="68.65" hidden="false" customHeight="false" outlineLevel="0" collapsed="false">
      <c r="A592" s="5" t="s">
        <v>1999</v>
      </c>
      <c r="B592" s="6" t="s">
        <v>2000</v>
      </c>
      <c r="C592" s="5" t="n">
        <v>4</v>
      </c>
      <c r="D592" s="5"/>
      <c r="E592" s="5"/>
      <c r="F592" s="5" t="s">
        <v>119</v>
      </c>
      <c r="G592" s="7" t="s">
        <v>42</v>
      </c>
      <c r="H592" s="6" t="s">
        <v>1996</v>
      </c>
      <c r="I592" s="5" t="s">
        <v>1997</v>
      </c>
      <c r="J592" s="5" t="s">
        <v>1998</v>
      </c>
      <c r="K592" s="6" t="s">
        <v>1993</v>
      </c>
      <c r="L592" s="5" t="s">
        <v>1932</v>
      </c>
    </row>
    <row r="593" customFormat="false" ht="68.65" hidden="false" customHeight="false" outlineLevel="0" collapsed="false">
      <c r="A593" s="5" t="s">
        <v>2001</v>
      </c>
      <c r="B593" s="6" t="s">
        <v>2002</v>
      </c>
      <c r="C593" s="5" t="n">
        <v>29333</v>
      </c>
      <c r="D593" s="5"/>
      <c r="E593" s="5"/>
      <c r="F593" s="5" t="s">
        <v>602</v>
      </c>
      <c r="G593" s="7" t="s">
        <v>42</v>
      </c>
      <c r="H593" s="6" t="s">
        <v>1996</v>
      </c>
      <c r="I593" s="5" t="s">
        <v>1997</v>
      </c>
      <c r="J593" s="5" t="s">
        <v>2003</v>
      </c>
      <c r="K593" s="6" t="s">
        <v>1993</v>
      </c>
      <c r="L593" s="5" t="s">
        <v>1932</v>
      </c>
    </row>
    <row r="594" customFormat="false" ht="68.65" hidden="false" customHeight="false" outlineLevel="0" collapsed="false">
      <c r="A594" s="5" t="s">
        <v>2004</v>
      </c>
      <c r="B594" s="6" t="s">
        <v>2005</v>
      </c>
      <c r="C594" s="5" t="n">
        <v>26942</v>
      </c>
      <c r="D594" s="5"/>
      <c r="E594" s="5"/>
      <c r="F594" s="5" t="s">
        <v>602</v>
      </c>
      <c r="G594" s="7" t="s">
        <v>42</v>
      </c>
      <c r="H594" s="6" t="s">
        <v>2006</v>
      </c>
      <c r="I594" s="5" t="s">
        <v>2007</v>
      </c>
      <c r="J594" s="5" t="s">
        <v>2008</v>
      </c>
      <c r="K594" s="6" t="s">
        <v>1993</v>
      </c>
      <c r="L594" s="5" t="s">
        <v>1932</v>
      </c>
    </row>
    <row r="595" customFormat="false" ht="91" hidden="false" customHeight="false" outlineLevel="0" collapsed="false">
      <c r="A595" s="5" t="s">
        <v>2009</v>
      </c>
      <c r="B595" s="6" t="s">
        <v>2010</v>
      </c>
      <c r="C595" s="5" t="n">
        <v>-6.1</v>
      </c>
      <c r="D595" s="5"/>
      <c r="E595" s="5"/>
      <c r="F595" s="5" t="s">
        <v>119</v>
      </c>
      <c r="G595" s="7" t="s">
        <v>42</v>
      </c>
      <c r="H595" s="6" t="s">
        <v>2006</v>
      </c>
      <c r="I595" s="5" t="s">
        <v>2007</v>
      </c>
      <c r="J595" s="5" t="s">
        <v>2008</v>
      </c>
      <c r="K595" s="6" t="s">
        <v>2011</v>
      </c>
      <c r="L595" s="5" t="s">
        <v>1932</v>
      </c>
    </row>
    <row r="596" customFormat="false" ht="68.65" hidden="false" customHeight="false" outlineLevel="0" collapsed="false">
      <c r="A596" s="5" t="s">
        <v>2012</v>
      </c>
      <c r="B596" s="6" t="s">
        <v>2013</v>
      </c>
      <c r="C596" s="5" t="n">
        <v>26786</v>
      </c>
      <c r="D596" s="5"/>
      <c r="E596" s="5"/>
      <c r="F596" s="5" t="s">
        <v>602</v>
      </c>
      <c r="G596" s="7" t="s">
        <v>42</v>
      </c>
      <c r="H596" s="6" t="s">
        <v>2006</v>
      </c>
      <c r="I596" s="5" t="s">
        <v>2007</v>
      </c>
      <c r="J596" s="5" t="s">
        <v>2014</v>
      </c>
      <c r="K596" s="6" t="s">
        <v>1993</v>
      </c>
      <c r="L596" s="5" t="s">
        <v>1932</v>
      </c>
    </row>
    <row r="597" customFormat="false" ht="68.65" hidden="false" customHeight="false" outlineLevel="0" collapsed="false">
      <c r="A597" s="5" t="s">
        <v>2015</v>
      </c>
      <c r="B597" s="6" t="s">
        <v>2016</v>
      </c>
      <c r="C597" s="5" t="n">
        <v>27612</v>
      </c>
      <c r="D597" s="5"/>
      <c r="E597" s="5"/>
      <c r="F597" s="5" t="s">
        <v>602</v>
      </c>
      <c r="G597" s="7" t="s">
        <v>42</v>
      </c>
      <c r="H597" s="6" t="s">
        <v>2017</v>
      </c>
      <c r="I597" s="5" t="s">
        <v>2018</v>
      </c>
      <c r="J597" s="5" t="s">
        <v>2019</v>
      </c>
      <c r="K597" s="6" t="s">
        <v>1993</v>
      </c>
      <c r="L597" s="5" t="s">
        <v>1932</v>
      </c>
    </row>
    <row r="598" customFormat="false" ht="68.65" hidden="false" customHeight="false" outlineLevel="0" collapsed="false">
      <c r="A598" s="5" t="s">
        <v>2020</v>
      </c>
      <c r="B598" s="6" t="s">
        <v>2021</v>
      </c>
      <c r="C598" s="5" t="n">
        <v>1.05</v>
      </c>
      <c r="D598" s="5"/>
      <c r="E598" s="5"/>
      <c r="F598" s="5" t="s">
        <v>840</v>
      </c>
      <c r="G598" s="8" t="s">
        <v>170</v>
      </c>
      <c r="H598" s="6" t="s">
        <v>2022</v>
      </c>
      <c r="I598" s="5"/>
      <c r="J598" s="5" t="s">
        <v>258</v>
      </c>
      <c r="K598" s="6" t="s">
        <v>2023</v>
      </c>
      <c r="L598" s="5" t="s">
        <v>1932</v>
      </c>
    </row>
    <row r="599" customFormat="false" ht="68.65" hidden="false" customHeight="false" outlineLevel="0" collapsed="false">
      <c r="A599" s="5" t="s">
        <v>2024</v>
      </c>
      <c r="B599" s="6" t="s">
        <v>2025</v>
      </c>
      <c r="C599" s="5" t="n">
        <v>1.49</v>
      </c>
      <c r="D599" s="5"/>
      <c r="E599" s="5"/>
      <c r="F599" s="5" t="s">
        <v>840</v>
      </c>
      <c r="G599" s="8" t="s">
        <v>170</v>
      </c>
      <c r="H599" s="6" t="s">
        <v>2022</v>
      </c>
      <c r="I599" s="5"/>
      <c r="J599" s="5" t="s">
        <v>258</v>
      </c>
      <c r="K599" s="6" t="s">
        <v>2023</v>
      </c>
      <c r="L599" s="5" t="s">
        <v>1932</v>
      </c>
    </row>
    <row r="600" customFormat="false" ht="68.65" hidden="false" customHeight="false" outlineLevel="0" collapsed="false">
      <c r="A600" s="5" t="s">
        <v>2026</v>
      </c>
      <c r="B600" s="6" t="s">
        <v>2027</v>
      </c>
      <c r="C600" s="5" t="n">
        <v>0.96</v>
      </c>
      <c r="D600" s="5"/>
      <c r="E600" s="5"/>
      <c r="F600" s="5" t="s">
        <v>840</v>
      </c>
      <c r="G600" s="8" t="s">
        <v>170</v>
      </c>
      <c r="H600" s="6" t="s">
        <v>2022</v>
      </c>
      <c r="I600" s="5"/>
      <c r="J600" s="5" t="s">
        <v>258</v>
      </c>
      <c r="K600" s="6" t="s">
        <v>2023</v>
      </c>
      <c r="L600" s="5" t="s">
        <v>1932</v>
      </c>
    </row>
    <row r="601" customFormat="false" ht="68.65" hidden="false" customHeight="false" outlineLevel="0" collapsed="false">
      <c r="A601" s="5" t="s">
        <v>2028</v>
      </c>
      <c r="B601" s="6" t="s">
        <v>2029</v>
      </c>
      <c r="C601" s="5" t="n">
        <v>5</v>
      </c>
      <c r="D601" s="5"/>
      <c r="E601" s="5"/>
      <c r="F601" s="5" t="s">
        <v>669</v>
      </c>
      <c r="G601" s="8" t="s">
        <v>170</v>
      </c>
      <c r="H601" s="6" t="s">
        <v>2022</v>
      </c>
      <c r="I601" s="5"/>
      <c r="J601" s="5" t="s">
        <v>258</v>
      </c>
      <c r="K601" s="6" t="s">
        <v>2030</v>
      </c>
      <c r="L601" s="5" t="s">
        <v>1932</v>
      </c>
    </row>
    <row r="602" customFormat="false" ht="68.65" hidden="false" customHeight="false" outlineLevel="0" collapsed="false">
      <c r="A602" s="5" t="s">
        <v>2031</v>
      </c>
      <c r="B602" s="6" t="s">
        <v>2032</v>
      </c>
      <c r="C602" s="5" t="n">
        <v>-6</v>
      </c>
      <c r="D602" s="5"/>
      <c r="E602" s="5"/>
      <c r="F602" s="5" t="s">
        <v>669</v>
      </c>
      <c r="G602" s="8" t="s">
        <v>170</v>
      </c>
      <c r="H602" s="6" t="s">
        <v>2022</v>
      </c>
      <c r="I602" s="5"/>
      <c r="J602" s="5" t="s">
        <v>258</v>
      </c>
      <c r="K602" s="6" t="s">
        <v>2030</v>
      </c>
      <c r="L602" s="5" t="s">
        <v>1932</v>
      </c>
    </row>
    <row r="603" customFormat="false" ht="91" hidden="false" customHeight="false" outlineLevel="0" collapsed="false">
      <c r="A603" s="5" t="s">
        <v>2033</v>
      </c>
      <c r="B603" s="6" t="s">
        <v>2034</v>
      </c>
      <c r="C603" s="5" t="n">
        <v>0.73</v>
      </c>
      <c r="D603" s="5"/>
      <c r="E603" s="5"/>
      <c r="F603" s="5" t="s">
        <v>1705</v>
      </c>
      <c r="G603" s="8" t="s">
        <v>170</v>
      </c>
      <c r="H603" s="6" t="s">
        <v>2035</v>
      </c>
      <c r="I603" s="5"/>
      <c r="J603" s="5" t="s">
        <v>258</v>
      </c>
      <c r="K603" s="6" t="s">
        <v>2036</v>
      </c>
      <c r="L603" s="5" t="s">
        <v>1932</v>
      </c>
    </row>
    <row r="604" customFormat="false" ht="102.2" hidden="false" customHeight="false" outlineLevel="0" collapsed="false">
      <c r="A604" s="5" t="s">
        <v>2037</v>
      </c>
      <c r="B604" s="6" t="s">
        <v>2038</v>
      </c>
      <c r="C604" s="5" t="n">
        <v>0.81</v>
      </c>
      <c r="D604" s="5"/>
      <c r="E604" s="5"/>
      <c r="F604" s="5" t="s">
        <v>1705</v>
      </c>
      <c r="G604" s="8" t="s">
        <v>170</v>
      </c>
      <c r="H604" s="6" t="s">
        <v>2035</v>
      </c>
      <c r="I604" s="5"/>
      <c r="J604" s="5" t="s">
        <v>258</v>
      </c>
      <c r="K604" s="6" t="s">
        <v>2039</v>
      </c>
      <c r="L604" s="5" t="s">
        <v>1932</v>
      </c>
    </row>
    <row r="605" customFormat="false" ht="91" hidden="false" customHeight="false" outlineLevel="0" collapsed="false">
      <c r="A605" s="5" t="s">
        <v>2040</v>
      </c>
      <c r="B605" s="6" t="s">
        <v>2041</v>
      </c>
      <c r="C605" s="5" t="n">
        <v>0.82</v>
      </c>
      <c r="D605" s="5"/>
      <c r="E605" s="5"/>
      <c r="F605" s="5" t="s">
        <v>1705</v>
      </c>
      <c r="G605" s="8" t="s">
        <v>170</v>
      </c>
      <c r="H605" s="6" t="s">
        <v>2035</v>
      </c>
      <c r="I605" s="5"/>
      <c r="J605" s="5" t="s">
        <v>258</v>
      </c>
      <c r="K605" s="6" t="s">
        <v>2036</v>
      </c>
      <c r="L605" s="5" t="s">
        <v>1932</v>
      </c>
    </row>
    <row r="606" customFormat="false" ht="91" hidden="false" customHeight="false" outlineLevel="0" collapsed="false">
      <c r="A606" s="5" t="s">
        <v>2042</v>
      </c>
      <c r="B606" s="6" t="s">
        <v>2043</v>
      </c>
      <c r="C606" s="5" t="n">
        <v>30.3</v>
      </c>
      <c r="D606" s="5"/>
      <c r="E606" s="5"/>
      <c r="F606" s="5" t="s">
        <v>119</v>
      </c>
      <c r="G606" s="8" t="s">
        <v>170</v>
      </c>
      <c r="H606" s="6" t="s">
        <v>2035</v>
      </c>
      <c r="I606" s="5"/>
      <c r="J606" s="5" t="s">
        <v>258</v>
      </c>
      <c r="K606" s="6" t="s">
        <v>2036</v>
      </c>
      <c r="L606" s="5" t="s">
        <v>1932</v>
      </c>
    </row>
    <row r="607" customFormat="false" ht="91" hidden="false" customHeight="false" outlineLevel="0" collapsed="false">
      <c r="A607" s="5" t="s">
        <v>2044</v>
      </c>
      <c r="B607" s="6" t="s">
        <v>2045</v>
      </c>
      <c r="C607" s="5" t="n">
        <v>9.3</v>
      </c>
      <c r="D607" s="5"/>
      <c r="E607" s="5"/>
      <c r="F607" s="5" t="s">
        <v>119</v>
      </c>
      <c r="G607" s="8" t="s">
        <v>170</v>
      </c>
      <c r="H607" s="6" t="s">
        <v>2035</v>
      </c>
      <c r="I607" s="5"/>
      <c r="J607" s="5" t="s">
        <v>258</v>
      </c>
      <c r="K607" s="6" t="s">
        <v>2036</v>
      </c>
      <c r="L607" s="5" t="s">
        <v>1932</v>
      </c>
    </row>
    <row r="608" customFormat="false" ht="102.2" hidden="false" customHeight="false" outlineLevel="0" collapsed="false">
      <c r="A608" s="5" t="s">
        <v>2046</v>
      </c>
      <c r="B608" s="6" t="s">
        <v>2047</v>
      </c>
      <c r="C608" s="5" t="n">
        <v>0.1</v>
      </c>
      <c r="D608" s="5"/>
      <c r="E608" s="5"/>
      <c r="F608" s="5" t="s">
        <v>669</v>
      </c>
      <c r="G608" s="8" t="s">
        <v>170</v>
      </c>
      <c r="H608" s="6" t="s">
        <v>2035</v>
      </c>
      <c r="I608" s="5"/>
      <c r="J608" s="5" t="s">
        <v>258</v>
      </c>
      <c r="K608" s="6" t="s">
        <v>2048</v>
      </c>
      <c r="L608" s="5" t="s">
        <v>1932</v>
      </c>
    </row>
    <row r="609" customFormat="false" ht="35.05" hidden="false" customHeight="false" outlineLevel="0" collapsed="false">
      <c r="A609" s="5" t="s">
        <v>2049</v>
      </c>
      <c r="B609" s="6" t="s">
        <v>2050</v>
      </c>
      <c r="C609" s="5" t="n">
        <v>60.54</v>
      </c>
      <c r="D609" s="5"/>
      <c r="E609" s="5"/>
      <c r="F609" s="5" t="s">
        <v>119</v>
      </c>
      <c r="G609" s="7" t="s">
        <v>42</v>
      </c>
      <c r="H609" s="6" t="s">
        <v>2051</v>
      </c>
      <c r="I609" s="5" t="s">
        <v>2052</v>
      </c>
      <c r="J609" s="5" t="s">
        <v>65</v>
      </c>
      <c r="K609" s="6" t="s">
        <v>2053</v>
      </c>
      <c r="L609" s="5" t="s">
        <v>1932</v>
      </c>
    </row>
    <row r="610" customFormat="false" ht="57.45" hidden="false" customHeight="false" outlineLevel="0" collapsed="false">
      <c r="A610" s="5" t="s">
        <v>2054</v>
      </c>
      <c r="B610" s="6" t="s">
        <v>2055</v>
      </c>
      <c r="C610" s="5" t="n">
        <v>0.47</v>
      </c>
      <c r="D610" s="5"/>
      <c r="E610" s="5"/>
      <c r="F610" s="5" t="s">
        <v>933</v>
      </c>
      <c r="G610" s="8" t="s">
        <v>170</v>
      </c>
      <c r="H610" s="6" t="s">
        <v>2056</v>
      </c>
      <c r="I610" s="5"/>
      <c r="J610" s="5" t="s">
        <v>258</v>
      </c>
      <c r="K610" s="6" t="s">
        <v>2057</v>
      </c>
      <c r="L610" s="5" t="s">
        <v>2058</v>
      </c>
    </row>
    <row r="611" customFormat="false" ht="57.45" hidden="false" customHeight="false" outlineLevel="0" collapsed="false">
      <c r="A611" s="5" t="s">
        <v>2059</v>
      </c>
      <c r="B611" s="6" t="s">
        <v>2060</v>
      </c>
      <c r="C611" s="5" t="n">
        <v>0.71</v>
      </c>
      <c r="D611" s="5"/>
      <c r="E611" s="5"/>
      <c r="F611" s="5" t="s">
        <v>933</v>
      </c>
      <c r="G611" s="8" t="s">
        <v>170</v>
      </c>
      <c r="H611" s="6" t="s">
        <v>2056</v>
      </c>
      <c r="I611" s="5"/>
      <c r="J611" s="5" t="s">
        <v>258</v>
      </c>
      <c r="K611" s="6" t="s">
        <v>2057</v>
      </c>
      <c r="L611" s="5" t="s">
        <v>2058</v>
      </c>
    </row>
    <row r="612" customFormat="false" ht="57.45" hidden="false" customHeight="false" outlineLevel="0" collapsed="false">
      <c r="A612" s="5" t="s">
        <v>2061</v>
      </c>
      <c r="B612" s="6" t="s">
        <v>2062</v>
      </c>
      <c r="C612" s="5" t="n">
        <v>0.68</v>
      </c>
      <c r="D612" s="5"/>
      <c r="E612" s="5"/>
      <c r="F612" s="5" t="s">
        <v>933</v>
      </c>
      <c r="G612" s="8" t="s">
        <v>170</v>
      </c>
      <c r="H612" s="6" t="s">
        <v>2056</v>
      </c>
      <c r="I612" s="5"/>
      <c r="J612" s="5" t="s">
        <v>258</v>
      </c>
      <c r="K612" s="6" t="s">
        <v>2057</v>
      </c>
      <c r="L612" s="5" t="s">
        <v>2058</v>
      </c>
    </row>
    <row r="613" customFormat="false" ht="57.45" hidden="false" customHeight="false" outlineLevel="0" collapsed="false">
      <c r="A613" s="5" t="s">
        <v>2063</v>
      </c>
      <c r="B613" s="6" t="s">
        <v>2064</v>
      </c>
      <c r="C613" s="5" t="n">
        <v>50</v>
      </c>
      <c r="D613" s="5"/>
      <c r="E613" s="5"/>
      <c r="F613" s="5" t="s">
        <v>119</v>
      </c>
      <c r="G613" s="8" t="s">
        <v>170</v>
      </c>
      <c r="H613" s="6" t="s">
        <v>2056</v>
      </c>
      <c r="I613" s="5"/>
      <c r="J613" s="5" t="s">
        <v>258</v>
      </c>
      <c r="K613" s="6" t="s">
        <v>2057</v>
      </c>
      <c r="L613" s="5" t="s">
        <v>2058</v>
      </c>
    </row>
    <row r="614" customFormat="false" ht="57.45" hidden="false" customHeight="false" outlineLevel="0" collapsed="false">
      <c r="A614" s="5" t="s">
        <v>2065</v>
      </c>
      <c r="B614" s="6" t="s">
        <v>2066</v>
      </c>
      <c r="C614" s="5" t="n">
        <v>52</v>
      </c>
      <c r="D614" s="5"/>
      <c r="E614" s="5"/>
      <c r="F614" s="5" t="s">
        <v>119</v>
      </c>
      <c r="G614" s="8" t="s">
        <v>170</v>
      </c>
      <c r="H614" s="6" t="s">
        <v>2056</v>
      </c>
      <c r="I614" s="5"/>
      <c r="J614" s="5" t="s">
        <v>258</v>
      </c>
      <c r="K614" s="6" t="s">
        <v>2057</v>
      </c>
      <c r="L614" s="5" t="s">
        <v>2058</v>
      </c>
    </row>
    <row r="615" customFormat="false" ht="57.45" hidden="false" customHeight="false" outlineLevel="0" collapsed="false">
      <c r="A615" s="5" t="s">
        <v>2067</v>
      </c>
      <c r="B615" s="6" t="s">
        <v>2068</v>
      </c>
      <c r="C615" s="5" t="n">
        <v>67</v>
      </c>
      <c r="D615" s="5"/>
      <c r="E615" s="5"/>
      <c r="F615" s="5" t="s">
        <v>119</v>
      </c>
      <c r="G615" s="8" t="s">
        <v>170</v>
      </c>
      <c r="H615" s="6" t="s">
        <v>2056</v>
      </c>
      <c r="I615" s="5"/>
      <c r="J615" s="5" t="s">
        <v>258</v>
      </c>
      <c r="K615" s="6" t="s">
        <v>2057</v>
      </c>
      <c r="L615" s="5" t="s">
        <v>2058</v>
      </c>
    </row>
    <row r="616" customFormat="false" ht="57.45" hidden="false" customHeight="false" outlineLevel="0" collapsed="false">
      <c r="A616" s="5" t="s">
        <v>2069</v>
      </c>
      <c r="B616" s="6" t="s">
        <v>2070</v>
      </c>
      <c r="C616" s="5" t="n">
        <v>0.5</v>
      </c>
      <c r="D616" s="5"/>
      <c r="E616" s="5"/>
      <c r="F616" s="5" t="s">
        <v>2071</v>
      </c>
      <c r="G616" s="8" t="s">
        <v>170</v>
      </c>
      <c r="H616" s="6" t="s">
        <v>2056</v>
      </c>
      <c r="I616" s="5"/>
      <c r="J616" s="5" t="s">
        <v>258</v>
      </c>
      <c r="K616" s="6" t="s">
        <v>2072</v>
      </c>
      <c r="L616" s="5" t="s">
        <v>2058</v>
      </c>
    </row>
    <row r="617" customFormat="false" ht="68.65" hidden="false" customHeight="false" outlineLevel="0" collapsed="false">
      <c r="A617" s="5" t="s">
        <v>2073</v>
      </c>
      <c r="B617" s="6" t="s">
        <v>2074</v>
      </c>
      <c r="C617" s="5" t="n">
        <v>0.5</v>
      </c>
      <c r="D617" s="5"/>
      <c r="E617" s="5"/>
      <c r="F617" s="5" t="s">
        <v>2071</v>
      </c>
      <c r="G617" s="8" t="s">
        <v>170</v>
      </c>
      <c r="H617" s="6" t="s">
        <v>2056</v>
      </c>
      <c r="I617" s="5"/>
      <c r="J617" s="5" t="s">
        <v>258</v>
      </c>
      <c r="K617" s="6" t="s">
        <v>2075</v>
      </c>
      <c r="L617" s="5" t="s">
        <v>2058</v>
      </c>
    </row>
    <row r="618" customFormat="false" ht="46.25" hidden="false" customHeight="false" outlineLevel="0" collapsed="false">
      <c r="A618" s="5" t="s">
        <v>2076</v>
      </c>
      <c r="B618" s="6" t="s">
        <v>2077</v>
      </c>
      <c r="C618" s="5" t="n">
        <v>26</v>
      </c>
      <c r="D618" s="5"/>
      <c r="E618" s="5"/>
      <c r="F618" s="5" t="s">
        <v>119</v>
      </c>
      <c r="G618" s="8" t="s">
        <v>170</v>
      </c>
      <c r="H618" s="6" t="s">
        <v>2056</v>
      </c>
      <c r="I618" s="5"/>
      <c r="J618" s="5" t="s">
        <v>258</v>
      </c>
      <c r="K618" s="6" t="s">
        <v>2078</v>
      </c>
      <c r="L618" s="5" t="s">
        <v>2058</v>
      </c>
    </row>
    <row r="619" customFormat="false" ht="46.25" hidden="false" customHeight="false" outlineLevel="0" collapsed="false">
      <c r="A619" s="5" t="s">
        <v>2079</v>
      </c>
      <c r="B619" s="6" t="s">
        <v>2074</v>
      </c>
      <c r="C619" s="5" t="n">
        <v>79</v>
      </c>
      <c r="D619" s="5"/>
      <c r="E619" s="5"/>
      <c r="F619" s="5" t="s">
        <v>119</v>
      </c>
      <c r="G619" s="8" t="s">
        <v>170</v>
      </c>
      <c r="H619" s="6" t="s">
        <v>2056</v>
      </c>
      <c r="I619" s="5"/>
      <c r="J619" s="5" t="s">
        <v>258</v>
      </c>
      <c r="K619" s="6" t="s">
        <v>2078</v>
      </c>
      <c r="L619" s="5" t="s">
        <v>2058</v>
      </c>
    </row>
    <row r="620" customFormat="false" ht="68.65" hidden="false" customHeight="false" outlineLevel="0" collapsed="false">
      <c r="A620" s="5" t="s">
        <v>2080</v>
      </c>
      <c r="B620" s="6" t="s">
        <v>2081</v>
      </c>
      <c r="C620" s="5" t="n">
        <v>0.004</v>
      </c>
      <c r="D620" s="5"/>
      <c r="E620" s="5"/>
      <c r="F620" s="5" t="s">
        <v>2082</v>
      </c>
      <c r="G620" s="8" t="s">
        <v>170</v>
      </c>
      <c r="H620" s="6" t="s">
        <v>2056</v>
      </c>
      <c r="I620" s="5"/>
      <c r="J620" s="5" t="s">
        <v>258</v>
      </c>
      <c r="K620" s="6" t="s">
        <v>2083</v>
      </c>
      <c r="L620" s="5" t="s">
        <v>2058</v>
      </c>
    </row>
    <row r="621" customFormat="false" ht="46.25" hidden="false" customHeight="false" outlineLevel="0" collapsed="false">
      <c r="A621" s="5" t="s">
        <v>2084</v>
      </c>
      <c r="B621" s="6" t="s">
        <v>2085</v>
      </c>
      <c r="C621" s="5" t="n">
        <v>14.4</v>
      </c>
      <c r="D621" s="5"/>
      <c r="E621" s="5"/>
      <c r="F621" s="5" t="s">
        <v>119</v>
      </c>
      <c r="G621" s="8" t="s">
        <v>170</v>
      </c>
      <c r="H621" s="6" t="s">
        <v>2056</v>
      </c>
      <c r="I621" s="5"/>
      <c r="J621" s="5" t="s">
        <v>258</v>
      </c>
      <c r="K621" s="6" t="s">
        <v>2078</v>
      </c>
      <c r="L621" s="5" t="s">
        <v>2058</v>
      </c>
    </row>
    <row r="622" customFormat="false" ht="46.25" hidden="false" customHeight="false" outlineLevel="0" collapsed="false">
      <c r="A622" s="5" t="s">
        <v>2086</v>
      </c>
      <c r="B622" s="6" t="s">
        <v>2087</v>
      </c>
      <c r="C622" s="5" t="n">
        <v>20.6</v>
      </c>
      <c r="D622" s="5"/>
      <c r="E622" s="5"/>
      <c r="F622" s="5" t="s">
        <v>119</v>
      </c>
      <c r="G622" s="8" t="s">
        <v>170</v>
      </c>
      <c r="H622" s="6" t="s">
        <v>2056</v>
      </c>
      <c r="I622" s="5"/>
      <c r="J622" s="5" t="s">
        <v>258</v>
      </c>
      <c r="K622" s="6" t="s">
        <v>2078</v>
      </c>
      <c r="L622" s="5" t="s">
        <v>2058</v>
      </c>
    </row>
    <row r="623" customFormat="false" ht="46.25" hidden="false" customHeight="false" outlineLevel="0" collapsed="false">
      <c r="A623" s="5" t="s">
        <v>2088</v>
      </c>
      <c r="B623" s="6" t="s">
        <v>2089</v>
      </c>
      <c r="C623" s="5" t="n">
        <v>91.6</v>
      </c>
      <c r="D623" s="5"/>
      <c r="E623" s="5"/>
      <c r="F623" s="5" t="s">
        <v>119</v>
      </c>
      <c r="G623" s="8" t="s">
        <v>170</v>
      </c>
      <c r="H623" s="6" t="s">
        <v>2056</v>
      </c>
      <c r="I623" s="5"/>
      <c r="J623" s="5" t="s">
        <v>258</v>
      </c>
      <c r="K623" s="6" t="s">
        <v>2078</v>
      </c>
      <c r="L623" s="5" t="s">
        <v>2058</v>
      </c>
    </row>
    <row r="624" customFormat="false" ht="46.25" hidden="false" customHeight="false" outlineLevel="0" collapsed="false">
      <c r="A624" s="5" t="s">
        <v>2090</v>
      </c>
      <c r="B624" s="6" t="s">
        <v>2087</v>
      </c>
      <c r="C624" s="5" t="n">
        <v>81.9</v>
      </c>
      <c r="D624" s="5"/>
      <c r="E624" s="5"/>
      <c r="F624" s="5" t="s">
        <v>119</v>
      </c>
      <c r="G624" s="8" t="s">
        <v>170</v>
      </c>
      <c r="H624" s="6" t="s">
        <v>2056</v>
      </c>
      <c r="I624" s="5"/>
      <c r="J624" s="5" t="s">
        <v>258</v>
      </c>
      <c r="K624" s="6" t="s">
        <v>2078</v>
      </c>
      <c r="L624" s="5" t="s">
        <v>2058</v>
      </c>
    </row>
    <row r="625" customFormat="false" ht="79.85" hidden="false" customHeight="false" outlineLevel="0" collapsed="false">
      <c r="A625" s="5" t="s">
        <v>2091</v>
      </c>
      <c r="B625" s="6" t="s">
        <v>2092</v>
      </c>
      <c r="C625" s="5" t="n">
        <v>10</v>
      </c>
      <c r="D625" s="5"/>
      <c r="E625" s="5"/>
      <c r="F625" s="5" t="s">
        <v>2093</v>
      </c>
      <c r="G625" s="8" t="s">
        <v>170</v>
      </c>
      <c r="H625" s="6" t="s">
        <v>2056</v>
      </c>
      <c r="I625" s="5"/>
      <c r="J625" s="5" t="s">
        <v>258</v>
      </c>
      <c r="K625" s="6" t="s">
        <v>2094</v>
      </c>
      <c r="L625" s="5" t="s">
        <v>2058</v>
      </c>
    </row>
    <row r="626" customFormat="false" ht="46.25" hidden="false" customHeight="false" outlineLevel="0" collapsed="false">
      <c r="A626" s="5" t="s">
        <v>2095</v>
      </c>
      <c r="B626" s="6" t="s">
        <v>2096</v>
      </c>
      <c r="C626" s="5" t="n">
        <v>23</v>
      </c>
      <c r="D626" s="5"/>
      <c r="E626" s="5"/>
      <c r="F626" s="5" t="s">
        <v>119</v>
      </c>
      <c r="G626" s="8" t="s">
        <v>170</v>
      </c>
      <c r="H626" s="6" t="s">
        <v>2097</v>
      </c>
      <c r="I626" s="5"/>
      <c r="J626" s="5" t="s">
        <v>258</v>
      </c>
      <c r="K626" s="6" t="s">
        <v>2098</v>
      </c>
      <c r="L626" s="5" t="s">
        <v>2058</v>
      </c>
    </row>
    <row r="627" customFormat="false" ht="46.25" hidden="false" customHeight="false" outlineLevel="0" collapsed="false">
      <c r="A627" s="5" t="s">
        <v>2099</v>
      </c>
      <c r="B627" s="6" t="s">
        <v>2100</v>
      </c>
      <c r="C627" s="5" t="n">
        <v>48</v>
      </c>
      <c r="D627" s="5"/>
      <c r="E627" s="5"/>
      <c r="F627" s="5" t="s">
        <v>119</v>
      </c>
      <c r="G627" s="8" t="s">
        <v>170</v>
      </c>
      <c r="H627" s="6" t="s">
        <v>2097</v>
      </c>
      <c r="I627" s="5"/>
      <c r="J627" s="5" t="s">
        <v>258</v>
      </c>
      <c r="K627" s="6" t="s">
        <v>2098</v>
      </c>
      <c r="L627" s="5" t="s">
        <v>2058</v>
      </c>
    </row>
    <row r="628" customFormat="false" ht="46.25" hidden="false" customHeight="false" outlineLevel="0" collapsed="false">
      <c r="A628" s="5" t="s">
        <v>2101</v>
      </c>
      <c r="B628" s="6" t="s">
        <v>2102</v>
      </c>
      <c r="C628" s="5" t="n">
        <v>74</v>
      </c>
      <c r="D628" s="5"/>
      <c r="E628" s="5"/>
      <c r="F628" s="5" t="s">
        <v>119</v>
      </c>
      <c r="G628" s="8" t="s">
        <v>170</v>
      </c>
      <c r="H628" s="6" t="s">
        <v>2097</v>
      </c>
      <c r="I628" s="5"/>
      <c r="J628" s="5" t="s">
        <v>258</v>
      </c>
      <c r="K628" s="6" t="s">
        <v>2098</v>
      </c>
      <c r="L628" s="5" t="s">
        <v>2058</v>
      </c>
    </row>
    <row r="629" customFormat="false" ht="57.45" hidden="false" customHeight="false" outlineLevel="0" collapsed="false">
      <c r="A629" s="5" t="s">
        <v>2103</v>
      </c>
      <c r="B629" s="6" t="s">
        <v>2104</v>
      </c>
      <c r="C629" s="5" t="n">
        <v>0.35</v>
      </c>
      <c r="D629" s="5"/>
      <c r="E629" s="5"/>
      <c r="F629" s="5" t="s">
        <v>2105</v>
      </c>
      <c r="G629" s="8" t="s">
        <v>170</v>
      </c>
      <c r="H629" s="6" t="s">
        <v>2097</v>
      </c>
      <c r="I629" s="5"/>
      <c r="J629" s="5" t="s">
        <v>258</v>
      </c>
      <c r="K629" s="6" t="s">
        <v>2106</v>
      </c>
      <c r="L629" s="5" t="s">
        <v>2058</v>
      </c>
    </row>
    <row r="630" customFormat="false" ht="46.25" hidden="false" customHeight="false" outlineLevel="0" collapsed="false">
      <c r="A630" s="5" t="s">
        <v>2107</v>
      </c>
      <c r="B630" s="6" t="s">
        <v>2108</v>
      </c>
      <c r="C630" s="5" t="n">
        <v>35</v>
      </c>
      <c r="D630" s="5"/>
      <c r="E630" s="5"/>
      <c r="F630" s="5" t="s">
        <v>119</v>
      </c>
      <c r="G630" s="8" t="s">
        <v>170</v>
      </c>
      <c r="H630" s="6" t="s">
        <v>2097</v>
      </c>
      <c r="I630" s="5"/>
      <c r="J630" s="5" t="s">
        <v>258</v>
      </c>
      <c r="K630" s="6" t="s">
        <v>2098</v>
      </c>
      <c r="L630" s="5" t="s">
        <v>2058</v>
      </c>
    </row>
    <row r="631" customFormat="false" ht="57.45" hidden="false" customHeight="false" outlineLevel="0" collapsed="false">
      <c r="A631" s="5" t="s">
        <v>2109</v>
      </c>
      <c r="B631" s="6" t="s">
        <v>2110</v>
      </c>
      <c r="C631" s="5" t="n">
        <v>29</v>
      </c>
      <c r="D631" s="5"/>
      <c r="E631" s="5"/>
      <c r="F631" s="5" t="s">
        <v>119</v>
      </c>
      <c r="G631" s="8" t="s">
        <v>170</v>
      </c>
      <c r="H631" s="6" t="s">
        <v>2097</v>
      </c>
      <c r="I631" s="5"/>
      <c r="J631" s="5" t="s">
        <v>258</v>
      </c>
      <c r="K631" s="6" t="s">
        <v>2111</v>
      </c>
      <c r="L631" s="5" t="s">
        <v>2058</v>
      </c>
    </row>
    <row r="632" customFormat="false" ht="57.45" hidden="false" customHeight="false" outlineLevel="0" collapsed="false">
      <c r="A632" s="5" t="s">
        <v>2112</v>
      </c>
      <c r="B632" s="6" t="s">
        <v>2113</v>
      </c>
      <c r="C632" s="5" t="n">
        <v>85</v>
      </c>
      <c r="D632" s="5"/>
      <c r="E632" s="5"/>
      <c r="F632" s="5" t="s">
        <v>119</v>
      </c>
      <c r="G632" s="8" t="s">
        <v>170</v>
      </c>
      <c r="H632" s="6" t="s">
        <v>2097</v>
      </c>
      <c r="I632" s="5"/>
      <c r="J632" s="5" t="s">
        <v>258</v>
      </c>
      <c r="K632" s="6" t="s">
        <v>2111</v>
      </c>
      <c r="L632" s="5" t="s">
        <v>2058</v>
      </c>
    </row>
    <row r="633" customFormat="false" ht="57.45" hidden="false" customHeight="false" outlineLevel="0" collapsed="false">
      <c r="A633" s="5" t="s">
        <v>2114</v>
      </c>
      <c r="B633" s="6" t="s">
        <v>2115</v>
      </c>
      <c r="C633" s="5" t="n">
        <v>22</v>
      </c>
      <c r="D633" s="5"/>
      <c r="E633" s="5"/>
      <c r="F633" s="5" t="s">
        <v>119</v>
      </c>
      <c r="G633" s="8" t="s">
        <v>170</v>
      </c>
      <c r="H633" s="6" t="s">
        <v>2097</v>
      </c>
      <c r="I633" s="5"/>
      <c r="J633" s="5" t="s">
        <v>258</v>
      </c>
      <c r="K633" s="6" t="s">
        <v>2111</v>
      </c>
      <c r="L633" s="5" t="s">
        <v>2058</v>
      </c>
    </row>
    <row r="634" customFormat="false" ht="57.45" hidden="false" customHeight="false" outlineLevel="0" collapsed="false">
      <c r="A634" s="5" t="s">
        <v>2116</v>
      </c>
      <c r="B634" s="6" t="s">
        <v>2117</v>
      </c>
      <c r="C634" s="5" t="n">
        <v>19</v>
      </c>
      <c r="D634" s="5"/>
      <c r="E634" s="5"/>
      <c r="F634" s="5" t="s">
        <v>119</v>
      </c>
      <c r="G634" s="8" t="s">
        <v>170</v>
      </c>
      <c r="H634" s="6" t="s">
        <v>2097</v>
      </c>
      <c r="I634" s="5"/>
      <c r="J634" s="5" t="s">
        <v>258</v>
      </c>
      <c r="K634" s="6" t="s">
        <v>2111</v>
      </c>
      <c r="L634" s="5" t="s">
        <v>2058</v>
      </c>
    </row>
    <row r="635" customFormat="false" ht="68.65" hidden="false" customHeight="false" outlineLevel="0" collapsed="false">
      <c r="A635" s="5" t="s">
        <v>2118</v>
      </c>
      <c r="B635" s="6" t="s">
        <v>2119</v>
      </c>
      <c r="C635" s="5" t="n">
        <v>3.4</v>
      </c>
      <c r="D635" s="5"/>
      <c r="E635" s="5"/>
      <c r="F635" s="5" t="s">
        <v>119</v>
      </c>
      <c r="G635" s="8" t="s">
        <v>170</v>
      </c>
      <c r="H635" s="6" t="s">
        <v>2097</v>
      </c>
      <c r="I635" s="5"/>
      <c r="J635" s="5" t="s">
        <v>258</v>
      </c>
      <c r="K635" s="6" t="s">
        <v>2120</v>
      </c>
      <c r="L635" s="5" t="s">
        <v>2058</v>
      </c>
    </row>
    <row r="636" customFormat="false" ht="68.65" hidden="false" customHeight="false" outlineLevel="0" collapsed="false">
      <c r="A636" s="5" t="s">
        <v>2121</v>
      </c>
      <c r="B636" s="6" t="s">
        <v>2100</v>
      </c>
      <c r="C636" s="5" t="n">
        <v>8.2</v>
      </c>
      <c r="D636" s="5"/>
      <c r="E636" s="5"/>
      <c r="F636" s="5" t="s">
        <v>119</v>
      </c>
      <c r="G636" s="8" t="s">
        <v>170</v>
      </c>
      <c r="H636" s="6" t="s">
        <v>2097</v>
      </c>
      <c r="I636" s="5"/>
      <c r="J636" s="5" t="s">
        <v>258</v>
      </c>
      <c r="K636" s="6" t="s">
        <v>2120</v>
      </c>
      <c r="L636" s="5" t="s">
        <v>2058</v>
      </c>
    </row>
    <row r="637" customFormat="false" ht="124.6" hidden="false" customHeight="false" outlineLevel="0" collapsed="false">
      <c r="A637" s="5" t="s">
        <v>2122</v>
      </c>
      <c r="B637" s="6" t="s">
        <v>2123</v>
      </c>
      <c r="C637" s="5" t="n">
        <v>0</v>
      </c>
      <c r="D637" s="5"/>
      <c r="E637" s="5"/>
      <c r="F637" s="5" t="s">
        <v>2124</v>
      </c>
      <c r="G637" s="8" t="s">
        <v>170</v>
      </c>
      <c r="H637" s="6" t="s">
        <v>2097</v>
      </c>
      <c r="I637" s="5"/>
      <c r="J637" s="5" t="s">
        <v>258</v>
      </c>
      <c r="K637" s="6" t="s">
        <v>2125</v>
      </c>
      <c r="L637" s="5" t="s">
        <v>2058</v>
      </c>
    </row>
    <row r="638" customFormat="false" ht="102.2" hidden="false" customHeight="false" outlineLevel="0" collapsed="false">
      <c r="A638" s="5" t="s">
        <v>2126</v>
      </c>
      <c r="B638" s="6" t="s">
        <v>2127</v>
      </c>
      <c r="C638" s="5" t="n">
        <v>0.2</v>
      </c>
      <c r="D638" s="5"/>
      <c r="E638" s="5"/>
      <c r="F638" s="5" t="s">
        <v>2124</v>
      </c>
      <c r="G638" s="8" t="s">
        <v>170</v>
      </c>
      <c r="H638" s="6" t="s">
        <v>2097</v>
      </c>
      <c r="I638" s="5"/>
      <c r="J638" s="5" t="s">
        <v>258</v>
      </c>
      <c r="K638" s="6" t="s">
        <v>2128</v>
      </c>
      <c r="L638" s="5" t="s">
        <v>2058</v>
      </c>
    </row>
    <row r="639" customFormat="false" ht="102.2" hidden="false" customHeight="false" outlineLevel="0" collapsed="false">
      <c r="A639" s="5" t="s">
        <v>2129</v>
      </c>
      <c r="B639" s="6" t="s">
        <v>2130</v>
      </c>
      <c r="C639" s="5" t="n">
        <v>0.4</v>
      </c>
      <c r="D639" s="5"/>
      <c r="E639" s="5"/>
      <c r="F639" s="5" t="s">
        <v>2124</v>
      </c>
      <c r="G639" s="8" t="s">
        <v>170</v>
      </c>
      <c r="H639" s="6" t="s">
        <v>2097</v>
      </c>
      <c r="I639" s="5"/>
      <c r="J639" s="5" t="s">
        <v>258</v>
      </c>
      <c r="K639" s="6" t="s">
        <v>2128</v>
      </c>
      <c r="L639" s="5" t="s">
        <v>2058</v>
      </c>
    </row>
    <row r="640" customFormat="false" ht="102.2" hidden="false" customHeight="false" outlineLevel="0" collapsed="false">
      <c r="A640" s="5" t="s">
        <v>2131</v>
      </c>
      <c r="B640" s="6" t="s">
        <v>2132</v>
      </c>
      <c r="C640" s="5" t="n">
        <v>0.05</v>
      </c>
      <c r="D640" s="5"/>
      <c r="E640" s="5"/>
      <c r="F640" s="5" t="s">
        <v>2124</v>
      </c>
      <c r="G640" s="8" t="s">
        <v>170</v>
      </c>
      <c r="H640" s="6" t="s">
        <v>2097</v>
      </c>
      <c r="I640" s="5"/>
      <c r="J640" s="5" t="s">
        <v>258</v>
      </c>
      <c r="K640" s="6" t="s">
        <v>2128</v>
      </c>
      <c r="L640" s="5" t="s">
        <v>2058</v>
      </c>
    </row>
    <row r="641" customFormat="false" ht="57.45" hidden="false" customHeight="false" outlineLevel="0" collapsed="false">
      <c r="A641" s="5" t="s">
        <v>2133</v>
      </c>
      <c r="B641" s="6" t="s">
        <v>2134</v>
      </c>
      <c r="C641" s="5" t="n">
        <v>20</v>
      </c>
      <c r="D641" s="5"/>
      <c r="E641" s="5"/>
      <c r="F641" s="5" t="s">
        <v>119</v>
      </c>
      <c r="G641" s="7" t="s">
        <v>42</v>
      </c>
      <c r="H641" s="6" t="s">
        <v>2135</v>
      </c>
      <c r="I641" s="5" t="s">
        <v>2136</v>
      </c>
      <c r="J641" s="5" t="s">
        <v>2137</v>
      </c>
      <c r="K641" s="6" t="s">
        <v>2138</v>
      </c>
      <c r="L641" s="5" t="s">
        <v>2058</v>
      </c>
    </row>
    <row r="642" customFormat="false" ht="57.45" hidden="false" customHeight="false" outlineLevel="0" collapsed="false">
      <c r="A642" s="5" t="s">
        <v>2139</v>
      </c>
      <c r="B642" s="6" t="s">
        <v>1376</v>
      </c>
      <c r="C642" s="5" t="n">
        <v>61</v>
      </c>
      <c r="D642" s="5"/>
      <c r="E642" s="5"/>
      <c r="F642" s="5" t="s">
        <v>119</v>
      </c>
      <c r="G642" s="7" t="s">
        <v>42</v>
      </c>
      <c r="H642" s="6" t="s">
        <v>2135</v>
      </c>
      <c r="I642" s="5" t="s">
        <v>2136</v>
      </c>
      <c r="J642" s="5" t="s">
        <v>2137</v>
      </c>
      <c r="K642" s="6" t="s">
        <v>2140</v>
      </c>
      <c r="L642" s="5" t="s">
        <v>2058</v>
      </c>
    </row>
    <row r="643" customFormat="false" ht="57.45" hidden="false" customHeight="false" outlineLevel="0" collapsed="false">
      <c r="A643" s="5" t="s">
        <v>2141</v>
      </c>
      <c r="B643" s="6" t="s">
        <v>2142</v>
      </c>
      <c r="C643" s="5" t="n">
        <v>25</v>
      </c>
      <c r="D643" s="5"/>
      <c r="E643" s="5"/>
      <c r="F643" s="5" t="s">
        <v>119</v>
      </c>
      <c r="G643" s="7" t="s">
        <v>42</v>
      </c>
      <c r="H643" s="6" t="s">
        <v>2143</v>
      </c>
      <c r="I643" s="5" t="s">
        <v>2136</v>
      </c>
      <c r="J643" s="5" t="s">
        <v>2137</v>
      </c>
      <c r="K643" s="6" t="s">
        <v>2144</v>
      </c>
      <c r="L643" s="5" t="s">
        <v>2058</v>
      </c>
    </row>
    <row r="644" customFormat="false" ht="57.45" hidden="false" customHeight="false" outlineLevel="0" collapsed="false">
      <c r="A644" s="5" t="s">
        <v>2145</v>
      </c>
      <c r="B644" s="6" t="s">
        <v>2146</v>
      </c>
      <c r="C644" s="5" t="n">
        <v>34</v>
      </c>
      <c r="D644" s="5"/>
      <c r="E644" s="5"/>
      <c r="F644" s="5" t="s">
        <v>119</v>
      </c>
      <c r="G644" s="7" t="s">
        <v>42</v>
      </c>
      <c r="H644" s="6" t="s">
        <v>2147</v>
      </c>
      <c r="I644" s="5" t="s">
        <v>2136</v>
      </c>
      <c r="J644" s="5" t="s">
        <v>2137</v>
      </c>
      <c r="K644" s="6" t="s">
        <v>2148</v>
      </c>
      <c r="L644" s="5" t="s">
        <v>2058</v>
      </c>
    </row>
    <row r="645" customFormat="false" ht="35.05" hidden="false" customHeight="false" outlineLevel="0" collapsed="false">
      <c r="A645" s="5" t="s">
        <v>2149</v>
      </c>
      <c r="B645" s="6" t="s">
        <v>2150</v>
      </c>
      <c r="C645" s="5" t="n">
        <v>39</v>
      </c>
      <c r="D645" s="5"/>
      <c r="E645" s="5"/>
      <c r="F645" s="5" t="s">
        <v>119</v>
      </c>
      <c r="G645" s="7" t="s">
        <v>42</v>
      </c>
      <c r="H645" s="6" t="s">
        <v>2151</v>
      </c>
      <c r="I645" s="5" t="s">
        <v>2152</v>
      </c>
      <c r="J645" s="5" t="s">
        <v>2153</v>
      </c>
      <c r="K645" s="6" t="s">
        <v>2154</v>
      </c>
      <c r="L645" s="5" t="s">
        <v>2058</v>
      </c>
    </row>
    <row r="646" customFormat="false" ht="35.05" hidden="false" customHeight="false" outlineLevel="0" collapsed="false">
      <c r="A646" s="5" t="s">
        <v>2155</v>
      </c>
      <c r="B646" s="6" t="s">
        <v>2156</v>
      </c>
      <c r="C646" s="5" t="n">
        <v>0.6</v>
      </c>
      <c r="D646" s="5"/>
      <c r="E646" s="5"/>
      <c r="F646" s="5" t="s">
        <v>2157</v>
      </c>
      <c r="G646" s="7" t="s">
        <v>42</v>
      </c>
      <c r="H646" s="6" t="s">
        <v>2158</v>
      </c>
      <c r="I646" s="5" t="s">
        <v>2159</v>
      </c>
      <c r="J646" s="5" t="s">
        <v>2160</v>
      </c>
      <c r="K646" s="6" t="s">
        <v>2161</v>
      </c>
      <c r="L646" s="5" t="s">
        <v>2058</v>
      </c>
    </row>
    <row r="647" customFormat="false" ht="46.25" hidden="false" customHeight="false" outlineLevel="0" collapsed="false">
      <c r="A647" s="5" t="s">
        <v>2162</v>
      </c>
      <c r="B647" s="6" t="s">
        <v>2163</v>
      </c>
      <c r="C647" s="5" t="n">
        <v>11</v>
      </c>
      <c r="D647" s="5"/>
      <c r="E647" s="5"/>
      <c r="F647" s="5" t="s">
        <v>119</v>
      </c>
      <c r="G647" s="7" t="s">
        <v>42</v>
      </c>
      <c r="H647" s="6" t="s">
        <v>2164</v>
      </c>
      <c r="I647" s="5" t="s">
        <v>2165</v>
      </c>
      <c r="J647" s="5" t="s">
        <v>2166</v>
      </c>
      <c r="K647" s="6" t="s">
        <v>2167</v>
      </c>
      <c r="L647" s="5" t="s">
        <v>2058</v>
      </c>
    </row>
    <row r="648" customFormat="false" ht="23.85" hidden="false" customHeight="false" outlineLevel="0" collapsed="false">
      <c r="A648" s="5" t="s">
        <v>2168</v>
      </c>
      <c r="B648" s="6" t="s">
        <v>2169</v>
      </c>
      <c r="C648" s="5" t="n">
        <v>19.48</v>
      </c>
      <c r="D648" s="5"/>
      <c r="E648" s="5"/>
      <c r="F648" s="5" t="s">
        <v>119</v>
      </c>
      <c r="G648" s="7" t="s">
        <v>42</v>
      </c>
      <c r="H648" s="6" t="s">
        <v>2170</v>
      </c>
      <c r="I648" s="5" t="s">
        <v>2165</v>
      </c>
      <c r="J648" s="5" t="s">
        <v>2166</v>
      </c>
      <c r="K648" s="6" t="s">
        <v>2171</v>
      </c>
      <c r="L648" s="5" t="s">
        <v>2058</v>
      </c>
    </row>
    <row r="649" customFormat="false" ht="68.65" hidden="false" customHeight="false" outlineLevel="0" collapsed="false">
      <c r="A649" s="5" t="s">
        <v>2172</v>
      </c>
      <c r="B649" s="6" t="s">
        <v>2173</v>
      </c>
      <c r="C649" s="5" t="n">
        <v>5.77</v>
      </c>
      <c r="D649" s="5"/>
      <c r="E649" s="5"/>
      <c r="F649" s="5" t="s">
        <v>119</v>
      </c>
      <c r="G649" s="7" t="s">
        <v>42</v>
      </c>
      <c r="H649" s="6" t="s">
        <v>2174</v>
      </c>
      <c r="I649" s="5" t="s">
        <v>2175</v>
      </c>
      <c r="J649" s="5" t="s">
        <v>2176</v>
      </c>
      <c r="K649" s="6" t="s">
        <v>2177</v>
      </c>
      <c r="L649" s="5" t="s">
        <v>2058</v>
      </c>
    </row>
    <row r="650" customFormat="false" ht="68.65" hidden="false" customHeight="false" outlineLevel="0" collapsed="false">
      <c r="A650" s="5" t="s">
        <v>2178</v>
      </c>
      <c r="B650" s="6" t="s">
        <v>2179</v>
      </c>
      <c r="C650" s="5" t="n">
        <v>23</v>
      </c>
      <c r="D650" s="5"/>
      <c r="E650" s="5"/>
      <c r="F650" s="5" t="s">
        <v>119</v>
      </c>
      <c r="G650" s="7" t="s">
        <v>42</v>
      </c>
      <c r="H650" s="6" t="s">
        <v>2174</v>
      </c>
      <c r="I650" s="5" t="s">
        <v>2175</v>
      </c>
      <c r="J650" s="5" t="s">
        <v>2176</v>
      </c>
      <c r="K650" s="6" t="s">
        <v>2180</v>
      </c>
      <c r="L650" s="5" t="s">
        <v>2058</v>
      </c>
    </row>
    <row r="651" customFormat="false" ht="46.25" hidden="false" customHeight="false" outlineLevel="0" collapsed="false">
      <c r="A651" s="5" t="s">
        <v>2181</v>
      </c>
      <c r="B651" s="6" t="s">
        <v>2182</v>
      </c>
      <c r="C651" s="5" t="n">
        <v>4.92</v>
      </c>
      <c r="D651" s="5"/>
      <c r="E651" s="5"/>
      <c r="F651" s="5" t="s">
        <v>119</v>
      </c>
      <c r="G651" s="7" t="s">
        <v>42</v>
      </c>
      <c r="H651" s="6" t="s">
        <v>2183</v>
      </c>
      <c r="I651" s="5" t="s">
        <v>2184</v>
      </c>
      <c r="J651" s="5" t="s">
        <v>2185</v>
      </c>
      <c r="K651" s="6" t="s">
        <v>2186</v>
      </c>
      <c r="L651" s="5" t="s">
        <v>2058</v>
      </c>
    </row>
    <row r="652" customFormat="false" ht="35.05" hidden="false" customHeight="false" outlineLevel="0" collapsed="false">
      <c r="A652" s="5" t="s">
        <v>2187</v>
      </c>
      <c r="B652" s="6" t="s">
        <v>2188</v>
      </c>
      <c r="C652" s="5" t="n">
        <v>74.2</v>
      </c>
      <c r="D652" s="5"/>
      <c r="E652" s="5"/>
      <c r="F652" s="5" t="s">
        <v>119</v>
      </c>
      <c r="G652" s="7" t="s">
        <v>42</v>
      </c>
      <c r="H652" s="6" t="s">
        <v>2189</v>
      </c>
      <c r="I652" s="5" t="s">
        <v>2190</v>
      </c>
      <c r="J652" s="5" t="s">
        <v>2191</v>
      </c>
      <c r="K652" s="6" t="s">
        <v>2192</v>
      </c>
      <c r="L652" s="5" t="s">
        <v>2058</v>
      </c>
    </row>
    <row r="653" customFormat="false" ht="57.45" hidden="false" customHeight="false" outlineLevel="0" collapsed="false">
      <c r="A653" s="5" t="s">
        <v>2193</v>
      </c>
      <c r="B653" s="6" t="s">
        <v>2194</v>
      </c>
      <c r="C653" s="5" t="n">
        <v>30</v>
      </c>
      <c r="D653" s="5"/>
      <c r="E653" s="5"/>
      <c r="F653" s="5" t="s">
        <v>2195</v>
      </c>
      <c r="G653" s="7" t="s">
        <v>42</v>
      </c>
      <c r="H653" s="6" t="s">
        <v>2196</v>
      </c>
      <c r="I653" s="5" t="s">
        <v>2197</v>
      </c>
      <c r="J653" s="5" t="s">
        <v>2198</v>
      </c>
      <c r="K653" s="6" t="s">
        <v>2199</v>
      </c>
      <c r="L653" s="5" t="s">
        <v>2200</v>
      </c>
    </row>
    <row r="654" customFormat="false" ht="46.25" hidden="false" customHeight="false" outlineLevel="0" collapsed="false">
      <c r="A654" s="5" t="s">
        <v>2201</v>
      </c>
      <c r="B654" s="6" t="s">
        <v>2202</v>
      </c>
      <c r="C654" s="5" t="n">
        <v>82</v>
      </c>
      <c r="D654" s="5"/>
      <c r="E654" s="5"/>
      <c r="F654" s="5" t="s">
        <v>2203</v>
      </c>
      <c r="G654" s="7" t="s">
        <v>42</v>
      </c>
      <c r="H654" s="6" t="s">
        <v>2196</v>
      </c>
      <c r="I654" s="5" t="s">
        <v>2197</v>
      </c>
      <c r="J654" s="5" t="s">
        <v>2198</v>
      </c>
      <c r="K654" s="6" t="s">
        <v>2204</v>
      </c>
      <c r="L654" s="5" t="s">
        <v>2200</v>
      </c>
    </row>
    <row r="655" customFormat="false" ht="46.25" hidden="false" customHeight="false" outlineLevel="0" collapsed="false">
      <c r="A655" s="5" t="s">
        <v>2205</v>
      </c>
      <c r="B655" s="6" t="s">
        <v>2206</v>
      </c>
      <c r="C655" s="5" t="n">
        <v>86</v>
      </c>
      <c r="D655" s="5"/>
      <c r="E655" s="5"/>
      <c r="F655" s="5" t="s">
        <v>2203</v>
      </c>
      <c r="G655" s="7" t="s">
        <v>42</v>
      </c>
      <c r="H655" s="6" t="s">
        <v>2196</v>
      </c>
      <c r="I655" s="5" t="s">
        <v>2197</v>
      </c>
      <c r="J655" s="5" t="s">
        <v>2198</v>
      </c>
      <c r="K655" s="6" t="s">
        <v>2207</v>
      </c>
      <c r="L655" s="5" t="s">
        <v>2200</v>
      </c>
    </row>
    <row r="656" customFormat="false" ht="57.45" hidden="false" customHeight="false" outlineLevel="0" collapsed="false">
      <c r="A656" s="5" t="s">
        <v>2208</v>
      </c>
      <c r="B656" s="6" t="s">
        <v>2209</v>
      </c>
      <c r="C656" s="5" t="n">
        <v>119109</v>
      </c>
      <c r="D656" s="5"/>
      <c r="E656" s="5"/>
      <c r="F656" s="5" t="s">
        <v>844</v>
      </c>
      <c r="G656" s="7" t="s">
        <v>42</v>
      </c>
      <c r="H656" s="6" t="s">
        <v>2210</v>
      </c>
      <c r="I656" s="5" t="s">
        <v>2211</v>
      </c>
      <c r="J656" s="5" t="s">
        <v>2212</v>
      </c>
      <c r="K656" s="6" t="s">
        <v>2213</v>
      </c>
      <c r="L656" s="5" t="s">
        <v>2200</v>
      </c>
    </row>
    <row r="657" customFormat="false" ht="57.45" hidden="false" customHeight="false" outlineLevel="0" collapsed="false">
      <c r="A657" s="5" t="s">
        <v>2214</v>
      </c>
      <c r="B657" s="6" t="s">
        <v>2215</v>
      </c>
      <c r="C657" s="5" t="n">
        <v>2110.8</v>
      </c>
      <c r="D657" s="5"/>
      <c r="E657" s="5"/>
      <c r="F657" s="5" t="s">
        <v>50</v>
      </c>
      <c r="G657" s="7" t="s">
        <v>42</v>
      </c>
      <c r="H657" s="6" t="s">
        <v>2216</v>
      </c>
      <c r="I657" s="5" t="s">
        <v>2211</v>
      </c>
      <c r="J657" s="5" t="s">
        <v>2212</v>
      </c>
      <c r="K657" s="6" t="s">
        <v>2217</v>
      </c>
      <c r="L657" s="5" t="s">
        <v>2200</v>
      </c>
    </row>
    <row r="658" customFormat="false" ht="57.45" hidden="false" customHeight="false" outlineLevel="0" collapsed="false">
      <c r="A658" s="5" t="s">
        <v>2218</v>
      </c>
      <c r="B658" s="6" t="s">
        <v>2219</v>
      </c>
      <c r="C658" s="5" t="n">
        <v>414.4</v>
      </c>
      <c r="D658" s="5"/>
      <c r="E658" s="5"/>
      <c r="F658" s="5" t="s">
        <v>50</v>
      </c>
      <c r="G658" s="7" t="s">
        <v>42</v>
      </c>
      <c r="H658" s="6" t="s">
        <v>2220</v>
      </c>
      <c r="I658" s="5" t="s">
        <v>2211</v>
      </c>
      <c r="J658" s="5" t="s">
        <v>2212</v>
      </c>
      <c r="K658" s="6" t="s">
        <v>2213</v>
      </c>
      <c r="L658" s="5" t="s">
        <v>2200</v>
      </c>
    </row>
    <row r="659" customFormat="false" ht="57.45" hidden="false" customHeight="false" outlineLevel="0" collapsed="false">
      <c r="A659" s="5" t="s">
        <v>2221</v>
      </c>
      <c r="B659" s="6" t="s">
        <v>2222</v>
      </c>
      <c r="C659" s="5" t="n">
        <v>133.4</v>
      </c>
      <c r="D659" s="5"/>
      <c r="E659" s="5"/>
      <c r="F659" s="5" t="s">
        <v>50</v>
      </c>
      <c r="G659" s="7" t="s">
        <v>42</v>
      </c>
      <c r="H659" s="6" t="s">
        <v>2223</v>
      </c>
      <c r="I659" s="5" t="s">
        <v>2211</v>
      </c>
      <c r="J659" s="5" t="s">
        <v>2212</v>
      </c>
      <c r="K659" s="6" t="s">
        <v>2213</v>
      </c>
      <c r="L659" s="5" t="s">
        <v>2200</v>
      </c>
    </row>
    <row r="660" customFormat="false" ht="57.45" hidden="false" customHeight="false" outlineLevel="0" collapsed="false">
      <c r="A660" s="5" t="s">
        <v>2224</v>
      </c>
      <c r="B660" s="6" t="s">
        <v>2225</v>
      </c>
      <c r="C660" s="5" t="n">
        <v>2359</v>
      </c>
      <c r="D660" s="5"/>
      <c r="E660" s="5"/>
      <c r="F660" s="5" t="s">
        <v>2226</v>
      </c>
      <c r="G660" s="7" t="s">
        <v>42</v>
      </c>
      <c r="H660" s="6" t="s">
        <v>2227</v>
      </c>
      <c r="I660" s="5" t="s">
        <v>2211</v>
      </c>
      <c r="J660" s="5" t="s">
        <v>2212</v>
      </c>
      <c r="K660" s="6" t="s">
        <v>2228</v>
      </c>
      <c r="L660" s="5" t="s">
        <v>2200</v>
      </c>
    </row>
    <row r="661" customFormat="false" ht="57.45" hidden="false" customHeight="false" outlineLevel="0" collapsed="false">
      <c r="A661" s="5" t="s">
        <v>2229</v>
      </c>
      <c r="B661" s="6" t="s">
        <v>2230</v>
      </c>
      <c r="C661" s="5" t="n">
        <v>67.8</v>
      </c>
      <c r="D661" s="5"/>
      <c r="E661" s="5"/>
      <c r="F661" s="5" t="s">
        <v>50</v>
      </c>
      <c r="G661" s="7" t="s">
        <v>42</v>
      </c>
      <c r="H661" s="6" t="s">
        <v>2227</v>
      </c>
      <c r="I661" s="5" t="s">
        <v>2211</v>
      </c>
      <c r="J661" s="5" t="s">
        <v>2212</v>
      </c>
      <c r="K661" s="6" t="s">
        <v>2231</v>
      </c>
      <c r="L661" s="5" t="s">
        <v>2200</v>
      </c>
    </row>
    <row r="662" customFormat="false" ht="46.25" hidden="false" customHeight="false" outlineLevel="0" collapsed="false">
      <c r="A662" s="5" t="s">
        <v>2232</v>
      </c>
      <c r="B662" s="6" t="s">
        <v>2233</v>
      </c>
      <c r="C662" s="5" t="n">
        <v>39.2</v>
      </c>
      <c r="D662" s="5"/>
      <c r="E662" s="5"/>
      <c r="F662" s="5" t="s">
        <v>119</v>
      </c>
      <c r="G662" s="7" t="s">
        <v>42</v>
      </c>
      <c r="H662" s="6" t="s">
        <v>2234</v>
      </c>
      <c r="I662" s="5" t="s">
        <v>2235</v>
      </c>
      <c r="J662" s="5" t="s">
        <v>2236</v>
      </c>
      <c r="K662" s="6" t="s">
        <v>2237</v>
      </c>
      <c r="L662" s="5" t="s">
        <v>2200</v>
      </c>
    </row>
    <row r="663" customFormat="false" ht="46.25" hidden="false" customHeight="false" outlineLevel="0" collapsed="false">
      <c r="A663" s="5" t="s">
        <v>2238</v>
      </c>
      <c r="B663" s="6" t="s">
        <v>2239</v>
      </c>
      <c r="C663" s="5" t="n">
        <v>45.5</v>
      </c>
      <c r="D663" s="5"/>
      <c r="E663" s="5"/>
      <c r="F663" s="5" t="s">
        <v>119</v>
      </c>
      <c r="G663" s="7" t="s">
        <v>42</v>
      </c>
      <c r="H663" s="6" t="s">
        <v>2234</v>
      </c>
      <c r="I663" s="5" t="s">
        <v>2235</v>
      </c>
      <c r="J663" s="5" t="s">
        <v>2236</v>
      </c>
      <c r="K663" s="6" t="s">
        <v>2240</v>
      </c>
      <c r="L663" s="5" t="s">
        <v>2200</v>
      </c>
    </row>
    <row r="664" customFormat="false" ht="46.25" hidden="false" customHeight="false" outlineLevel="0" collapsed="false">
      <c r="A664" s="5" t="s">
        <v>2241</v>
      </c>
      <c r="B664" s="6" t="s">
        <v>2242</v>
      </c>
      <c r="C664" s="5" t="n">
        <v>43.1</v>
      </c>
      <c r="D664" s="5"/>
      <c r="E664" s="5"/>
      <c r="F664" s="5" t="s">
        <v>119</v>
      </c>
      <c r="G664" s="7" t="s">
        <v>42</v>
      </c>
      <c r="H664" s="6" t="s">
        <v>2234</v>
      </c>
      <c r="I664" s="5" t="s">
        <v>2235</v>
      </c>
      <c r="J664" s="5" t="s">
        <v>2236</v>
      </c>
      <c r="K664" s="6" t="s">
        <v>2237</v>
      </c>
      <c r="L664" s="5" t="s">
        <v>2200</v>
      </c>
    </row>
    <row r="665" customFormat="false" ht="57.45" hidden="false" customHeight="false" outlineLevel="0" collapsed="false">
      <c r="A665" s="5" t="s">
        <v>2243</v>
      </c>
      <c r="B665" s="6" t="s">
        <v>2244</v>
      </c>
      <c r="C665" s="5" t="n">
        <v>43.6</v>
      </c>
      <c r="D665" s="5"/>
      <c r="E665" s="5"/>
      <c r="F665" s="5" t="s">
        <v>119</v>
      </c>
      <c r="G665" s="7" t="s">
        <v>42</v>
      </c>
      <c r="H665" s="6" t="s">
        <v>2234</v>
      </c>
      <c r="I665" s="5" t="s">
        <v>2235</v>
      </c>
      <c r="J665" s="5" t="s">
        <v>2236</v>
      </c>
      <c r="K665" s="6" t="s">
        <v>2245</v>
      </c>
      <c r="L665" s="5" t="s">
        <v>2200</v>
      </c>
    </row>
    <row r="666" customFormat="false" ht="68.65" hidden="false" customHeight="false" outlineLevel="0" collapsed="false">
      <c r="A666" s="5" t="s">
        <v>2246</v>
      </c>
      <c r="B666" s="6" t="s">
        <v>2247</v>
      </c>
      <c r="C666" s="5" t="n">
        <v>2.86</v>
      </c>
      <c r="D666" s="5"/>
      <c r="E666" s="5"/>
      <c r="F666" s="5" t="s">
        <v>2248</v>
      </c>
      <c r="G666" s="8" t="s">
        <v>170</v>
      </c>
      <c r="H666" s="6" t="s">
        <v>2249</v>
      </c>
      <c r="I666" s="5"/>
      <c r="J666" s="5" t="s">
        <v>258</v>
      </c>
      <c r="K666" s="6" t="s">
        <v>2250</v>
      </c>
      <c r="L666" s="5" t="s">
        <v>67</v>
      </c>
    </row>
    <row r="667" customFormat="false" ht="68.65" hidden="false" customHeight="false" outlineLevel="0" collapsed="false">
      <c r="A667" s="5" t="s">
        <v>2251</v>
      </c>
      <c r="B667" s="6" t="s">
        <v>2252</v>
      </c>
      <c r="C667" s="5" t="n">
        <v>3.07</v>
      </c>
      <c r="D667" s="5"/>
      <c r="E667" s="5"/>
      <c r="F667" s="5" t="s">
        <v>2248</v>
      </c>
      <c r="G667" s="8" t="s">
        <v>170</v>
      </c>
      <c r="H667" s="6" t="s">
        <v>2249</v>
      </c>
      <c r="I667" s="5"/>
      <c r="J667" s="5" t="s">
        <v>258</v>
      </c>
      <c r="K667" s="6" t="s">
        <v>2250</v>
      </c>
      <c r="L667" s="5" t="s">
        <v>67</v>
      </c>
    </row>
    <row r="668" customFormat="false" ht="68.65" hidden="false" customHeight="false" outlineLevel="0" collapsed="false">
      <c r="A668" s="5" t="s">
        <v>2253</v>
      </c>
      <c r="B668" s="6" t="s">
        <v>2254</v>
      </c>
      <c r="C668" s="5" t="n">
        <v>5.19</v>
      </c>
      <c r="D668" s="5"/>
      <c r="E668" s="5"/>
      <c r="F668" s="5" t="s">
        <v>2248</v>
      </c>
      <c r="G668" s="8" t="s">
        <v>170</v>
      </c>
      <c r="H668" s="6" t="s">
        <v>2249</v>
      </c>
      <c r="I668" s="5"/>
      <c r="J668" s="5" t="s">
        <v>258</v>
      </c>
      <c r="K668" s="6" t="s">
        <v>2250</v>
      </c>
      <c r="L668" s="5" t="s">
        <v>67</v>
      </c>
    </row>
    <row r="669" customFormat="false" ht="79.85" hidden="false" customHeight="false" outlineLevel="0" collapsed="false">
      <c r="A669" s="5" t="s">
        <v>2255</v>
      </c>
      <c r="B669" s="6" t="s">
        <v>2256</v>
      </c>
      <c r="C669" s="5" t="n">
        <v>-8.4</v>
      </c>
      <c r="D669" s="5"/>
      <c r="E669" s="5"/>
      <c r="F669" s="5" t="s">
        <v>119</v>
      </c>
      <c r="G669" s="8" t="s">
        <v>170</v>
      </c>
      <c r="H669" s="6" t="s">
        <v>2249</v>
      </c>
      <c r="I669" s="5"/>
      <c r="J669" s="5" t="s">
        <v>258</v>
      </c>
      <c r="K669" s="6" t="s">
        <v>2257</v>
      </c>
      <c r="L669" s="5" t="s">
        <v>2200</v>
      </c>
    </row>
    <row r="670" customFormat="false" ht="68.65" hidden="false" customHeight="false" outlineLevel="0" collapsed="false">
      <c r="A670" s="5" t="s">
        <v>2258</v>
      </c>
      <c r="B670" s="6" t="s">
        <v>2259</v>
      </c>
      <c r="C670" s="5" t="n">
        <v>3.2</v>
      </c>
      <c r="D670" s="5"/>
      <c r="E670" s="5"/>
      <c r="F670" s="5" t="s">
        <v>119</v>
      </c>
      <c r="G670" s="8" t="s">
        <v>170</v>
      </c>
      <c r="H670" s="6" t="s">
        <v>2260</v>
      </c>
      <c r="I670" s="5"/>
      <c r="J670" s="5" t="s">
        <v>258</v>
      </c>
      <c r="K670" s="6" t="s">
        <v>2261</v>
      </c>
      <c r="L670" s="5" t="s">
        <v>67</v>
      </c>
    </row>
    <row r="671" customFormat="false" ht="68.65" hidden="false" customHeight="false" outlineLevel="0" collapsed="false">
      <c r="A671" s="5" t="s">
        <v>2262</v>
      </c>
      <c r="B671" s="6" t="s">
        <v>2263</v>
      </c>
      <c r="C671" s="5" t="n">
        <v>13.3</v>
      </c>
      <c r="D671" s="5"/>
      <c r="E671" s="5"/>
      <c r="F671" s="5" t="s">
        <v>119</v>
      </c>
      <c r="G671" s="8" t="s">
        <v>170</v>
      </c>
      <c r="H671" s="6" t="s">
        <v>2260</v>
      </c>
      <c r="I671" s="5"/>
      <c r="J671" s="5" t="s">
        <v>258</v>
      </c>
      <c r="K671" s="6" t="s">
        <v>2261</v>
      </c>
      <c r="L671" s="5" t="s">
        <v>67</v>
      </c>
    </row>
    <row r="672" customFormat="false" ht="68.65" hidden="false" customHeight="false" outlineLevel="0" collapsed="false">
      <c r="A672" s="5" t="s">
        <v>2264</v>
      </c>
      <c r="B672" s="6" t="s">
        <v>2265</v>
      </c>
      <c r="C672" s="5" t="n">
        <v>105</v>
      </c>
      <c r="D672" s="5"/>
      <c r="E672" s="5"/>
      <c r="F672" s="5" t="s">
        <v>2203</v>
      </c>
      <c r="G672" s="8" t="s">
        <v>170</v>
      </c>
      <c r="H672" s="6" t="s">
        <v>2260</v>
      </c>
      <c r="I672" s="5"/>
      <c r="J672" s="5" t="s">
        <v>258</v>
      </c>
      <c r="K672" s="6" t="s">
        <v>2261</v>
      </c>
      <c r="L672" s="5" t="s">
        <v>2200</v>
      </c>
    </row>
    <row r="673" customFormat="false" ht="46.25" hidden="false" customHeight="false" outlineLevel="0" collapsed="false">
      <c r="A673" s="5" t="s">
        <v>2266</v>
      </c>
      <c r="B673" s="6" t="s">
        <v>2267</v>
      </c>
      <c r="C673" s="5" t="n">
        <v>2.5</v>
      </c>
      <c r="D673" s="5"/>
      <c r="E673" s="5"/>
      <c r="F673" s="5" t="s">
        <v>2203</v>
      </c>
      <c r="G673" s="8" t="s">
        <v>170</v>
      </c>
      <c r="H673" s="6" t="s">
        <v>2260</v>
      </c>
      <c r="I673" s="5"/>
      <c r="J673" s="5" t="s">
        <v>258</v>
      </c>
      <c r="K673" s="6" t="s">
        <v>2268</v>
      </c>
      <c r="L673" s="5" t="s">
        <v>2200</v>
      </c>
    </row>
    <row r="674" customFormat="false" ht="35.05" hidden="false" customHeight="false" outlineLevel="0" collapsed="false">
      <c r="A674" s="5" t="s">
        <v>2269</v>
      </c>
      <c r="B674" s="6" t="s">
        <v>2270</v>
      </c>
      <c r="C674" s="5" t="n">
        <v>0.4</v>
      </c>
      <c r="D674" s="5"/>
      <c r="E674" s="5"/>
      <c r="F674" s="5" t="s">
        <v>669</v>
      </c>
      <c r="G674" s="8" t="s">
        <v>170</v>
      </c>
      <c r="H674" s="6" t="s">
        <v>2260</v>
      </c>
      <c r="I674" s="5"/>
      <c r="J674" s="5" t="s">
        <v>258</v>
      </c>
      <c r="K674" s="6" t="s">
        <v>2271</v>
      </c>
      <c r="L674" s="5" t="s">
        <v>2200</v>
      </c>
    </row>
    <row r="675" customFormat="false" ht="23.85" hidden="false" customHeight="false" outlineLevel="0" collapsed="false">
      <c r="A675" s="5" t="s">
        <v>2272</v>
      </c>
      <c r="B675" s="6" t="s">
        <v>2273</v>
      </c>
      <c r="C675" s="5" t="n">
        <v>2.4</v>
      </c>
      <c r="D675" s="5"/>
      <c r="E675" s="5"/>
      <c r="F675" s="5" t="s">
        <v>669</v>
      </c>
      <c r="G675" s="8" t="s">
        <v>170</v>
      </c>
      <c r="H675" s="6" t="s">
        <v>2260</v>
      </c>
      <c r="I675" s="5"/>
      <c r="J675" s="5" t="s">
        <v>258</v>
      </c>
      <c r="K675" s="6" t="s">
        <v>2274</v>
      </c>
      <c r="L675" s="5" t="s">
        <v>2200</v>
      </c>
    </row>
    <row r="676" customFormat="false" ht="57.45" hidden="false" customHeight="false" outlineLevel="0" collapsed="false">
      <c r="A676" s="5" t="s">
        <v>2275</v>
      </c>
      <c r="B676" s="6" t="s">
        <v>2276</v>
      </c>
      <c r="C676" s="5" t="n">
        <v>-1.21</v>
      </c>
      <c r="D676" s="5"/>
      <c r="E676" s="5"/>
      <c r="F676" s="5" t="s">
        <v>119</v>
      </c>
      <c r="G676" s="8" t="s">
        <v>170</v>
      </c>
      <c r="H676" s="6" t="s">
        <v>2260</v>
      </c>
      <c r="I676" s="5"/>
      <c r="J676" s="5" t="s">
        <v>258</v>
      </c>
      <c r="K676" s="6" t="s">
        <v>2277</v>
      </c>
      <c r="L676" s="5" t="s">
        <v>2200</v>
      </c>
    </row>
    <row r="677" customFormat="false" ht="15" hidden="false" customHeight="false" outlineLevel="0" collapsed="false">
      <c r="A677" s="5" t="s">
        <v>2278</v>
      </c>
      <c r="B677" s="6" t="s">
        <v>2279</v>
      </c>
      <c r="C677" s="5" t="n">
        <v>0.36</v>
      </c>
      <c r="D677" s="5"/>
      <c r="E677" s="5"/>
      <c r="F677" s="5" t="s">
        <v>119</v>
      </c>
      <c r="G677" s="8" t="s">
        <v>170</v>
      </c>
      <c r="H677" s="6" t="s">
        <v>2260</v>
      </c>
      <c r="I677" s="5"/>
      <c r="J677" s="5" t="s">
        <v>258</v>
      </c>
      <c r="K677" s="6" t="s">
        <v>2280</v>
      </c>
      <c r="L677" s="5" t="s">
        <v>2200</v>
      </c>
    </row>
    <row r="678" customFormat="false" ht="23.85" hidden="false" customHeight="false" outlineLevel="0" collapsed="false">
      <c r="A678" s="5" t="s">
        <v>2281</v>
      </c>
      <c r="B678" s="6" t="s">
        <v>2282</v>
      </c>
      <c r="C678" s="5" t="n">
        <v>1.69</v>
      </c>
      <c r="D678" s="5"/>
      <c r="E678" s="5"/>
      <c r="F678" s="5" t="s">
        <v>840</v>
      </c>
      <c r="G678" s="8" t="s">
        <v>170</v>
      </c>
      <c r="H678" s="6" t="s">
        <v>2260</v>
      </c>
      <c r="I678" s="5"/>
      <c r="J678" s="5" t="s">
        <v>258</v>
      </c>
      <c r="K678" s="6" t="s">
        <v>2283</v>
      </c>
      <c r="L678" s="5" t="s">
        <v>2200</v>
      </c>
    </row>
    <row r="679" customFormat="false" ht="35.05" hidden="false" customHeight="false" outlineLevel="0" collapsed="false">
      <c r="A679" s="5" t="s">
        <v>2284</v>
      </c>
      <c r="B679" s="6" t="s">
        <v>2285</v>
      </c>
      <c r="C679" s="5" t="n">
        <v>42.8</v>
      </c>
      <c r="D679" s="5"/>
      <c r="E679" s="5"/>
      <c r="F679" s="5" t="s">
        <v>2203</v>
      </c>
      <c r="G679" s="7" t="s">
        <v>42</v>
      </c>
      <c r="H679" s="6" t="s">
        <v>2286</v>
      </c>
      <c r="I679" s="5" t="s">
        <v>2287</v>
      </c>
      <c r="J679" s="5" t="s">
        <v>1471</v>
      </c>
      <c r="K679" s="6" t="s">
        <v>2288</v>
      </c>
      <c r="L679" s="5" t="s">
        <v>67</v>
      </c>
    </row>
    <row r="680" customFormat="false" ht="35.05" hidden="false" customHeight="false" outlineLevel="0" collapsed="false">
      <c r="A680" s="5" t="s">
        <v>2289</v>
      </c>
      <c r="B680" s="6" t="s">
        <v>2290</v>
      </c>
      <c r="C680" s="5" t="n">
        <v>67.4</v>
      </c>
      <c r="D680" s="5"/>
      <c r="E680" s="5"/>
      <c r="F680" s="5" t="s">
        <v>2203</v>
      </c>
      <c r="G680" s="7" t="s">
        <v>42</v>
      </c>
      <c r="H680" s="6" t="s">
        <v>2286</v>
      </c>
      <c r="I680" s="5" t="s">
        <v>2287</v>
      </c>
      <c r="J680" s="5" t="s">
        <v>1471</v>
      </c>
      <c r="K680" s="6" t="s">
        <v>2291</v>
      </c>
      <c r="L680" s="5" t="s">
        <v>67</v>
      </c>
    </row>
    <row r="681" customFormat="false" ht="23.85" hidden="false" customHeight="false" outlineLevel="0" collapsed="false">
      <c r="A681" s="5" t="s">
        <v>2292</v>
      </c>
      <c r="B681" s="6" t="s">
        <v>2293</v>
      </c>
      <c r="C681" s="5" t="n">
        <v>31</v>
      </c>
      <c r="D681" s="5"/>
      <c r="E681" s="5"/>
      <c r="F681" s="5" t="s">
        <v>2203</v>
      </c>
      <c r="G681" s="7" t="s">
        <v>42</v>
      </c>
      <c r="H681" s="6" t="s">
        <v>2294</v>
      </c>
      <c r="I681" s="5" t="s">
        <v>2295</v>
      </c>
      <c r="J681" s="5" t="s">
        <v>65</v>
      </c>
      <c r="K681" s="6" t="s">
        <v>2296</v>
      </c>
      <c r="L681" s="5" t="s">
        <v>67</v>
      </c>
    </row>
    <row r="682" customFormat="false" ht="35.05" hidden="false" customHeight="false" outlineLevel="0" collapsed="false">
      <c r="A682" s="5" t="s">
        <v>2297</v>
      </c>
      <c r="B682" s="6" t="s">
        <v>2298</v>
      </c>
      <c r="C682" s="5" t="n">
        <v>150</v>
      </c>
      <c r="D682" s="5"/>
      <c r="E682" s="5"/>
      <c r="F682" s="5" t="s">
        <v>2299</v>
      </c>
      <c r="G682" s="7" t="s">
        <v>42</v>
      </c>
      <c r="H682" s="6" t="s">
        <v>2300</v>
      </c>
      <c r="I682" s="5" t="s">
        <v>2301</v>
      </c>
      <c r="J682" s="5" t="s">
        <v>2302</v>
      </c>
      <c r="K682" s="6" t="s">
        <v>2303</v>
      </c>
      <c r="L682" s="5" t="s">
        <v>2200</v>
      </c>
    </row>
    <row r="683" customFormat="false" ht="23.85" hidden="false" customHeight="false" outlineLevel="0" collapsed="false">
      <c r="A683" s="5" t="s">
        <v>2304</v>
      </c>
      <c r="B683" s="6" t="s">
        <v>1376</v>
      </c>
      <c r="C683" s="5" t="n">
        <v>200</v>
      </c>
      <c r="D683" s="5"/>
      <c r="E683" s="5"/>
      <c r="F683" s="5" t="s">
        <v>2299</v>
      </c>
      <c r="G683" s="7" t="s">
        <v>42</v>
      </c>
      <c r="H683" s="6" t="s">
        <v>2305</v>
      </c>
      <c r="I683" s="5" t="s">
        <v>2301</v>
      </c>
      <c r="J683" s="5" t="s">
        <v>2302</v>
      </c>
      <c r="K683" s="6" t="s">
        <v>2306</v>
      </c>
      <c r="L683" s="5" t="s">
        <v>2200</v>
      </c>
    </row>
    <row r="684" customFormat="false" ht="35.05" hidden="false" customHeight="false" outlineLevel="0" collapsed="false">
      <c r="A684" s="5" t="s">
        <v>2307</v>
      </c>
      <c r="B684" s="6" t="s">
        <v>2308</v>
      </c>
      <c r="C684" s="5" t="n">
        <v>42</v>
      </c>
      <c r="D684" s="5"/>
      <c r="E684" s="5"/>
      <c r="F684" s="5" t="s">
        <v>119</v>
      </c>
      <c r="G684" s="7" t="s">
        <v>42</v>
      </c>
      <c r="H684" s="6" t="s">
        <v>2309</v>
      </c>
      <c r="I684" s="5" t="s">
        <v>2310</v>
      </c>
      <c r="J684" s="5" t="s">
        <v>2311</v>
      </c>
      <c r="K684" s="6" t="s">
        <v>2312</v>
      </c>
      <c r="L684" s="5" t="s">
        <v>2200</v>
      </c>
    </row>
    <row r="685" customFormat="false" ht="113.4" hidden="false" customHeight="false" outlineLevel="0" collapsed="false">
      <c r="A685" s="5" t="s">
        <v>2313</v>
      </c>
      <c r="B685" s="6" t="s">
        <v>2314</v>
      </c>
      <c r="C685" s="5" t="n">
        <v>10</v>
      </c>
      <c r="D685" s="5" t="n">
        <v>5</v>
      </c>
      <c r="E685" s="5" t="n">
        <v>20</v>
      </c>
      <c r="F685" s="5" t="s">
        <v>2203</v>
      </c>
      <c r="G685" s="9" t="s">
        <v>365</v>
      </c>
      <c r="H685" s="6" t="s">
        <v>512</v>
      </c>
      <c r="I685" s="5"/>
      <c r="J685" s="5" t="s">
        <v>258</v>
      </c>
      <c r="K685" s="6" t="s">
        <v>2315</v>
      </c>
      <c r="L685" s="5" t="s">
        <v>67</v>
      </c>
    </row>
    <row r="686" customFormat="false" ht="68.65" hidden="false" customHeight="false" outlineLevel="0" collapsed="false">
      <c r="A686" s="5" t="s">
        <v>2316</v>
      </c>
      <c r="B686" s="6" t="s">
        <v>2317</v>
      </c>
      <c r="C686" s="5" t="n">
        <v>5</v>
      </c>
      <c r="D686" s="5" t="n">
        <v>2</v>
      </c>
      <c r="E686" s="5" t="n">
        <v>10</v>
      </c>
      <c r="F686" s="5" t="s">
        <v>119</v>
      </c>
      <c r="G686" s="9" t="s">
        <v>365</v>
      </c>
      <c r="H686" s="6" t="s">
        <v>512</v>
      </c>
      <c r="I686" s="5"/>
      <c r="J686" s="5" t="s">
        <v>258</v>
      </c>
      <c r="K686" s="6" t="s">
        <v>2318</v>
      </c>
      <c r="L686" s="5" t="s">
        <v>67</v>
      </c>
    </row>
    <row r="687" customFormat="false" ht="135.8" hidden="false" customHeight="false" outlineLevel="0" collapsed="false">
      <c r="A687" s="5" t="s">
        <v>2319</v>
      </c>
      <c r="B687" s="6" t="s">
        <v>2320</v>
      </c>
      <c r="C687" s="5"/>
      <c r="D687" s="5"/>
      <c r="E687" s="5"/>
      <c r="F687" s="5" t="s">
        <v>74</v>
      </c>
      <c r="G687" s="7" t="s">
        <v>42</v>
      </c>
      <c r="H687" s="6" t="s">
        <v>2321</v>
      </c>
      <c r="I687" s="5" t="s">
        <v>64</v>
      </c>
      <c r="J687" s="5" t="s">
        <v>45</v>
      </c>
      <c r="K687" s="6" t="s">
        <v>2322</v>
      </c>
      <c r="L687" s="5" t="s">
        <v>2323</v>
      </c>
    </row>
    <row r="688" customFormat="false" ht="91" hidden="false" customHeight="false" outlineLevel="0" collapsed="false">
      <c r="A688" s="5" t="s">
        <v>2324</v>
      </c>
      <c r="B688" s="6" t="s">
        <v>2325</v>
      </c>
      <c r="C688" s="5"/>
      <c r="D688" s="5"/>
      <c r="E688" s="5"/>
      <c r="F688" s="5" t="s">
        <v>74</v>
      </c>
      <c r="G688" s="7" t="s">
        <v>42</v>
      </c>
      <c r="H688" s="6" t="s">
        <v>2326</v>
      </c>
      <c r="I688" s="5" t="s">
        <v>2327</v>
      </c>
      <c r="J688" s="5" t="s">
        <v>2328</v>
      </c>
      <c r="K688" s="6" t="s">
        <v>2329</v>
      </c>
      <c r="L688" s="5" t="s">
        <v>2323</v>
      </c>
    </row>
    <row r="689" customFormat="false" ht="68.65" hidden="false" customHeight="false" outlineLevel="0" collapsed="false">
      <c r="A689" s="5" t="s">
        <v>2330</v>
      </c>
      <c r="B689" s="6" t="s">
        <v>2331</v>
      </c>
      <c r="C689" s="5" t="n">
        <v>99.9</v>
      </c>
      <c r="D689" s="5"/>
      <c r="E689" s="5"/>
      <c r="F689" s="5" t="s">
        <v>119</v>
      </c>
      <c r="G689" s="7" t="s">
        <v>42</v>
      </c>
      <c r="H689" s="6" t="s">
        <v>2332</v>
      </c>
      <c r="I689" s="5" t="s">
        <v>2327</v>
      </c>
      <c r="J689" s="5" t="s">
        <v>2328</v>
      </c>
      <c r="K689" s="6" t="s">
        <v>2333</v>
      </c>
      <c r="L689" s="5" t="s">
        <v>2323</v>
      </c>
    </row>
    <row r="690" customFormat="false" ht="91" hidden="false" customHeight="false" outlineLevel="0" collapsed="false">
      <c r="A690" s="5" t="s">
        <v>2334</v>
      </c>
      <c r="B690" s="6" t="s">
        <v>2335</v>
      </c>
      <c r="C690" s="5"/>
      <c r="D690" s="5"/>
      <c r="E690" s="5"/>
      <c r="F690" s="5" t="s">
        <v>74</v>
      </c>
      <c r="G690" s="7" t="s">
        <v>42</v>
      </c>
      <c r="H690" s="6" t="s">
        <v>2336</v>
      </c>
      <c r="I690" s="5" t="s">
        <v>2337</v>
      </c>
      <c r="J690" s="5" t="s">
        <v>84</v>
      </c>
      <c r="K690" s="6" t="s">
        <v>2338</v>
      </c>
      <c r="L690" s="5" t="s">
        <v>2323</v>
      </c>
    </row>
    <row r="691" customFormat="false" ht="102.2" hidden="false" customHeight="false" outlineLevel="0" collapsed="false">
      <c r="A691" s="5" t="s">
        <v>2339</v>
      </c>
      <c r="B691" s="6" t="s">
        <v>2340</v>
      </c>
      <c r="C691" s="5" t="n">
        <v>-2.254</v>
      </c>
      <c r="D691" s="5"/>
      <c r="E691" s="5"/>
      <c r="F691" s="5" t="s">
        <v>2341</v>
      </c>
      <c r="G691" s="8" t="s">
        <v>170</v>
      </c>
      <c r="H691" s="6" t="s">
        <v>2342</v>
      </c>
      <c r="I691" s="5"/>
      <c r="J691" s="5" t="s">
        <v>517</v>
      </c>
      <c r="K691" s="6" t="s">
        <v>2343</v>
      </c>
      <c r="L691" s="5" t="s">
        <v>67</v>
      </c>
    </row>
    <row r="692" customFormat="false" ht="57.45" hidden="false" customHeight="false" outlineLevel="0" collapsed="false">
      <c r="A692" s="5" t="s">
        <v>2344</v>
      </c>
      <c r="B692" s="6" t="s">
        <v>2345</v>
      </c>
      <c r="C692" s="5" t="n">
        <v>0.299</v>
      </c>
      <c r="D692" s="5"/>
      <c r="E692" s="5"/>
      <c r="F692" s="5" t="s">
        <v>2341</v>
      </c>
      <c r="G692" s="8" t="s">
        <v>170</v>
      </c>
      <c r="H692" s="6" t="s">
        <v>2342</v>
      </c>
      <c r="I692" s="5"/>
      <c r="J692" s="5" t="s">
        <v>517</v>
      </c>
      <c r="K692" s="6" t="s">
        <v>2346</v>
      </c>
      <c r="L692" s="5" t="s">
        <v>2323</v>
      </c>
    </row>
    <row r="693" customFormat="false" ht="79.85" hidden="false" customHeight="false" outlineLevel="0" collapsed="false">
      <c r="A693" s="5" t="s">
        <v>2347</v>
      </c>
      <c r="B693" s="6" t="s">
        <v>2348</v>
      </c>
      <c r="C693" s="5" t="n">
        <v>1.149</v>
      </c>
      <c r="D693" s="5"/>
      <c r="E693" s="5"/>
      <c r="F693" s="5" t="s">
        <v>2341</v>
      </c>
      <c r="G693" s="8" t="s">
        <v>170</v>
      </c>
      <c r="H693" s="6" t="s">
        <v>2342</v>
      </c>
      <c r="I693" s="5"/>
      <c r="J693" s="5" t="s">
        <v>517</v>
      </c>
      <c r="K693" s="6" t="s">
        <v>2349</v>
      </c>
      <c r="L693" s="5" t="s">
        <v>2323</v>
      </c>
    </row>
    <row r="694" customFormat="false" ht="102.2" hidden="false" customHeight="false" outlineLevel="0" collapsed="false">
      <c r="A694" s="5" t="s">
        <v>2350</v>
      </c>
      <c r="B694" s="6" t="s">
        <v>2351</v>
      </c>
      <c r="C694" s="5" t="n">
        <v>68.9</v>
      </c>
      <c r="D694" s="5"/>
      <c r="E694" s="5"/>
      <c r="F694" s="5" t="s">
        <v>2352</v>
      </c>
      <c r="G694" s="8" t="s">
        <v>170</v>
      </c>
      <c r="H694" s="6" t="s">
        <v>2342</v>
      </c>
      <c r="I694" s="5"/>
      <c r="J694" s="5" t="s">
        <v>517</v>
      </c>
      <c r="K694" s="6" t="s">
        <v>2353</v>
      </c>
      <c r="L694" s="5" t="s">
        <v>67</v>
      </c>
    </row>
    <row r="695" customFormat="false" ht="35.05" hidden="false" customHeight="false" outlineLevel="0" collapsed="false">
      <c r="A695" s="5" t="s">
        <v>2354</v>
      </c>
      <c r="B695" s="6" t="s">
        <v>2355</v>
      </c>
      <c r="C695" s="5" t="n">
        <v>83.9</v>
      </c>
      <c r="D695" s="5"/>
      <c r="E695" s="5"/>
      <c r="F695" s="5" t="s">
        <v>2352</v>
      </c>
      <c r="G695" s="8" t="s">
        <v>170</v>
      </c>
      <c r="H695" s="6" t="s">
        <v>2342</v>
      </c>
      <c r="I695" s="5"/>
      <c r="J695" s="5" t="s">
        <v>517</v>
      </c>
      <c r="K695" s="6" t="s">
        <v>2356</v>
      </c>
      <c r="L695" s="5" t="s">
        <v>67</v>
      </c>
    </row>
    <row r="696" customFormat="false" ht="35.05" hidden="false" customHeight="false" outlineLevel="0" collapsed="false">
      <c r="A696" s="5" t="s">
        <v>2357</v>
      </c>
      <c r="B696" s="6" t="s">
        <v>2358</v>
      </c>
      <c r="C696" s="5" t="n">
        <v>1.745</v>
      </c>
      <c r="D696" s="5"/>
      <c r="E696" s="5"/>
      <c r="F696" s="5" t="s">
        <v>2341</v>
      </c>
      <c r="G696" s="8" t="s">
        <v>170</v>
      </c>
      <c r="H696" s="6" t="s">
        <v>2342</v>
      </c>
      <c r="I696" s="5"/>
      <c r="J696" s="5" t="s">
        <v>517</v>
      </c>
      <c r="K696" s="6" t="s">
        <v>2359</v>
      </c>
      <c r="L696" s="5" t="s">
        <v>2323</v>
      </c>
    </row>
    <row r="697" customFormat="false" ht="23.85" hidden="false" customHeight="false" outlineLevel="0" collapsed="false">
      <c r="A697" s="5" t="s">
        <v>2360</v>
      </c>
      <c r="B697" s="6" t="s">
        <v>2361</v>
      </c>
      <c r="C697" s="5" t="n">
        <v>4.723</v>
      </c>
      <c r="D697" s="5"/>
      <c r="E697" s="5"/>
      <c r="F697" s="5" t="s">
        <v>2341</v>
      </c>
      <c r="G697" s="8" t="s">
        <v>170</v>
      </c>
      <c r="H697" s="6" t="s">
        <v>2342</v>
      </c>
      <c r="I697" s="5"/>
      <c r="J697" s="5" t="s">
        <v>517</v>
      </c>
      <c r="K697" s="6" t="s">
        <v>2362</v>
      </c>
      <c r="L697" s="5" t="s">
        <v>2323</v>
      </c>
    </row>
    <row r="698" customFormat="false" ht="46.25" hidden="false" customHeight="false" outlineLevel="0" collapsed="false">
      <c r="A698" s="5" t="s">
        <v>2363</v>
      </c>
      <c r="B698" s="6" t="s">
        <v>2364</v>
      </c>
      <c r="C698" s="5" t="n">
        <v>2.289</v>
      </c>
      <c r="D698" s="5"/>
      <c r="E698" s="5"/>
      <c r="F698" s="5" t="s">
        <v>119</v>
      </c>
      <c r="G698" s="8" t="s">
        <v>170</v>
      </c>
      <c r="H698" s="6" t="s">
        <v>2342</v>
      </c>
      <c r="I698" s="5"/>
      <c r="J698" s="5" t="s">
        <v>517</v>
      </c>
      <c r="K698" s="6" t="s">
        <v>2365</v>
      </c>
      <c r="L698" s="5" t="s">
        <v>2323</v>
      </c>
    </row>
    <row r="699" customFormat="false" ht="23.85" hidden="false" customHeight="false" outlineLevel="0" collapsed="false">
      <c r="A699" s="5" t="s">
        <v>2366</v>
      </c>
      <c r="B699" s="6" t="s">
        <v>2367</v>
      </c>
      <c r="C699" s="5" t="n">
        <v>-0.364</v>
      </c>
      <c r="D699" s="5"/>
      <c r="E699" s="5"/>
      <c r="F699" s="5" t="s">
        <v>119</v>
      </c>
      <c r="G699" s="8" t="s">
        <v>170</v>
      </c>
      <c r="H699" s="6" t="s">
        <v>2342</v>
      </c>
      <c r="I699" s="5"/>
      <c r="J699" s="5" t="s">
        <v>517</v>
      </c>
      <c r="K699" s="6" t="s">
        <v>2368</v>
      </c>
      <c r="L699" s="5" t="s">
        <v>2323</v>
      </c>
    </row>
    <row r="700" customFormat="false" ht="57.45" hidden="false" customHeight="false" outlineLevel="0" collapsed="false">
      <c r="A700" s="5" t="s">
        <v>2369</v>
      </c>
      <c r="B700" s="6" t="s">
        <v>2370</v>
      </c>
      <c r="C700" s="5" t="n">
        <v>-0.64</v>
      </c>
      <c r="D700" s="5"/>
      <c r="E700" s="5"/>
      <c r="F700" s="5" t="s">
        <v>1705</v>
      </c>
      <c r="G700" s="8" t="s">
        <v>170</v>
      </c>
      <c r="H700" s="6" t="s">
        <v>2342</v>
      </c>
      <c r="I700" s="5"/>
      <c r="J700" s="5" t="s">
        <v>517</v>
      </c>
      <c r="K700" s="6" t="s">
        <v>2371</v>
      </c>
      <c r="L700" s="5" t="s">
        <v>2323</v>
      </c>
    </row>
    <row r="701" customFormat="false" ht="15" hidden="false" customHeight="false" outlineLevel="0" collapsed="false">
      <c r="A701" s="5" t="s">
        <v>2372</v>
      </c>
      <c r="B701" s="6" t="s">
        <v>2373</v>
      </c>
      <c r="C701" s="5" t="n">
        <v>-0.43</v>
      </c>
      <c r="D701" s="5"/>
      <c r="E701" s="5"/>
      <c r="F701" s="5" t="s">
        <v>1705</v>
      </c>
      <c r="G701" s="8" t="s">
        <v>170</v>
      </c>
      <c r="H701" s="6" t="s">
        <v>2342</v>
      </c>
      <c r="I701" s="5"/>
      <c r="J701" s="5" t="s">
        <v>517</v>
      </c>
      <c r="K701" s="6" t="s">
        <v>2374</v>
      </c>
      <c r="L701" s="5" t="s">
        <v>2323</v>
      </c>
    </row>
    <row r="702" customFormat="false" ht="79.85" hidden="false" customHeight="false" outlineLevel="0" collapsed="false">
      <c r="A702" s="5" t="s">
        <v>2375</v>
      </c>
      <c r="B702" s="6" t="s">
        <v>2376</v>
      </c>
      <c r="C702" s="5"/>
      <c r="D702" s="5"/>
      <c r="E702" s="5"/>
      <c r="F702" s="5" t="s">
        <v>74</v>
      </c>
      <c r="G702" s="7" t="s">
        <v>42</v>
      </c>
      <c r="H702" s="6" t="s">
        <v>2377</v>
      </c>
      <c r="I702" s="5" t="s">
        <v>64</v>
      </c>
      <c r="J702" s="5" t="s">
        <v>45</v>
      </c>
      <c r="K702" s="6" t="s">
        <v>2378</v>
      </c>
      <c r="L702" s="5" t="s">
        <v>2379</v>
      </c>
    </row>
    <row r="703" customFormat="false" ht="68.65" hidden="false" customHeight="false" outlineLevel="0" collapsed="false">
      <c r="A703" s="5" t="s">
        <v>2380</v>
      </c>
      <c r="B703" s="6" t="s">
        <v>2381</v>
      </c>
      <c r="C703" s="5"/>
      <c r="D703" s="5"/>
      <c r="E703" s="5"/>
      <c r="F703" s="5" t="s">
        <v>74</v>
      </c>
      <c r="G703" s="7" t="s">
        <v>42</v>
      </c>
      <c r="H703" s="6" t="s">
        <v>2382</v>
      </c>
      <c r="I703" s="5" t="s">
        <v>64</v>
      </c>
      <c r="J703" s="5" t="s">
        <v>45</v>
      </c>
      <c r="K703" s="6" t="s">
        <v>2383</v>
      </c>
      <c r="L703" s="5" t="s">
        <v>2379</v>
      </c>
    </row>
    <row r="704" customFormat="false" ht="102.2" hidden="false" customHeight="false" outlineLevel="0" collapsed="false">
      <c r="A704" s="5" t="s">
        <v>2384</v>
      </c>
      <c r="B704" s="6" t="s">
        <v>2385</v>
      </c>
      <c r="C704" s="5"/>
      <c r="D704" s="5"/>
      <c r="E704" s="5"/>
      <c r="F704" s="5" t="s">
        <v>74</v>
      </c>
      <c r="G704" s="7" t="s">
        <v>42</v>
      </c>
      <c r="H704" s="6" t="s">
        <v>2386</v>
      </c>
      <c r="I704" s="5" t="s">
        <v>2387</v>
      </c>
      <c r="J704" s="5" t="s">
        <v>2388</v>
      </c>
      <c r="K704" s="6" t="s">
        <v>2389</v>
      </c>
      <c r="L704" s="5" t="s">
        <v>2379</v>
      </c>
    </row>
    <row r="705" customFormat="false" ht="79.85" hidden="false" customHeight="false" outlineLevel="0" collapsed="false">
      <c r="A705" s="5" t="s">
        <v>2390</v>
      </c>
      <c r="B705" s="6" t="s">
        <v>2391</v>
      </c>
      <c r="C705" s="5" t="n">
        <v>9</v>
      </c>
      <c r="D705" s="5"/>
      <c r="E705" s="5"/>
      <c r="F705" s="5" t="s">
        <v>119</v>
      </c>
      <c r="G705" s="7" t="s">
        <v>42</v>
      </c>
      <c r="H705" s="6" t="s">
        <v>2392</v>
      </c>
      <c r="I705" s="5" t="s">
        <v>2393</v>
      </c>
      <c r="J705" s="5" t="s">
        <v>2394</v>
      </c>
      <c r="K705" s="6" t="s">
        <v>2395</v>
      </c>
      <c r="L705" s="5" t="s">
        <v>2379</v>
      </c>
    </row>
    <row r="706" customFormat="false" ht="91" hidden="false" customHeight="false" outlineLevel="0" collapsed="false">
      <c r="A706" s="5" t="s">
        <v>2396</v>
      </c>
      <c r="B706" s="6" t="s">
        <v>2397</v>
      </c>
      <c r="C706" s="5" t="n">
        <v>1</v>
      </c>
      <c r="D706" s="5"/>
      <c r="E706" s="5"/>
      <c r="F706" s="5" t="s">
        <v>2398</v>
      </c>
      <c r="G706" s="7" t="s">
        <v>42</v>
      </c>
      <c r="H706" s="6" t="s">
        <v>2399</v>
      </c>
      <c r="I706" s="5" t="s">
        <v>431</v>
      </c>
      <c r="J706" s="5" t="s">
        <v>432</v>
      </c>
      <c r="K706" s="6" t="s">
        <v>2400</v>
      </c>
      <c r="L706" s="5" t="s">
        <v>2379</v>
      </c>
    </row>
    <row r="707" customFormat="false" ht="46.25" hidden="false" customHeight="false" outlineLevel="0" collapsed="false">
      <c r="A707" s="5" t="s">
        <v>2401</v>
      </c>
      <c r="B707" s="6" t="s">
        <v>2402</v>
      </c>
      <c r="C707" s="5" t="n">
        <v>0.5</v>
      </c>
      <c r="D707" s="5"/>
      <c r="E707" s="5"/>
      <c r="F707" s="5" t="s">
        <v>2398</v>
      </c>
      <c r="G707" s="7" t="s">
        <v>42</v>
      </c>
      <c r="H707" s="6" t="s">
        <v>2403</v>
      </c>
      <c r="I707" s="5" t="s">
        <v>431</v>
      </c>
      <c r="J707" s="5" t="s">
        <v>432</v>
      </c>
      <c r="K707" s="6" t="s">
        <v>2404</v>
      </c>
      <c r="L707" s="5" t="s">
        <v>2379</v>
      </c>
    </row>
    <row r="708" customFormat="false" ht="46.25" hidden="false" customHeight="false" outlineLevel="0" collapsed="false">
      <c r="A708" s="5" t="s">
        <v>2405</v>
      </c>
      <c r="B708" s="6" t="s">
        <v>2406</v>
      </c>
      <c r="C708" s="5" t="n">
        <v>2125</v>
      </c>
      <c r="D708" s="5"/>
      <c r="E708" s="5"/>
      <c r="F708" s="5" t="s">
        <v>50</v>
      </c>
      <c r="G708" s="7" t="s">
        <v>42</v>
      </c>
      <c r="H708" s="6" t="s">
        <v>2407</v>
      </c>
      <c r="I708" s="5" t="s">
        <v>529</v>
      </c>
      <c r="J708" s="5" t="s">
        <v>530</v>
      </c>
      <c r="K708" s="6" t="s">
        <v>2408</v>
      </c>
      <c r="L708" s="5" t="s">
        <v>2379</v>
      </c>
    </row>
    <row r="709" customFormat="false" ht="46.25" hidden="false" customHeight="false" outlineLevel="0" collapsed="false">
      <c r="A709" s="5" t="s">
        <v>2409</v>
      </c>
      <c r="B709" s="6" t="s">
        <v>2410</v>
      </c>
      <c r="C709" s="5" t="n">
        <v>708</v>
      </c>
      <c r="D709" s="5"/>
      <c r="E709" s="5"/>
      <c r="F709" s="5" t="s">
        <v>50</v>
      </c>
      <c r="G709" s="7" t="s">
        <v>42</v>
      </c>
      <c r="H709" s="6" t="s">
        <v>2411</v>
      </c>
      <c r="I709" s="5" t="s">
        <v>529</v>
      </c>
      <c r="J709" s="5" t="s">
        <v>530</v>
      </c>
      <c r="K709" s="6" t="s">
        <v>2412</v>
      </c>
      <c r="L709" s="5" t="s">
        <v>2379</v>
      </c>
    </row>
    <row r="710" customFormat="false" ht="46.25" hidden="false" customHeight="false" outlineLevel="0" collapsed="false">
      <c r="A710" s="5" t="s">
        <v>2413</v>
      </c>
      <c r="B710" s="6" t="s">
        <v>2414</v>
      </c>
      <c r="C710" s="5" t="n">
        <v>227</v>
      </c>
      <c r="D710" s="5"/>
      <c r="E710" s="5"/>
      <c r="F710" s="5" t="s">
        <v>50</v>
      </c>
      <c r="G710" s="7" t="s">
        <v>42</v>
      </c>
      <c r="H710" s="6" t="s">
        <v>2415</v>
      </c>
      <c r="I710" s="5" t="s">
        <v>529</v>
      </c>
      <c r="J710" s="5" t="s">
        <v>530</v>
      </c>
      <c r="K710" s="6" t="s">
        <v>2416</v>
      </c>
      <c r="L710" s="5" t="s">
        <v>2379</v>
      </c>
    </row>
    <row r="711" customFormat="false" ht="35.05" hidden="false" customHeight="false" outlineLevel="0" collapsed="false">
      <c r="A711" s="5" t="s">
        <v>2417</v>
      </c>
      <c r="B711" s="6" t="s">
        <v>2418</v>
      </c>
      <c r="C711" s="5" t="n">
        <v>0.43</v>
      </c>
      <c r="D711" s="5"/>
      <c r="E711" s="5"/>
      <c r="F711" s="5" t="s">
        <v>119</v>
      </c>
      <c r="G711" s="7" t="s">
        <v>42</v>
      </c>
      <c r="H711" s="6" t="s">
        <v>2419</v>
      </c>
      <c r="I711" s="5" t="s">
        <v>529</v>
      </c>
      <c r="J711" s="5" t="s">
        <v>530</v>
      </c>
      <c r="K711" s="6" t="s">
        <v>2420</v>
      </c>
      <c r="L711" s="5" t="s">
        <v>2379</v>
      </c>
    </row>
    <row r="712" customFormat="false" ht="113.4" hidden="false" customHeight="false" outlineLevel="0" collapsed="false">
      <c r="A712" s="5" t="s">
        <v>2421</v>
      </c>
      <c r="B712" s="6" t="s">
        <v>2422</v>
      </c>
      <c r="C712" s="5" t="n">
        <v>1.01</v>
      </c>
      <c r="D712" s="5"/>
      <c r="E712" s="5"/>
      <c r="F712" s="5" t="s">
        <v>2423</v>
      </c>
      <c r="G712" s="8" t="s">
        <v>170</v>
      </c>
      <c r="H712" s="6" t="s">
        <v>2424</v>
      </c>
      <c r="I712" s="5"/>
      <c r="J712" s="5" t="s">
        <v>517</v>
      </c>
      <c r="K712" s="6" t="s">
        <v>2425</v>
      </c>
      <c r="L712" s="5" t="s">
        <v>2379</v>
      </c>
    </row>
    <row r="713" customFormat="false" ht="46.25" hidden="false" customHeight="false" outlineLevel="0" collapsed="false">
      <c r="A713" s="5" t="s">
        <v>2426</v>
      </c>
      <c r="B713" s="6" t="s">
        <v>2427</v>
      </c>
      <c r="C713" s="5" t="n">
        <v>-0.14</v>
      </c>
      <c r="D713" s="5"/>
      <c r="E713" s="5"/>
      <c r="F713" s="5" t="s">
        <v>1387</v>
      </c>
      <c r="G713" s="8" t="s">
        <v>170</v>
      </c>
      <c r="H713" s="6" t="s">
        <v>2424</v>
      </c>
      <c r="I713" s="5"/>
      <c r="J713" s="5" t="s">
        <v>517</v>
      </c>
      <c r="K713" s="6" t="s">
        <v>2428</v>
      </c>
      <c r="L713" s="5" t="s">
        <v>2379</v>
      </c>
    </row>
    <row r="714" customFormat="false" ht="68.65" hidden="false" customHeight="false" outlineLevel="0" collapsed="false">
      <c r="A714" s="5" t="s">
        <v>2429</v>
      </c>
      <c r="B714" s="6" t="s">
        <v>2430</v>
      </c>
      <c r="C714" s="5" t="n">
        <v>-1.15</v>
      </c>
      <c r="D714" s="5"/>
      <c r="E714" s="5"/>
      <c r="F714" s="5" t="s">
        <v>1387</v>
      </c>
      <c r="G714" s="8" t="s">
        <v>170</v>
      </c>
      <c r="H714" s="6" t="s">
        <v>2424</v>
      </c>
      <c r="I714" s="5"/>
      <c r="J714" s="5" t="s">
        <v>517</v>
      </c>
      <c r="K714" s="6" t="s">
        <v>2431</v>
      </c>
      <c r="L714" s="5" t="s">
        <v>2379</v>
      </c>
    </row>
    <row r="715" customFormat="false" ht="68.65" hidden="false" customHeight="false" outlineLevel="0" collapsed="false">
      <c r="A715" s="5" t="s">
        <v>2432</v>
      </c>
      <c r="B715" s="6" t="s">
        <v>2433</v>
      </c>
      <c r="C715" s="5" t="n">
        <v>1.04</v>
      </c>
      <c r="D715" s="5"/>
      <c r="E715" s="5"/>
      <c r="F715" s="5" t="s">
        <v>1387</v>
      </c>
      <c r="G715" s="8" t="s">
        <v>170</v>
      </c>
      <c r="H715" s="6" t="s">
        <v>2424</v>
      </c>
      <c r="I715" s="5"/>
      <c r="J715" s="5" t="s">
        <v>517</v>
      </c>
      <c r="K715" s="6" t="s">
        <v>2434</v>
      </c>
      <c r="L715" s="5" t="s">
        <v>2379</v>
      </c>
    </row>
    <row r="716" customFormat="false" ht="35.05" hidden="false" customHeight="false" outlineLevel="0" collapsed="false">
      <c r="A716" s="5" t="s">
        <v>2435</v>
      </c>
      <c r="B716" s="6" t="s">
        <v>2436</v>
      </c>
      <c r="C716" s="5" t="n">
        <v>0.93</v>
      </c>
      <c r="D716" s="5"/>
      <c r="E716" s="5"/>
      <c r="F716" s="5" t="s">
        <v>2423</v>
      </c>
      <c r="G716" s="8" t="s">
        <v>170</v>
      </c>
      <c r="H716" s="6" t="s">
        <v>2424</v>
      </c>
      <c r="I716" s="5"/>
      <c r="J716" s="5" t="s">
        <v>517</v>
      </c>
      <c r="K716" s="6" t="s">
        <v>2437</v>
      </c>
      <c r="L716" s="5" t="s">
        <v>2379</v>
      </c>
    </row>
    <row r="717" customFormat="false" ht="35.05" hidden="false" customHeight="false" outlineLevel="0" collapsed="false">
      <c r="A717" s="5" t="s">
        <v>2438</v>
      </c>
      <c r="B717" s="6" t="s">
        <v>2439</v>
      </c>
      <c r="C717" s="5" t="n">
        <v>3.38</v>
      </c>
      <c r="D717" s="5"/>
      <c r="E717" s="5"/>
      <c r="F717" s="5" t="s">
        <v>2423</v>
      </c>
      <c r="G717" s="8" t="s">
        <v>170</v>
      </c>
      <c r="H717" s="6" t="s">
        <v>2424</v>
      </c>
      <c r="I717" s="5"/>
      <c r="J717" s="5" t="s">
        <v>517</v>
      </c>
      <c r="K717" s="6" t="s">
        <v>2440</v>
      </c>
      <c r="L717" s="5" t="s">
        <v>2379</v>
      </c>
    </row>
    <row r="718" customFormat="false" ht="23.85" hidden="false" customHeight="false" outlineLevel="0" collapsed="false">
      <c r="A718" s="5" t="s">
        <v>2441</v>
      </c>
      <c r="B718" s="6" t="s">
        <v>2442</v>
      </c>
      <c r="C718" s="5" t="n">
        <v>2.93</v>
      </c>
      <c r="D718" s="5"/>
      <c r="E718" s="5"/>
      <c r="F718" s="5" t="s">
        <v>1387</v>
      </c>
      <c r="G718" s="8" t="s">
        <v>170</v>
      </c>
      <c r="H718" s="6" t="s">
        <v>2424</v>
      </c>
      <c r="I718" s="5"/>
      <c r="J718" s="5" t="s">
        <v>517</v>
      </c>
      <c r="K718" s="6" t="s">
        <v>2443</v>
      </c>
      <c r="L718" s="5" t="s">
        <v>2379</v>
      </c>
    </row>
    <row r="719" customFormat="false" ht="57.45" hidden="false" customHeight="false" outlineLevel="0" collapsed="false">
      <c r="A719" s="5" t="s">
        <v>2444</v>
      </c>
      <c r="B719" s="6" t="s">
        <v>2445</v>
      </c>
      <c r="C719" s="5" t="n">
        <v>12</v>
      </c>
      <c r="D719" s="5" t="n">
        <v>6</v>
      </c>
      <c r="E719" s="5" t="n">
        <v>18</v>
      </c>
      <c r="F719" s="5" t="s">
        <v>95</v>
      </c>
      <c r="G719" s="9" t="s">
        <v>365</v>
      </c>
      <c r="H719" s="6" t="s">
        <v>2446</v>
      </c>
      <c r="I719" s="5"/>
      <c r="J719" s="5" t="s">
        <v>517</v>
      </c>
      <c r="K719" s="6" t="s">
        <v>2447</v>
      </c>
      <c r="L719" s="5" t="s">
        <v>2379</v>
      </c>
    </row>
    <row r="720" customFormat="false" ht="46.25" hidden="false" customHeight="false" outlineLevel="0" collapsed="false">
      <c r="A720" s="5" t="s">
        <v>2448</v>
      </c>
      <c r="B720" s="6" t="s">
        <v>2449</v>
      </c>
      <c r="C720" s="5"/>
      <c r="D720" s="5"/>
      <c r="E720" s="5"/>
      <c r="F720" s="5" t="s">
        <v>74</v>
      </c>
      <c r="G720" s="7" t="s">
        <v>42</v>
      </c>
      <c r="H720" s="6" t="s">
        <v>2450</v>
      </c>
      <c r="I720" s="5" t="s">
        <v>2451</v>
      </c>
      <c r="J720" s="5" t="s">
        <v>2452</v>
      </c>
      <c r="K720" s="6" t="s">
        <v>2453</v>
      </c>
      <c r="L720" s="5" t="s">
        <v>2454</v>
      </c>
    </row>
    <row r="721" customFormat="false" ht="46.25" hidden="false" customHeight="false" outlineLevel="0" collapsed="false">
      <c r="A721" s="5" t="s">
        <v>2455</v>
      </c>
      <c r="B721" s="6" t="s">
        <v>2456</v>
      </c>
      <c r="C721" s="5"/>
      <c r="D721" s="5"/>
      <c r="E721" s="5"/>
      <c r="F721" s="5" t="s">
        <v>74</v>
      </c>
      <c r="G721" s="7" t="s">
        <v>42</v>
      </c>
      <c r="H721" s="6" t="s">
        <v>2457</v>
      </c>
      <c r="I721" s="5" t="s">
        <v>2451</v>
      </c>
      <c r="J721" s="5" t="s">
        <v>2452</v>
      </c>
      <c r="K721" s="6" t="s">
        <v>2458</v>
      </c>
      <c r="L721" s="5" t="s">
        <v>2454</v>
      </c>
    </row>
    <row r="722" customFormat="false" ht="113.4" hidden="false" customHeight="false" outlineLevel="0" collapsed="false">
      <c r="A722" s="5" t="s">
        <v>2459</v>
      </c>
      <c r="B722" s="6" t="s">
        <v>2460</v>
      </c>
      <c r="C722" s="5"/>
      <c r="D722" s="5"/>
      <c r="E722" s="5"/>
      <c r="F722" s="5" t="s">
        <v>74</v>
      </c>
      <c r="G722" s="7" t="s">
        <v>42</v>
      </c>
      <c r="H722" s="6" t="s">
        <v>2461</v>
      </c>
      <c r="I722" s="5" t="s">
        <v>2462</v>
      </c>
      <c r="J722" s="5" t="s">
        <v>2463</v>
      </c>
      <c r="K722" s="6" t="s">
        <v>2464</v>
      </c>
      <c r="L722" s="5" t="s">
        <v>2454</v>
      </c>
    </row>
    <row r="723" customFormat="false" ht="102.2" hidden="false" customHeight="false" outlineLevel="0" collapsed="false">
      <c r="A723" s="5" t="s">
        <v>2465</v>
      </c>
      <c r="B723" s="6" t="s">
        <v>2466</v>
      </c>
      <c r="C723" s="5"/>
      <c r="D723" s="5"/>
      <c r="E723" s="5"/>
      <c r="F723" s="5" t="s">
        <v>74</v>
      </c>
      <c r="G723" s="7" t="s">
        <v>42</v>
      </c>
      <c r="H723" s="6" t="s">
        <v>2467</v>
      </c>
      <c r="I723" s="5" t="s">
        <v>2468</v>
      </c>
      <c r="J723" s="5" t="s">
        <v>2469</v>
      </c>
      <c r="K723" s="6" t="s">
        <v>2470</v>
      </c>
      <c r="L723" s="5" t="s">
        <v>2454</v>
      </c>
    </row>
    <row r="724" customFormat="false" ht="57.45" hidden="false" customHeight="false" outlineLevel="0" collapsed="false">
      <c r="A724" s="5" t="s">
        <v>2471</v>
      </c>
      <c r="B724" s="6" t="s">
        <v>2472</v>
      </c>
      <c r="C724" s="5"/>
      <c r="D724" s="5"/>
      <c r="E724" s="5"/>
      <c r="F724" s="5" t="s">
        <v>74</v>
      </c>
      <c r="G724" s="7" t="s">
        <v>42</v>
      </c>
      <c r="H724" s="6" t="s">
        <v>2473</v>
      </c>
      <c r="I724" s="5" t="s">
        <v>2474</v>
      </c>
      <c r="J724" s="5" t="s">
        <v>2475</v>
      </c>
      <c r="K724" s="6" t="s">
        <v>2476</v>
      </c>
      <c r="L724" s="5" t="s">
        <v>2454</v>
      </c>
    </row>
    <row r="725" customFormat="false" ht="79.85" hidden="false" customHeight="false" outlineLevel="0" collapsed="false">
      <c r="A725" s="5" t="s">
        <v>2477</v>
      </c>
      <c r="B725" s="6" t="s">
        <v>2478</v>
      </c>
      <c r="C725" s="5"/>
      <c r="D725" s="5"/>
      <c r="E725" s="5"/>
      <c r="F725" s="5" t="s">
        <v>74</v>
      </c>
      <c r="G725" s="7" t="s">
        <v>42</v>
      </c>
      <c r="H725" s="6" t="s">
        <v>2479</v>
      </c>
      <c r="I725" s="5" t="s">
        <v>2474</v>
      </c>
      <c r="J725" s="5" t="s">
        <v>2475</v>
      </c>
      <c r="K725" s="6" t="s">
        <v>2480</v>
      </c>
      <c r="L725" s="5" t="s">
        <v>2454</v>
      </c>
    </row>
    <row r="726" customFormat="false" ht="57.45" hidden="false" customHeight="false" outlineLevel="0" collapsed="false">
      <c r="A726" s="5" t="s">
        <v>2481</v>
      </c>
      <c r="B726" s="6" t="s">
        <v>2482</v>
      </c>
      <c r="C726" s="5"/>
      <c r="D726" s="5"/>
      <c r="E726" s="5"/>
      <c r="F726" s="5" t="s">
        <v>74</v>
      </c>
      <c r="G726" s="7" t="s">
        <v>42</v>
      </c>
      <c r="H726" s="6" t="s">
        <v>2483</v>
      </c>
      <c r="I726" s="5" t="s">
        <v>451</v>
      </c>
      <c r="J726" s="5" t="s">
        <v>452</v>
      </c>
      <c r="K726" s="6" t="s">
        <v>2484</v>
      </c>
      <c r="L726" s="5" t="s">
        <v>2454</v>
      </c>
    </row>
    <row r="727" customFormat="false" ht="79.85" hidden="false" customHeight="false" outlineLevel="0" collapsed="false">
      <c r="A727" s="5" t="s">
        <v>2485</v>
      </c>
      <c r="B727" s="6" t="s">
        <v>2486</v>
      </c>
      <c r="C727" s="5"/>
      <c r="D727" s="5"/>
      <c r="E727" s="5"/>
      <c r="F727" s="5" t="s">
        <v>74</v>
      </c>
      <c r="G727" s="7" t="s">
        <v>42</v>
      </c>
      <c r="H727" s="6" t="s">
        <v>2487</v>
      </c>
      <c r="I727" s="5" t="s">
        <v>451</v>
      </c>
      <c r="J727" s="5" t="s">
        <v>452</v>
      </c>
      <c r="K727" s="6" t="s">
        <v>2488</v>
      </c>
      <c r="L727" s="5" t="s">
        <v>2454</v>
      </c>
    </row>
    <row r="728" customFormat="false" ht="91" hidden="false" customHeight="false" outlineLevel="0" collapsed="false">
      <c r="A728" s="5" t="s">
        <v>2489</v>
      </c>
      <c r="B728" s="6" t="s">
        <v>2490</v>
      </c>
      <c r="C728" s="5"/>
      <c r="D728" s="5"/>
      <c r="E728" s="5"/>
      <c r="F728" s="5" t="s">
        <v>74</v>
      </c>
      <c r="G728" s="7" t="s">
        <v>42</v>
      </c>
      <c r="H728" s="6" t="s">
        <v>2491</v>
      </c>
      <c r="I728" s="5" t="s">
        <v>390</v>
      </c>
      <c r="J728" s="5" t="s">
        <v>2492</v>
      </c>
      <c r="K728" s="6" t="s">
        <v>2493</v>
      </c>
      <c r="L728" s="5" t="s">
        <v>2454</v>
      </c>
    </row>
    <row r="729" customFormat="false" ht="102.2" hidden="false" customHeight="false" outlineLevel="0" collapsed="false">
      <c r="A729" s="5" t="s">
        <v>2494</v>
      </c>
      <c r="B729" s="6" t="s">
        <v>2495</v>
      </c>
      <c r="C729" s="5"/>
      <c r="D729" s="5"/>
      <c r="E729" s="5"/>
      <c r="F729" s="5" t="s">
        <v>74</v>
      </c>
      <c r="G729" s="7" t="s">
        <v>42</v>
      </c>
      <c r="H729" s="6" t="s">
        <v>2496</v>
      </c>
      <c r="I729" s="5" t="s">
        <v>2497</v>
      </c>
      <c r="J729" s="5" t="s">
        <v>446</v>
      </c>
      <c r="K729" s="6" t="s">
        <v>2498</v>
      </c>
      <c r="L729" s="5" t="s">
        <v>2454</v>
      </c>
    </row>
    <row r="730" customFormat="false" ht="57.45" hidden="false" customHeight="false" outlineLevel="0" collapsed="false">
      <c r="A730" s="5" t="s">
        <v>2499</v>
      </c>
      <c r="B730" s="6" t="s">
        <v>2500</v>
      </c>
      <c r="C730" s="5"/>
      <c r="D730" s="5"/>
      <c r="E730" s="5"/>
      <c r="F730" s="5" t="s">
        <v>74</v>
      </c>
      <c r="G730" s="7" t="s">
        <v>42</v>
      </c>
      <c r="H730" s="6" t="s">
        <v>2501</v>
      </c>
      <c r="I730" s="5" t="s">
        <v>2502</v>
      </c>
      <c r="J730" s="5" t="s">
        <v>446</v>
      </c>
      <c r="K730" s="6" t="s">
        <v>2503</v>
      </c>
      <c r="L730" s="5" t="s">
        <v>2454</v>
      </c>
    </row>
    <row r="731" customFormat="false" ht="79.85" hidden="false" customHeight="false" outlineLevel="0" collapsed="false">
      <c r="A731" s="5" t="s">
        <v>2504</v>
      </c>
      <c r="B731" s="6" t="s">
        <v>2505</v>
      </c>
      <c r="C731" s="5"/>
      <c r="D731" s="5"/>
      <c r="E731" s="5"/>
      <c r="F731" s="5" t="s">
        <v>74</v>
      </c>
      <c r="G731" s="7" t="s">
        <v>42</v>
      </c>
      <c r="H731" s="6" t="s">
        <v>2506</v>
      </c>
      <c r="I731" s="5" t="s">
        <v>2507</v>
      </c>
      <c r="J731" s="5" t="s">
        <v>446</v>
      </c>
      <c r="K731" s="6" t="s">
        <v>2508</v>
      </c>
      <c r="L731" s="5" t="s">
        <v>2454</v>
      </c>
    </row>
    <row r="732" customFormat="false" ht="91" hidden="false" customHeight="false" outlineLevel="0" collapsed="false">
      <c r="A732" s="5" t="s">
        <v>2509</v>
      </c>
      <c r="B732" s="6" t="s">
        <v>2510</v>
      </c>
      <c r="C732" s="5" t="n">
        <v>175000</v>
      </c>
      <c r="D732" s="5"/>
      <c r="E732" s="5"/>
      <c r="F732" s="5" t="s">
        <v>602</v>
      </c>
      <c r="G732" s="7" t="s">
        <v>42</v>
      </c>
      <c r="H732" s="6" t="s">
        <v>2511</v>
      </c>
      <c r="I732" s="5" t="s">
        <v>2512</v>
      </c>
      <c r="J732" s="5" t="s">
        <v>2513</v>
      </c>
      <c r="K732" s="6" t="s">
        <v>2514</v>
      </c>
      <c r="L732" s="5" t="s">
        <v>2454</v>
      </c>
    </row>
    <row r="733" customFormat="false" ht="91" hidden="false" customHeight="false" outlineLevel="0" collapsed="false">
      <c r="A733" s="5" t="s">
        <v>2515</v>
      </c>
      <c r="B733" s="6" t="s">
        <v>2516</v>
      </c>
      <c r="C733" s="5"/>
      <c r="D733" s="5"/>
      <c r="E733" s="5"/>
      <c r="F733" s="5" t="s">
        <v>74</v>
      </c>
      <c r="G733" s="7" t="s">
        <v>42</v>
      </c>
      <c r="H733" s="6" t="s">
        <v>2517</v>
      </c>
      <c r="I733" s="5" t="s">
        <v>2518</v>
      </c>
      <c r="J733" s="5" t="s">
        <v>446</v>
      </c>
      <c r="K733" s="6" t="s">
        <v>2519</v>
      </c>
      <c r="L733" s="5" t="s">
        <v>2454</v>
      </c>
    </row>
    <row r="734" customFormat="false" ht="79.85" hidden="false" customHeight="false" outlineLevel="0" collapsed="false">
      <c r="A734" s="5" t="s">
        <v>2520</v>
      </c>
      <c r="B734" s="6" t="s">
        <v>2521</v>
      </c>
      <c r="C734" s="5" t="n">
        <v>37.2</v>
      </c>
      <c r="D734" s="5"/>
      <c r="E734" s="5"/>
      <c r="F734" s="5" t="s">
        <v>2522</v>
      </c>
      <c r="G734" s="8" t="s">
        <v>170</v>
      </c>
      <c r="H734" s="6" t="s">
        <v>2523</v>
      </c>
      <c r="I734" s="5"/>
      <c r="J734" s="5" t="s">
        <v>517</v>
      </c>
      <c r="K734" s="6" t="s">
        <v>2524</v>
      </c>
      <c r="L734" s="5" t="s">
        <v>2454</v>
      </c>
    </row>
    <row r="735" customFormat="false" ht="57.45" hidden="false" customHeight="false" outlineLevel="0" collapsed="false">
      <c r="A735" s="5" t="s">
        <v>2525</v>
      </c>
      <c r="B735" s="6" t="s">
        <v>2526</v>
      </c>
      <c r="C735" s="5" t="n">
        <v>2.1</v>
      </c>
      <c r="D735" s="5"/>
      <c r="E735" s="5"/>
      <c r="F735" s="5" t="s">
        <v>2522</v>
      </c>
      <c r="G735" s="8" t="s">
        <v>170</v>
      </c>
      <c r="H735" s="6" t="s">
        <v>2523</v>
      </c>
      <c r="I735" s="5"/>
      <c r="J735" s="5" t="s">
        <v>517</v>
      </c>
      <c r="K735" s="6" t="s">
        <v>2527</v>
      </c>
      <c r="L735" s="5" t="s">
        <v>2454</v>
      </c>
    </row>
    <row r="736" customFormat="false" ht="79.85" hidden="false" customHeight="false" outlineLevel="0" collapsed="false">
      <c r="A736" s="5" t="s">
        <v>2528</v>
      </c>
      <c r="B736" s="6" t="s">
        <v>2529</v>
      </c>
      <c r="C736" s="5" t="n">
        <v>45.9</v>
      </c>
      <c r="D736" s="5"/>
      <c r="E736" s="5"/>
      <c r="F736" s="5" t="s">
        <v>2522</v>
      </c>
      <c r="G736" s="8" t="s">
        <v>170</v>
      </c>
      <c r="H736" s="6" t="s">
        <v>2523</v>
      </c>
      <c r="I736" s="5"/>
      <c r="J736" s="5" t="s">
        <v>517</v>
      </c>
      <c r="K736" s="6" t="s">
        <v>2530</v>
      </c>
      <c r="L736" s="5" t="s">
        <v>2454</v>
      </c>
    </row>
    <row r="737" customFormat="false" ht="57.45" hidden="false" customHeight="false" outlineLevel="0" collapsed="false">
      <c r="A737" s="5" t="s">
        <v>2531</v>
      </c>
      <c r="B737" s="6" t="s">
        <v>2532</v>
      </c>
      <c r="C737" s="5" t="n">
        <v>16.9</v>
      </c>
      <c r="D737" s="5"/>
      <c r="E737" s="5"/>
      <c r="F737" s="5" t="s">
        <v>2522</v>
      </c>
      <c r="G737" s="8" t="s">
        <v>170</v>
      </c>
      <c r="H737" s="6" t="s">
        <v>2523</v>
      </c>
      <c r="I737" s="5"/>
      <c r="J737" s="5" t="s">
        <v>517</v>
      </c>
      <c r="K737" s="6" t="s">
        <v>2533</v>
      </c>
      <c r="L737" s="5" t="s">
        <v>2454</v>
      </c>
    </row>
    <row r="738" customFormat="false" ht="91" hidden="false" customHeight="false" outlineLevel="0" collapsed="false">
      <c r="A738" s="5" t="s">
        <v>2534</v>
      </c>
      <c r="B738" s="6" t="s">
        <v>2535</v>
      </c>
      <c r="C738" s="5" t="n">
        <v>66</v>
      </c>
      <c r="D738" s="5"/>
      <c r="E738" s="5"/>
      <c r="F738" s="5" t="s">
        <v>119</v>
      </c>
      <c r="G738" s="7" t="s">
        <v>42</v>
      </c>
      <c r="H738" s="6" t="s">
        <v>2536</v>
      </c>
      <c r="I738" s="5" t="s">
        <v>2537</v>
      </c>
      <c r="J738" s="5" t="s">
        <v>2538</v>
      </c>
      <c r="K738" s="6" t="s">
        <v>2539</v>
      </c>
      <c r="L738" s="5" t="s">
        <v>2540</v>
      </c>
    </row>
    <row r="739" customFormat="false" ht="91" hidden="false" customHeight="false" outlineLevel="0" collapsed="false">
      <c r="A739" s="5" t="s">
        <v>2541</v>
      </c>
      <c r="B739" s="6" t="s">
        <v>2542</v>
      </c>
      <c r="C739" s="5" t="n">
        <v>33</v>
      </c>
      <c r="D739" s="5"/>
      <c r="E739" s="5"/>
      <c r="F739" s="5" t="s">
        <v>119</v>
      </c>
      <c r="G739" s="7" t="s">
        <v>42</v>
      </c>
      <c r="H739" s="6" t="s">
        <v>2536</v>
      </c>
      <c r="I739" s="5" t="s">
        <v>2537</v>
      </c>
      <c r="J739" s="5" t="s">
        <v>2538</v>
      </c>
      <c r="K739" s="6" t="s">
        <v>2539</v>
      </c>
      <c r="L739" s="5" t="s">
        <v>2540</v>
      </c>
    </row>
    <row r="740" customFormat="false" ht="91" hidden="false" customHeight="false" outlineLevel="0" collapsed="false">
      <c r="A740" s="5" t="s">
        <v>2543</v>
      </c>
      <c r="B740" s="6" t="s">
        <v>2544</v>
      </c>
      <c r="C740" s="5" t="n">
        <v>17</v>
      </c>
      <c r="D740" s="5"/>
      <c r="E740" s="5"/>
      <c r="F740" s="5" t="s">
        <v>119</v>
      </c>
      <c r="G740" s="7" t="s">
        <v>42</v>
      </c>
      <c r="H740" s="6" t="s">
        <v>2536</v>
      </c>
      <c r="I740" s="5" t="s">
        <v>2537</v>
      </c>
      <c r="J740" s="5" t="s">
        <v>2538</v>
      </c>
      <c r="K740" s="6" t="s">
        <v>2539</v>
      </c>
      <c r="L740" s="5" t="s">
        <v>2540</v>
      </c>
    </row>
    <row r="741" customFormat="false" ht="124.6" hidden="false" customHeight="false" outlineLevel="0" collapsed="false">
      <c r="A741" s="5" t="s">
        <v>2545</v>
      </c>
      <c r="B741" s="6" t="s">
        <v>2546</v>
      </c>
      <c r="C741" s="5" t="n">
        <v>56</v>
      </c>
      <c r="D741" s="5"/>
      <c r="E741" s="5"/>
      <c r="F741" s="5" t="s">
        <v>119</v>
      </c>
      <c r="G741" s="7" t="s">
        <v>42</v>
      </c>
      <c r="H741" s="6" t="s">
        <v>2547</v>
      </c>
      <c r="I741" s="5" t="s">
        <v>2537</v>
      </c>
      <c r="J741" s="5" t="s">
        <v>2538</v>
      </c>
      <c r="K741" s="6" t="s">
        <v>2548</v>
      </c>
      <c r="L741" s="5" t="s">
        <v>2549</v>
      </c>
    </row>
    <row r="742" customFormat="false" ht="91" hidden="false" customHeight="false" outlineLevel="0" collapsed="false">
      <c r="A742" s="5" t="s">
        <v>2550</v>
      </c>
      <c r="B742" s="6" t="s">
        <v>2551</v>
      </c>
      <c r="C742" s="5" t="n">
        <v>400</v>
      </c>
      <c r="D742" s="5"/>
      <c r="E742" s="5"/>
      <c r="F742" s="5" t="s">
        <v>119</v>
      </c>
      <c r="G742" s="7" t="s">
        <v>42</v>
      </c>
      <c r="H742" s="6" t="s">
        <v>2552</v>
      </c>
      <c r="I742" s="5" t="s">
        <v>2553</v>
      </c>
      <c r="J742" s="5" t="s">
        <v>2394</v>
      </c>
      <c r="K742" s="6" t="s">
        <v>2554</v>
      </c>
      <c r="L742" s="5" t="s">
        <v>2540</v>
      </c>
    </row>
    <row r="743" customFormat="false" ht="91" hidden="false" customHeight="false" outlineLevel="0" collapsed="false">
      <c r="A743" s="5" t="s">
        <v>2555</v>
      </c>
      <c r="B743" s="6" t="s">
        <v>2556</v>
      </c>
      <c r="C743" s="5" t="n">
        <v>25</v>
      </c>
      <c r="D743" s="5"/>
      <c r="E743" s="5"/>
      <c r="F743" s="5" t="s">
        <v>119</v>
      </c>
      <c r="G743" s="7" t="s">
        <v>42</v>
      </c>
      <c r="H743" s="6" t="s">
        <v>2552</v>
      </c>
      <c r="I743" s="5" t="s">
        <v>2553</v>
      </c>
      <c r="J743" s="5" t="s">
        <v>2394</v>
      </c>
      <c r="K743" s="6" t="s">
        <v>2554</v>
      </c>
      <c r="L743" s="5" t="s">
        <v>2540</v>
      </c>
    </row>
    <row r="744" customFormat="false" ht="91" hidden="false" customHeight="false" outlineLevel="0" collapsed="false">
      <c r="A744" s="5" t="s">
        <v>2557</v>
      </c>
      <c r="B744" s="6" t="s">
        <v>2558</v>
      </c>
      <c r="C744" s="5" t="n">
        <v>50</v>
      </c>
      <c r="D744" s="5"/>
      <c r="E744" s="5"/>
      <c r="F744" s="5" t="s">
        <v>119</v>
      </c>
      <c r="G744" s="7" t="s">
        <v>42</v>
      </c>
      <c r="H744" s="6" t="s">
        <v>2552</v>
      </c>
      <c r="I744" s="5" t="s">
        <v>2553</v>
      </c>
      <c r="J744" s="5" t="s">
        <v>2394</v>
      </c>
      <c r="K744" s="6" t="s">
        <v>2554</v>
      </c>
      <c r="L744" s="5" t="s">
        <v>2540</v>
      </c>
    </row>
    <row r="745" customFormat="false" ht="57.45" hidden="false" customHeight="false" outlineLevel="0" collapsed="false">
      <c r="A745" s="5" t="s">
        <v>2559</v>
      </c>
      <c r="B745" s="6" t="s">
        <v>2560</v>
      </c>
      <c r="C745" s="5" t="n">
        <v>18</v>
      </c>
      <c r="D745" s="5"/>
      <c r="E745" s="5"/>
      <c r="F745" s="5" t="s">
        <v>119</v>
      </c>
      <c r="G745" s="7" t="s">
        <v>42</v>
      </c>
      <c r="H745" s="6" t="s">
        <v>2561</v>
      </c>
      <c r="I745" s="5" t="s">
        <v>2562</v>
      </c>
      <c r="J745" s="5" t="s">
        <v>2538</v>
      </c>
      <c r="K745" s="6" t="s">
        <v>2563</v>
      </c>
      <c r="L745" s="5" t="s">
        <v>2564</v>
      </c>
    </row>
    <row r="746" customFormat="false" ht="68.65" hidden="false" customHeight="false" outlineLevel="0" collapsed="false">
      <c r="A746" s="5" t="s">
        <v>2565</v>
      </c>
      <c r="B746" s="6" t="s">
        <v>2566</v>
      </c>
      <c r="C746" s="5" t="n">
        <v>41</v>
      </c>
      <c r="D746" s="5"/>
      <c r="E746" s="5"/>
      <c r="F746" s="5" t="s">
        <v>119</v>
      </c>
      <c r="G746" s="7" t="s">
        <v>42</v>
      </c>
      <c r="H746" s="6" t="s">
        <v>2567</v>
      </c>
      <c r="I746" s="5" t="s">
        <v>2562</v>
      </c>
      <c r="J746" s="5" t="s">
        <v>2538</v>
      </c>
      <c r="K746" s="6" t="s">
        <v>2568</v>
      </c>
      <c r="L746" s="5" t="s">
        <v>2564</v>
      </c>
    </row>
    <row r="747" customFormat="false" ht="113.4" hidden="false" customHeight="false" outlineLevel="0" collapsed="false">
      <c r="A747" s="5" t="s">
        <v>2569</v>
      </c>
      <c r="B747" s="6" t="s">
        <v>2570</v>
      </c>
      <c r="C747" s="5" t="n">
        <v>200</v>
      </c>
      <c r="D747" s="5"/>
      <c r="E747" s="5"/>
      <c r="F747" s="5" t="s">
        <v>119</v>
      </c>
      <c r="G747" s="7" t="s">
        <v>42</v>
      </c>
      <c r="H747" s="6" t="s">
        <v>2571</v>
      </c>
      <c r="I747" s="5" t="s">
        <v>2572</v>
      </c>
      <c r="J747" s="5" t="s">
        <v>1416</v>
      </c>
      <c r="K747" s="6" t="s">
        <v>2573</v>
      </c>
      <c r="L747" s="5" t="s">
        <v>2540</v>
      </c>
    </row>
    <row r="748" customFormat="false" ht="113.4" hidden="false" customHeight="false" outlineLevel="0" collapsed="false">
      <c r="A748" s="5" t="s">
        <v>2574</v>
      </c>
      <c r="B748" s="6" t="s">
        <v>2575</v>
      </c>
      <c r="C748" s="5" t="n">
        <v>10</v>
      </c>
      <c r="D748" s="5"/>
      <c r="E748" s="5"/>
      <c r="F748" s="5" t="s">
        <v>119</v>
      </c>
      <c r="G748" s="7" t="s">
        <v>42</v>
      </c>
      <c r="H748" s="6" t="s">
        <v>2571</v>
      </c>
      <c r="I748" s="5" t="s">
        <v>2572</v>
      </c>
      <c r="J748" s="5" t="s">
        <v>1416</v>
      </c>
      <c r="K748" s="6" t="s">
        <v>2573</v>
      </c>
      <c r="L748" s="5" t="s">
        <v>2540</v>
      </c>
    </row>
    <row r="749" customFormat="false" ht="113.4" hidden="false" customHeight="false" outlineLevel="0" collapsed="false">
      <c r="A749" s="5" t="s">
        <v>2576</v>
      </c>
      <c r="B749" s="6" t="s">
        <v>2577</v>
      </c>
      <c r="C749" s="5" t="n">
        <v>54</v>
      </c>
      <c r="D749" s="5"/>
      <c r="E749" s="5"/>
      <c r="F749" s="5" t="s">
        <v>119</v>
      </c>
      <c r="G749" s="7" t="s">
        <v>42</v>
      </c>
      <c r="H749" s="6" t="s">
        <v>2571</v>
      </c>
      <c r="I749" s="5" t="s">
        <v>2572</v>
      </c>
      <c r="J749" s="5" t="s">
        <v>1416</v>
      </c>
      <c r="K749" s="6" t="s">
        <v>2573</v>
      </c>
      <c r="L749" s="5" t="s">
        <v>2578</v>
      </c>
    </row>
    <row r="750" customFormat="false" ht="35.05" hidden="false" customHeight="false" outlineLevel="0" collapsed="false">
      <c r="A750" s="5" t="s">
        <v>2579</v>
      </c>
      <c r="B750" s="6" t="s">
        <v>2580</v>
      </c>
      <c r="C750" s="5" t="n">
        <v>10</v>
      </c>
      <c r="D750" s="5"/>
      <c r="E750" s="5"/>
      <c r="F750" s="5" t="s">
        <v>833</v>
      </c>
      <c r="G750" s="7" t="s">
        <v>42</v>
      </c>
      <c r="H750" s="6" t="s">
        <v>2581</v>
      </c>
      <c r="I750" s="5" t="s">
        <v>2582</v>
      </c>
      <c r="J750" s="5" t="s">
        <v>2583</v>
      </c>
      <c r="K750" s="6" t="s">
        <v>2584</v>
      </c>
      <c r="L750" s="5" t="s">
        <v>2540</v>
      </c>
    </row>
    <row r="751" customFormat="false" ht="68.65" hidden="false" customHeight="false" outlineLevel="0" collapsed="false">
      <c r="A751" s="5" t="s">
        <v>2585</v>
      </c>
      <c r="B751" s="6" t="s">
        <v>2586</v>
      </c>
      <c r="C751" s="5" t="n">
        <v>5</v>
      </c>
      <c r="D751" s="5"/>
      <c r="E751" s="5"/>
      <c r="F751" s="5" t="s">
        <v>833</v>
      </c>
      <c r="G751" s="7" t="s">
        <v>42</v>
      </c>
      <c r="H751" s="6" t="s">
        <v>2587</v>
      </c>
      <c r="I751" s="5" t="s">
        <v>2582</v>
      </c>
      <c r="J751" s="5" t="s">
        <v>2583</v>
      </c>
      <c r="K751" s="6" t="s">
        <v>2588</v>
      </c>
      <c r="L751" s="5" t="s">
        <v>2540</v>
      </c>
    </row>
    <row r="752" customFormat="false" ht="68.65" hidden="false" customHeight="false" outlineLevel="0" collapsed="false">
      <c r="A752" s="5" t="s">
        <v>2589</v>
      </c>
      <c r="B752" s="6" t="s">
        <v>2590</v>
      </c>
      <c r="C752" s="5" t="n">
        <v>9.5</v>
      </c>
      <c r="D752" s="5"/>
      <c r="E752" s="5"/>
      <c r="F752" s="5" t="s">
        <v>119</v>
      </c>
      <c r="G752" s="7" t="s">
        <v>42</v>
      </c>
      <c r="H752" s="6" t="s">
        <v>2591</v>
      </c>
      <c r="I752" s="5" t="s">
        <v>64</v>
      </c>
      <c r="J752" s="5" t="s">
        <v>45</v>
      </c>
      <c r="K752" s="6" t="s">
        <v>2592</v>
      </c>
      <c r="L752" s="5" t="s">
        <v>2540</v>
      </c>
    </row>
    <row r="753" customFormat="false" ht="46.25" hidden="false" customHeight="false" outlineLevel="0" collapsed="false">
      <c r="A753" s="5" t="s">
        <v>2593</v>
      </c>
      <c r="B753" s="6" t="s">
        <v>2594</v>
      </c>
      <c r="C753" s="5" t="n">
        <v>19</v>
      </c>
      <c r="D753" s="5"/>
      <c r="E753" s="5"/>
      <c r="F753" s="5" t="s">
        <v>119</v>
      </c>
      <c r="G753" s="7" t="s">
        <v>42</v>
      </c>
      <c r="H753" s="6" t="s">
        <v>2595</v>
      </c>
      <c r="I753" s="5" t="s">
        <v>64</v>
      </c>
      <c r="J753" s="5" t="s">
        <v>45</v>
      </c>
      <c r="K753" s="6" t="s">
        <v>2596</v>
      </c>
      <c r="L753" s="5" t="s">
        <v>2540</v>
      </c>
    </row>
    <row r="754" customFormat="false" ht="91" hidden="false" customHeight="false" outlineLevel="0" collapsed="false">
      <c r="A754" s="5" t="s">
        <v>2597</v>
      </c>
      <c r="B754" s="6" t="s">
        <v>2598</v>
      </c>
      <c r="C754" s="5" t="n">
        <v>8.4</v>
      </c>
      <c r="D754" s="5"/>
      <c r="E754" s="5"/>
      <c r="F754" s="5" t="s">
        <v>2599</v>
      </c>
      <c r="G754" s="7" t="s">
        <v>42</v>
      </c>
      <c r="H754" s="6" t="s">
        <v>2600</v>
      </c>
      <c r="I754" s="5" t="s">
        <v>2601</v>
      </c>
      <c r="J754" s="5" t="s">
        <v>88</v>
      </c>
      <c r="K754" s="6" t="s">
        <v>2602</v>
      </c>
      <c r="L754" s="5" t="s">
        <v>2603</v>
      </c>
    </row>
    <row r="755" customFormat="false" ht="23.85" hidden="false" customHeight="false" outlineLevel="0" collapsed="false">
      <c r="A755" s="5" t="s">
        <v>2604</v>
      </c>
      <c r="B755" s="6" t="s">
        <v>2605</v>
      </c>
      <c r="C755" s="5" t="n">
        <v>5</v>
      </c>
      <c r="D755" s="5"/>
      <c r="E755" s="5"/>
      <c r="F755" s="5" t="s">
        <v>2599</v>
      </c>
      <c r="G755" s="7" t="s">
        <v>42</v>
      </c>
      <c r="H755" s="6" t="s">
        <v>2606</v>
      </c>
      <c r="I755" s="5" t="s">
        <v>2601</v>
      </c>
      <c r="J755" s="5" t="s">
        <v>88</v>
      </c>
      <c r="K755" s="6" t="s">
        <v>2607</v>
      </c>
      <c r="L755" s="5" t="s">
        <v>2603</v>
      </c>
    </row>
    <row r="756" customFormat="false" ht="102.2" hidden="false" customHeight="false" outlineLevel="0" collapsed="false">
      <c r="A756" s="5" t="s">
        <v>2608</v>
      </c>
      <c r="B756" s="6" t="s">
        <v>2609</v>
      </c>
      <c r="C756" s="5" t="n">
        <v>2.9</v>
      </c>
      <c r="D756" s="5"/>
      <c r="E756" s="5"/>
      <c r="F756" s="5" t="s">
        <v>119</v>
      </c>
      <c r="G756" s="7" t="s">
        <v>42</v>
      </c>
      <c r="H756" s="6" t="s">
        <v>2610</v>
      </c>
      <c r="I756" s="5" t="s">
        <v>2611</v>
      </c>
      <c r="J756" s="5" t="s">
        <v>84</v>
      </c>
      <c r="K756" s="6" t="s">
        <v>2612</v>
      </c>
      <c r="L756" s="5" t="s">
        <v>2613</v>
      </c>
    </row>
    <row r="757" customFormat="false" ht="102.2" hidden="false" customHeight="false" outlineLevel="0" collapsed="false">
      <c r="A757" s="5" t="s">
        <v>2614</v>
      </c>
      <c r="B757" s="6" t="s">
        <v>2615</v>
      </c>
      <c r="C757" s="5" t="n">
        <v>1.8</v>
      </c>
      <c r="D757" s="5"/>
      <c r="E757" s="5"/>
      <c r="F757" s="5" t="s">
        <v>119</v>
      </c>
      <c r="G757" s="7" t="s">
        <v>42</v>
      </c>
      <c r="H757" s="6" t="s">
        <v>2616</v>
      </c>
      <c r="I757" s="5" t="s">
        <v>2611</v>
      </c>
      <c r="J757" s="5" t="s">
        <v>84</v>
      </c>
      <c r="K757" s="6" t="s">
        <v>2612</v>
      </c>
      <c r="L757" s="5" t="s">
        <v>2613</v>
      </c>
    </row>
    <row r="758" customFormat="false" ht="102.2" hidden="false" customHeight="false" outlineLevel="0" collapsed="false">
      <c r="A758" s="5" t="s">
        <v>2617</v>
      </c>
      <c r="B758" s="6" t="s">
        <v>2618</v>
      </c>
      <c r="C758" s="5" t="n">
        <v>0.5</v>
      </c>
      <c r="D758" s="5"/>
      <c r="E758" s="5"/>
      <c r="F758" s="5" t="s">
        <v>119</v>
      </c>
      <c r="G758" s="7" t="s">
        <v>42</v>
      </c>
      <c r="H758" s="6" t="s">
        <v>2619</v>
      </c>
      <c r="I758" s="5" t="s">
        <v>2611</v>
      </c>
      <c r="J758" s="5" t="s">
        <v>84</v>
      </c>
      <c r="K758" s="6" t="s">
        <v>2612</v>
      </c>
      <c r="L758" s="5" t="s">
        <v>2613</v>
      </c>
    </row>
    <row r="759" customFormat="false" ht="102.2" hidden="false" customHeight="false" outlineLevel="0" collapsed="false">
      <c r="A759" s="5" t="s">
        <v>2620</v>
      </c>
      <c r="B759" s="6" t="s">
        <v>2621</v>
      </c>
      <c r="C759" s="5" t="n">
        <v>1.4</v>
      </c>
      <c r="D759" s="5"/>
      <c r="E759" s="5"/>
      <c r="F759" s="5" t="s">
        <v>119</v>
      </c>
      <c r="G759" s="7" t="s">
        <v>42</v>
      </c>
      <c r="H759" s="6" t="s">
        <v>2619</v>
      </c>
      <c r="I759" s="5" t="s">
        <v>2611</v>
      </c>
      <c r="J759" s="5" t="s">
        <v>84</v>
      </c>
      <c r="K759" s="6" t="s">
        <v>2612</v>
      </c>
      <c r="L759" s="5" t="s">
        <v>2613</v>
      </c>
    </row>
    <row r="760" customFormat="false" ht="102.2" hidden="false" customHeight="false" outlineLevel="0" collapsed="false">
      <c r="A760" s="5" t="s">
        <v>2622</v>
      </c>
      <c r="B760" s="6" t="s">
        <v>2623</v>
      </c>
      <c r="C760" s="5" t="n">
        <v>8</v>
      </c>
      <c r="D760" s="5"/>
      <c r="E760" s="5"/>
      <c r="F760" s="5" t="s">
        <v>119</v>
      </c>
      <c r="G760" s="7" t="s">
        <v>42</v>
      </c>
      <c r="H760" s="6" t="s">
        <v>2624</v>
      </c>
      <c r="I760" s="5" t="s">
        <v>2625</v>
      </c>
      <c r="J760" s="5" t="s">
        <v>2626</v>
      </c>
      <c r="K760" s="6" t="s">
        <v>2627</v>
      </c>
      <c r="L760" s="5" t="s">
        <v>2628</v>
      </c>
    </row>
    <row r="761" customFormat="false" ht="91" hidden="false" customHeight="false" outlineLevel="0" collapsed="false">
      <c r="A761" s="5" t="s">
        <v>2629</v>
      </c>
      <c r="B761" s="6" t="s">
        <v>2630</v>
      </c>
      <c r="C761" s="5" t="n">
        <v>0.3</v>
      </c>
      <c r="D761" s="5"/>
      <c r="E761" s="5"/>
      <c r="F761" s="5" t="s">
        <v>598</v>
      </c>
      <c r="G761" s="7" t="s">
        <v>42</v>
      </c>
      <c r="H761" s="6" t="s">
        <v>2631</v>
      </c>
      <c r="I761" s="5" t="s">
        <v>2632</v>
      </c>
      <c r="J761" s="5" t="s">
        <v>2583</v>
      </c>
      <c r="K761" s="6" t="s">
        <v>2633</v>
      </c>
      <c r="L761" s="5" t="s">
        <v>2634</v>
      </c>
    </row>
    <row r="762" customFormat="false" ht="35.05" hidden="false" customHeight="false" outlineLevel="0" collapsed="false">
      <c r="A762" s="5" t="s">
        <v>2635</v>
      </c>
      <c r="B762" s="6" t="s">
        <v>1376</v>
      </c>
      <c r="C762" s="5" t="n">
        <v>0.5</v>
      </c>
      <c r="D762" s="5"/>
      <c r="E762" s="5"/>
      <c r="F762" s="5" t="s">
        <v>598</v>
      </c>
      <c r="G762" s="7" t="s">
        <v>42</v>
      </c>
      <c r="H762" s="6" t="s">
        <v>2636</v>
      </c>
      <c r="I762" s="5" t="s">
        <v>2632</v>
      </c>
      <c r="J762" s="5" t="s">
        <v>2583</v>
      </c>
      <c r="K762" s="6" t="s">
        <v>2637</v>
      </c>
      <c r="L762" s="5" t="s">
        <v>2634</v>
      </c>
    </row>
    <row r="763" customFormat="false" ht="169.4" hidden="false" customHeight="false" outlineLevel="0" collapsed="false">
      <c r="A763" s="5" t="s">
        <v>2638</v>
      </c>
      <c r="B763" s="6" t="s">
        <v>2639</v>
      </c>
      <c r="C763" s="5" t="n">
        <v>5</v>
      </c>
      <c r="D763" s="5" t="n">
        <v>3</v>
      </c>
      <c r="E763" s="5" t="n">
        <v>8</v>
      </c>
      <c r="F763" s="5" t="s">
        <v>463</v>
      </c>
      <c r="G763" s="9" t="s">
        <v>365</v>
      </c>
      <c r="H763" s="6" t="s">
        <v>2640</v>
      </c>
      <c r="I763" s="5"/>
      <c r="J763" s="5" t="s">
        <v>517</v>
      </c>
      <c r="K763" s="6" t="s">
        <v>2641</v>
      </c>
      <c r="L763" s="5" t="s">
        <v>2540</v>
      </c>
    </row>
    <row r="764" customFormat="false" ht="46.25" hidden="false" customHeight="false" outlineLevel="0" collapsed="false">
      <c r="A764" s="5" t="s">
        <v>2642</v>
      </c>
      <c r="B764" s="6" t="s">
        <v>2643</v>
      </c>
      <c r="C764" s="5" t="n">
        <v>6</v>
      </c>
      <c r="D764" s="5" t="n">
        <v>6</v>
      </c>
      <c r="E764" s="5" t="n">
        <v>8</v>
      </c>
      <c r="F764" s="5" t="s">
        <v>95</v>
      </c>
      <c r="G764" s="9" t="s">
        <v>365</v>
      </c>
      <c r="H764" s="6" t="s">
        <v>2644</v>
      </c>
      <c r="I764" s="5"/>
      <c r="J764" s="5" t="s">
        <v>517</v>
      </c>
      <c r="K764" s="6" t="s">
        <v>2645</v>
      </c>
      <c r="L764" s="5" t="s">
        <v>2540</v>
      </c>
    </row>
    <row r="765" customFormat="false" ht="57.45" hidden="false" customHeight="false" outlineLevel="0" collapsed="false">
      <c r="A765" s="5" t="s">
        <v>2646</v>
      </c>
      <c r="B765" s="6" t="s">
        <v>2647</v>
      </c>
      <c r="C765" s="5" t="n">
        <v>28.1</v>
      </c>
      <c r="D765" s="5"/>
      <c r="E765" s="5"/>
      <c r="F765" s="5" t="s">
        <v>119</v>
      </c>
      <c r="G765" s="8" t="s">
        <v>170</v>
      </c>
      <c r="H765" s="6" t="s">
        <v>2648</v>
      </c>
      <c r="I765" s="5"/>
      <c r="J765" s="5" t="s">
        <v>517</v>
      </c>
      <c r="K765" s="6" t="s">
        <v>2649</v>
      </c>
      <c r="L765" s="5" t="s">
        <v>2540</v>
      </c>
    </row>
    <row r="766" customFormat="false" ht="57.45" hidden="false" customHeight="false" outlineLevel="0" collapsed="false">
      <c r="A766" s="5" t="s">
        <v>2650</v>
      </c>
      <c r="B766" s="6" t="s">
        <v>2651</v>
      </c>
      <c r="C766" s="5" t="n">
        <v>80.9</v>
      </c>
      <c r="D766" s="5"/>
      <c r="E766" s="5"/>
      <c r="F766" s="5" t="s">
        <v>119</v>
      </c>
      <c r="G766" s="8" t="s">
        <v>170</v>
      </c>
      <c r="H766" s="6" t="s">
        <v>2648</v>
      </c>
      <c r="I766" s="5"/>
      <c r="J766" s="5" t="s">
        <v>517</v>
      </c>
      <c r="K766" s="6" t="s">
        <v>2652</v>
      </c>
      <c r="L766" s="5" t="s">
        <v>2540</v>
      </c>
    </row>
    <row r="767" customFormat="false" ht="91" hidden="false" customHeight="false" outlineLevel="0" collapsed="false">
      <c r="A767" s="5" t="s">
        <v>2653</v>
      </c>
      <c r="B767" s="6" t="s">
        <v>2654</v>
      </c>
      <c r="C767" s="5" t="n">
        <v>8.7</v>
      </c>
      <c r="D767" s="5"/>
      <c r="E767" s="5"/>
      <c r="F767" s="5" t="s">
        <v>598</v>
      </c>
      <c r="G767" s="7" t="s">
        <v>42</v>
      </c>
      <c r="H767" s="6" t="s">
        <v>2655</v>
      </c>
      <c r="I767" s="5" t="s">
        <v>2656</v>
      </c>
      <c r="J767" s="5" t="s">
        <v>111</v>
      </c>
      <c r="K767" s="6" t="s">
        <v>2657</v>
      </c>
      <c r="L767" s="5" t="s">
        <v>2658</v>
      </c>
    </row>
    <row r="768" customFormat="false" ht="91" hidden="false" customHeight="false" outlineLevel="0" collapsed="false">
      <c r="A768" s="5" t="s">
        <v>2659</v>
      </c>
      <c r="B768" s="6" t="s">
        <v>2660</v>
      </c>
      <c r="C768" s="5" t="n">
        <v>1.4</v>
      </c>
      <c r="D768" s="5"/>
      <c r="E768" s="5"/>
      <c r="F768" s="5" t="s">
        <v>598</v>
      </c>
      <c r="G768" s="7" t="s">
        <v>42</v>
      </c>
      <c r="H768" s="6" t="s">
        <v>2661</v>
      </c>
      <c r="I768" s="5" t="s">
        <v>2656</v>
      </c>
      <c r="J768" s="5" t="s">
        <v>111</v>
      </c>
      <c r="K768" s="6" t="s">
        <v>2657</v>
      </c>
      <c r="L768" s="5" t="s">
        <v>2658</v>
      </c>
    </row>
    <row r="769" customFormat="false" ht="102.2" hidden="false" customHeight="false" outlineLevel="0" collapsed="false">
      <c r="A769" s="5" t="s">
        <v>2662</v>
      </c>
      <c r="B769" s="6" t="s">
        <v>2663</v>
      </c>
      <c r="C769" s="5" t="n">
        <v>70</v>
      </c>
      <c r="D769" s="5"/>
      <c r="E769" s="5"/>
      <c r="F769" s="5" t="s">
        <v>119</v>
      </c>
      <c r="G769" s="7" t="s">
        <v>42</v>
      </c>
      <c r="H769" s="6" t="s">
        <v>2664</v>
      </c>
      <c r="I769" s="5" t="s">
        <v>2656</v>
      </c>
      <c r="J769" s="5" t="s">
        <v>111</v>
      </c>
      <c r="K769" s="6" t="s">
        <v>2657</v>
      </c>
      <c r="L769" s="5" t="s">
        <v>2658</v>
      </c>
    </row>
    <row r="770" customFormat="false" ht="68.65" hidden="false" customHeight="false" outlineLevel="0" collapsed="false">
      <c r="A770" s="5" t="s">
        <v>2665</v>
      </c>
      <c r="B770" s="6" t="s">
        <v>2666</v>
      </c>
      <c r="C770" s="5" t="n">
        <v>30</v>
      </c>
      <c r="D770" s="5"/>
      <c r="E770" s="5"/>
      <c r="F770" s="5" t="s">
        <v>119</v>
      </c>
      <c r="G770" s="7" t="s">
        <v>42</v>
      </c>
      <c r="H770" s="6" t="s">
        <v>2667</v>
      </c>
      <c r="I770" s="5" t="s">
        <v>2668</v>
      </c>
      <c r="J770" s="5" t="s">
        <v>2669</v>
      </c>
      <c r="K770" s="6" t="s">
        <v>2670</v>
      </c>
      <c r="L770" s="5" t="s">
        <v>2658</v>
      </c>
    </row>
    <row r="771" customFormat="false" ht="23.85" hidden="false" customHeight="false" outlineLevel="0" collapsed="false">
      <c r="A771" s="5" t="s">
        <v>2671</v>
      </c>
      <c r="B771" s="6" t="s">
        <v>1376</v>
      </c>
      <c r="C771" s="5" t="n">
        <v>40</v>
      </c>
      <c r="D771" s="5"/>
      <c r="E771" s="5"/>
      <c r="F771" s="5" t="s">
        <v>119</v>
      </c>
      <c r="G771" s="7" t="s">
        <v>42</v>
      </c>
      <c r="H771" s="6" t="s">
        <v>2672</v>
      </c>
      <c r="I771" s="5" t="s">
        <v>2668</v>
      </c>
      <c r="J771" s="5" t="s">
        <v>2669</v>
      </c>
      <c r="K771" s="6" t="s">
        <v>2673</v>
      </c>
      <c r="L771" s="5" t="s">
        <v>2658</v>
      </c>
    </row>
    <row r="772" customFormat="false" ht="68.65" hidden="false" customHeight="false" outlineLevel="0" collapsed="false">
      <c r="A772" s="5" t="s">
        <v>2674</v>
      </c>
      <c r="B772" s="6" t="s">
        <v>2675</v>
      </c>
      <c r="C772" s="5" t="n">
        <v>1.12</v>
      </c>
      <c r="D772" s="5"/>
      <c r="E772" s="5"/>
      <c r="F772" s="5" t="s">
        <v>840</v>
      </c>
      <c r="G772" s="7" t="s">
        <v>42</v>
      </c>
      <c r="H772" s="6" t="s">
        <v>2676</v>
      </c>
      <c r="I772" s="5" t="s">
        <v>2677</v>
      </c>
      <c r="J772" s="5" t="s">
        <v>1427</v>
      </c>
      <c r="K772" s="6" t="s">
        <v>2678</v>
      </c>
      <c r="L772" s="5" t="s">
        <v>2658</v>
      </c>
    </row>
    <row r="773" customFormat="false" ht="57.45" hidden="false" customHeight="false" outlineLevel="0" collapsed="false">
      <c r="A773" s="5" t="s">
        <v>2679</v>
      </c>
      <c r="B773" s="6" t="s">
        <v>2680</v>
      </c>
      <c r="C773" s="5" t="n">
        <v>2</v>
      </c>
      <c r="D773" s="5"/>
      <c r="E773" s="5"/>
      <c r="F773" s="5" t="s">
        <v>2681</v>
      </c>
      <c r="G773" s="7" t="s">
        <v>42</v>
      </c>
      <c r="H773" s="6" t="s">
        <v>2682</v>
      </c>
      <c r="I773" s="5" t="s">
        <v>2683</v>
      </c>
      <c r="J773" s="5" t="s">
        <v>2583</v>
      </c>
      <c r="K773" s="6" t="s">
        <v>2684</v>
      </c>
      <c r="L773" s="5" t="s">
        <v>2658</v>
      </c>
    </row>
    <row r="774" customFormat="false" ht="57.45" hidden="false" customHeight="false" outlineLevel="0" collapsed="false">
      <c r="A774" s="5" t="s">
        <v>2685</v>
      </c>
      <c r="B774" s="6" t="s">
        <v>2686</v>
      </c>
      <c r="C774" s="5" t="n">
        <v>95</v>
      </c>
      <c r="D774" s="5"/>
      <c r="E774" s="5"/>
      <c r="F774" s="5" t="s">
        <v>119</v>
      </c>
      <c r="G774" s="10" t="s">
        <v>740</v>
      </c>
      <c r="H774" s="6" t="s">
        <v>2687</v>
      </c>
      <c r="I774" s="5"/>
      <c r="J774" s="5" t="s">
        <v>517</v>
      </c>
      <c r="K774" s="6" t="s">
        <v>2688</v>
      </c>
      <c r="L774" s="5" t="s">
        <v>743</v>
      </c>
    </row>
    <row r="775" customFormat="false" ht="68.65" hidden="false" customHeight="false" outlineLevel="0" collapsed="false">
      <c r="A775" s="5" t="s">
        <v>2689</v>
      </c>
      <c r="B775" s="6" t="s">
        <v>2690</v>
      </c>
      <c r="C775" s="5" t="n">
        <v>80</v>
      </c>
      <c r="D775" s="5"/>
      <c r="E775" s="5"/>
      <c r="F775" s="5" t="s">
        <v>119</v>
      </c>
      <c r="G775" s="10" t="s">
        <v>740</v>
      </c>
      <c r="H775" s="6" t="s">
        <v>2687</v>
      </c>
      <c r="I775" s="5"/>
      <c r="J775" s="5" t="s">
        <v>517</v>
      </c>
      <c r="K775" s="6" t="s">
        <v>2691</v>
      </c>
      <c r="L775" s="5" t="s">
        <v>743</v>
      </c>
    </row>
    <row r="776" customFormat="false" ht="68.65" hidden="false" customHeight="false" outlineLevel="0" collapsed="false">
      <c r="A776" s="5" t="s">
        <v>2692</v>
      </c>
      <c r="B776" s="6" t="s">
        <v>2693</v>
      </c>
      <c r="C776" s="5" t="n">
        <v>5</v>
      </c>
      <c r="D776" s="5"/>
      <c r="E776" s="5"/>
      <c r="F776" s="5" t="s">
        <v>669</v>
      </c>
      <c r="G776" s="10" t="s">
        <v>740</v>
      </c>
      <c r="H776" s="6" t="s">
        <v>2687</v>
      </c>
      <c r="I776" s="5"/>
      <c r="J776" s="5" t="s">
        <v>517</v>
      </c>
      <c r="K776" s="6" t="s">
        <v>2694</v>
      </c>
      <c r="L776" s="5" t="s">
        <v>743</v>
      </c>
    </row>
    <row r="777" customFormat="false" ht="68.65" hidden="false" customHeight="false" outlineLevel="0" collapsed="false">
      <c r="A777" s="5" t="s">
        <v>2695</v>
      </c>
      <c r="B777" s="6" t="s">
        <v>2696</v>
      </c>
      <c r="C777" s="5" t="n">
        <v>1</v>
      </c>
      <c r="D777" s="5"/>
      <c r="E777" s="5"/>
      <c r="F777" s="5" t="s">
        <v>2697</v>
      </c>
      <c r="G777" s="10" t="s">
        <v>740</v>
      </c>
      <c r="H777" s="6" t="s">
        <v>2687</v>
      </c>
      <c r="I777" s="5"/>
      <c r="J777" s="5" t="s">
        <v>517</v>
      </c>
      <c r="K777" s="6" t="s">
        <v>2698</v>
      </c>
      <c r="L777" s="5" t="s">
        <v>743</v>
      </c>
    </row>
    <row r="778" customFormat="false" ht="35.05" hidden="false" customHeight="false" outlineLevel="0" collapsed="false">
      <c r="A778" s="5" t="s">
        <v>2699</v>
      </c>
      <c r="B778" s="6" t="s">
        <v>2700</v>
      </c>
      <c r="C778" s="5" t="n">
        <v>179</v>
      </c>
      <c r="D778" s="5"/>
      <c r="E778" s="5"/>
      <c r="F778" s="5" t="s">
        <v>1036</v>
      </c>
      <c r="G778" s="8" t="s">
        <v>170</v>
      </c>
      <c r="H778" s="6" t="s">
        <v>2701</v>
      </c>
      <c r="I778" s="5"/>
      <c r="J778" s="5" t="s">
        <v>517</v>
      </c>
      <c r="K778" s="6" t="s">
        <v>2702</v>
      </c>
      <c r="L778" s="5" t="s">
        <v>2658</v>
      </c>
    </row>
    <row r="779" customFormat="false" ht="35.05" hidden="false" customHeight="false" outlineLevel="0" collapsed="false">
      <c r="A779" s="5" t="s">
        <v>2703</v>
      </c>
      <c r="B779" s="6" t="s">
        <v>2704</v>
      </c>
      <c r="C779" s="5" t="n">
        <v>119</v>
      </c>
      <c r="D779" s="5"/>
      <c r="E779" s="5"/>
      <c r="F779" s="5" t="s">
        <v>2705</v>
      </c>
      <c r="G779" s="8" t="s">
        <v>170</v>
      </c>
      <c r="H779" s="6" t="s">
        <v>2701</v>
      </c>
      <c r="I779" s="5"/>
      <c r="J779" s="5" t="s">
        <v>517</v>
      </c>
      <c r="K779" s="6" t="s">
        <v>2706</v>
      </c>
      <c r="L779" s="5" t="s">
        <v>2658</v>
      </c>
    </row>
    <row r="780" customFormat="false" ht="57.45" hidden="false" customHeight="false" outlineLevel="0" collapsed="false">
      <c r="A780" s="5" t="s">
        <v>2707</v>
      </c>
      <c r="B780" s="6" t="s">
        <v>2708</v>
      </c>
      <c r="C780" s="5" t="n">
        <v>46</v>
      </c>
      <c r="D780" s="5"/>
      <c r="E780" s="5"/>
      <c r="F780" s="5" t="s">
        <v>119</v>
      </c>
      <c r="G780" s="8" t="s">
        <v>170</v>
      </c>
      <c r="H780" s="6" t="s">
        <v>2701</v>
      </c>
      <c r="I780" s="5"/>
      <c r="J780" s="5" t="s">
        <v>517</v>
      </c>
      <c r="K780" s="6" t="s">
        <v>2709</v>
      </c>
      <c r="L780" s="5" t="s">
        <v>2658</v>
      </c>
    </row>
    <row r="781" customFormat="false" ht="35.05" hidden="false" customHeight="false" outlineLevel="0" collapsed="false">
      <c r="A781" s="5" t="s">
        <v>2710</v>
      </c>
      <c r="B781" s="6" t="s">
        <v>2711</v>
      </c>
      <c r="C781" s="5" t="n">
        <v>0.8</v>
      </c>
      <c r="D781" s="5"/>
      <c r="E781" s="5"/>
      <c r="F781" s="5" t="s">
        <v>119</v>
      </c>
      <c r="G781" s="8" t="s">
        <v>170</v>
      </c>
      <c r="H781" s="6" t="s">
        <v>2701</v>
      </c>
      <c r="I781" s="5"/>
      <c r="J781" s="5" t="s">
        <v>517</v>
      </c>
      <c r="K781" s="6" t="s">
        <v>2712</v>
      </c>
      <c r="L781" s="5" t="s">
        <v>2658</v>
      </c>
    </row>
    <row r="782" customFormat="false" ht="57.45" hidden="false" customHeight="false" outlineLevel="0" collapsed="false">
      <c r="A782" s="5" t="s">
        <v>2713</v>
      </c>
      <c r="B782" s="6" t="s">
        <v>2714</v>
      </c>
      <c r="C782" s="5" t="n">
        <v>1.85</v>
      </c>
      <c r="D782" s="5"/>
      <c r="E782" s="5"/>
      <c r="F782" s="5" t="s">
        <v>840</v>
      </c>
      <c r="G782" s="8" t="s">
        <v>170</v>
      </c>
      <c r="H782" s="6" t="s">
        <v>2701</v>
      </c>
      <c r="I782" s="5"/>
      <c r="J782" s="5" t="s">
        <v>517</v>
      </c>
      <c r="K782" s="6" t="s">
        <v>2715</v>
      </c>
      <c r="L782" s="5" t="s">
        <v>2658</v>
      </c>
    </row>
    <row r="783" customFormat="false" ht="35.05" hidden="false" customHeight="false" outlineLevel="0" collapsed="false">
      <c r="A783" s="5" t="s">
        <v>2716</v>
      </c>
      <c r="B783" s="6" t="s">
        <v>2717</v>
      </c>
      <c r="C783" s="5" t="n">
        <v>0.6</v>
      </c>
      <c r="D783" s="5"/>
      <c r="E783" s="5"/>
      <c r="F783" s="5" t="s">
        <v>598</v>
      </c>
      <c r="G783" s="8" t="s">
        <v>170</v>
      </c>
      <c r="H783" s="6" t="s">
        <v>2701</v>
      </c>
      <c r="I783" s="5"/>
      <c r="J783" s="5" t="s">
        <v>517</v>
      </c>
      <c r="K783" s="6" t="s">
        <v>2718</v>
      </c>
      <c r="L783" s="5" t="s">
        <v>2658</v>
      </c>
    </row>
    <row r="784" customFormat="false" ht="35.05" hidden="false" customHeight="false" outlineLevel="0" collapsed="false">
      <c r="A784" s="5" t="s">
        <v>2719</v>
      </c>
      <c r="B784" s="6" t="s">
        <v>2720</v>
      </c>
      <c r="C784" s="5" t="n">
        <v>246</v>
      </c>
      <c r="D784" s="5"/>
      <c r="E784" s="5"/>
      <c r="F784" s="5" t="s">
        <v>844</v>
      </c>
      <c r="G784" s="8" t="s">
        <v>170</v>
      </c>
      <c r="H784" s="6" t="s">
        <v>2701</v>
      </c>
      <c r="I784" s="5"/>
      <c r="J784" s="5" t="s">
        <v>517</v>
      </c>
      <c r="K784" s="6" t="s">
        <v>2721</v>
      </c>
      <c r="L784" s="5" t="s">
        <v>2658</v>
      </c>
    </row>
    <row r="785" customFormat="false" ht="57.45" hidden="false" customHeight="false" outlineLevel="0" collapsed="false">
      <c r="A785" s="5" t="s">
        <v>2722</v>
      </c>
      <c r="B785" s="6" t="s">
        <v>2723</v>
      </c>
      <c r="C785" s="5" t="n">
        <v>1499</v>
      </c>
      <c r="D785" s="5"/>
      <c r="E785" s="5"/>
      <c r="F785" s="5" t="s">
        <v>844</v>
      </c>
      <c r="G785" s="8" t="s">
        <v>170</v>
      </c>
      <c r="H785" s="6" t="s">
        <v>2701</v>
      </c>
      <c r="I785" s="5"/>
      <c r="J785" s="5" t="s">
        <v>517</v>
      </c>
      <c r="K785" s="6" t="s">
        <v>2724</v>
      </c>
      <c r="L785" s="5" t="s">
        <v>2658</v>
      </c>
    </row>
    <row r="786" customFormat="false" ht="79.85" hidden="false" customHeight="false" outlineLevel="0" collapsed="false">
      <c r="A786" s="5" t="s">
        <v>2725</v>
      </c>
      <c r="B786" s="6" t="s">
        <v>2726</v>
      </c>
      <c r="C786" s="5" t="n">
        <v>120000</v>
      </c>
      <c r="D786" s="5"/>
      <c r="E786" s="5"/>
      <c r="F786" s="5" t="s">
        <v>844</v>
      </c>
      <c r="G786" s="8" t="s">
        <v>170</v>
      </c>
      <c r="H786" s="6" t="s">
        <v>2701</v>
      </c>
      <c r="I786" s="5"/>
      <c r="J786" s="5" t="s">
        <v>517</v>
      </c>
      <c r="K786" s="6" t="s">
        <v>2727</v>
      </c>
      <c r="L786" s="5" t="s">
        <v>2658</v>
      </c>
    </row>
    <row r="787" customFormat="false" ht="35.05" hidden="false" customHeight="false" outlineLevel="0" collapsed="false">
      <c r="A787" s="5" t="s">
        <v>2728</v>
      </c>
      <c r="B787" s="6" t="s">
        <v>2729</v>
      </c>
      <c r="C787" s="5" t="n">
        <v>123</v>
      </c>
      <c r="D787" s="5"/>
      <c r="E787" s="5"/>
      <c r="F787" s="5" t="s">
        <v>844</v>
      </c>
      <c r="G787" s="8" t="s">
        <v>170</v>
      </c>
      <c r="H787" s="6" t="s">
        <v>2701</v>
      </c>
      <c r="I787" s="5"/>
      <c r="J787" s="5" t="s">
        <v>517</v>
      </c>
      <c r="K787" s="6" t="s">
        <v>2730</v>
      </c>
      <c r="L787" s="5" t="s">
        <v>2658</v>
      </c>
    </row>
    <row r="788" customFormat="false" ht="23.85" hidden="false" customHeight="false" outlineLevel="0" collapsed="false">
      <c r="A788" s="5" t="s">
        <v>2731</v>
      </c>
      <c r="B788" s="6" t="s">
        <v>2732</v>
      </c>
      <c r="C788" s="5" t="n">
        <v>100</v>
      </c>
      <c r="D788" s="5"/>
      <c r="E788" s="5"/>
      <c r="F788" s="5" t="s">
        <v>844</v>
      </c>
      <c r="G788" s="8" t="s">
        <v>170</v>
      </c>
      <c r="H788" s="6" t="s">
        <v>2701</v>
      </c>
      <c r="I788" s="5"/>
      <c r="J788" s="5" t="s">
        <v>517</v>
      </c>
      <c r="K788" s="6" t="s">
        <v>2733</v>
      </c>
      <c r="L788" s="5" t="s">
        <v>2658</v>
      </c>
    </row>
    <row r="789" customFormat="false" ht="57.45" hidden="false" customHeight="false" outlineLevel="0" collapsed="false">
      <c r="A789" s="5" t="s">
        <v>2734</v>
      </c>
      <c r="B789" s="6" t="s">
        <v>2735</v>
      </c>
      <c r="C789" s="5" t="n">
        <v>5</v>
      </c>
      <c r="D789" s="5"/>
      <c r="E789" s="5"/>
      <c r="F789" s="5" t="s">
        <v>2203</v>
      </c>
      <c r="G789" s="10" t="s">
        <v>740</v>
      </c>
      <c r="H789" s="6" t="s">
        <v>2687</v>
      </c>
      <c r="I789" s="5"/>
      <c r="J789" s="5" t="s">
        <v>517</v>
      </c>
      <c r="K789" s="6" t="s">
        <v>2736</v>
      </c>
      <c r="L789" s="5" t="s">
        <v>743</v>
      </c>
    </row>
    <row r="790" customFormat="false" ht="68.65" hidden="false" customHeight="false" outlineLevel="0" collapsed="false">
      <c r="A790" s="5" t="s">
        <v>2737</v>
      </c>
      <c r="B790" s="6" t="s">
        <v>2738</v>
      </c>
      <c r="C790" s="5" t="n">
        <v>0</v>
      </c>
      <c r="D790" s="5"/>
      <c r="E790" s="5"/>
      <c r="F790" s="5" t="s">
        <v>2739</v>
      </c>
      <c r="G790" s="10" t="s">
        <v>740</v>
      </c>
      <c r="H790" s="6" t="s">
        <v>2687</v>
      </c>
      <c r="I790" s="5"/>
      <c r="J790" s="5" t="s">
        <v>517</v>
      </c>
      <c r="K790" s="6" t="s">
        <v>2740</v>
      </c>
      <c r="L790" s="5" t="s">
        <v>743</v>
      </c>
    </row>
    <row r="791" customFormat="false" ht="102.2" hidden="false" customHeight="false" outlineLevel="0" collapsed="false">
      <c r="A791" s="5" t="s">
        <v>2741</v>
      </c>
      <c r="B791" s="6" t="s">
        <v>2742</v>
      </c>
      <c r="C791" s="5" t="n">
        <v>87.2</v>
      </c>
      <c r="D791" s="5"/>
      <c r="E791" s="5"/>
      <c r="F791" s="5" t="s">
        <v>205</v>
      </c>
      <c r="G791" s="8" t="s">
        <v>170</v>
      </c>
      <c r="H791" s="6" t="s">
        <v>2743</v>
      </c>
      <c r="I791" s="5"/>
      <c r="J791" s="5" t="s">
        <v>517</v>
      </c>
      <c r="K791" s="6" t="s">
        <v>2744</v>
      </c>
      <c r="L791" s="5" t="s">
        <v>2745</v>
      </c>
    </row>
    <row r="792" customFormat="false" ht="68.65" hidden="false" customHeight="false" outlineLevel="0" collapsed="false">
      <c r="A792" s="5" t="s">
        <v>2746</v>
      </c>
      <c r="B792" s="6" t="s">
        <v>2747</v>
      </c>
      <c r="C792" s="5" t="n">
        <v>79.4</v>
      </c>
      <c r="D792" s="5"/>
      <c r="E792" s="5"/>
      <c r="F792" s="5" t="s">
        <v>205</v>
      </c>
      <c r="G792" s="8" t="s">
        <v>170</v>
      </c>
      <c r="H792" s="6" t="s">
        <v>2743</v>
      </c>
      <c r="I792" s="5"/>
      <c r="J792" s="5" t="s">
        <v>517</v>
      </c>
      <c r="K792" s="6" t="s">
        <v>2748</v>
      </c>
      <c r="L792" s="5" t="s">
        <v>2745</v>
      </c>
    </row>
    <row r="793" customFormat="false" ht="124.6" hidden="false" customHeight="false" outlineLevel="0" collapsed="false">
      <c r="A793" s="5" t="s">
        <v>2749</v>
      </c>
      <c r="B793" s="6" t="s">
        <v>2750</v>
      </c>
      <c r="C793" s="5" t="n">
        <v>18</v>
      </c>
      <c r="D793" s="5"/>
      <c r="E793" s="5"/>
      <c r="F793" s="5" t="s">
        <v>2751</v>
      </c>
      <c r="G793" s="8" t="s">
        <v>170</v>
      </c>
      <c r="H793" s="6" t="s">
        <v>2743</v>
      </c>
      <c r="I793" s="5"/>
      <c r="J793" s="5" t="s">
        <v>517</v>
      </c>
      <c r="K793" s="6" t="s">
        <v>2752</v>
      </c>
      <c r="L793" s="5" t="s">
        <v>2745</v>
      </c>
    </row>
    <row r="794" customFormat="false" ht="124.6" hidden="false" customHeight="false" outlineLevel="0" collapsed="false">
      <c r="A794" s="5" t="s">
        <v>2753</v>
      </c>
      <c r="B794" s="6" t="s">
        <v>2754</v>
      </c>
      <c r="C794" s="5" t="n">
        <v>21</v>
      </c>
      <c r="D794" s="5"/>
      <c r="E794" s="5"/>
      <c r="F794" s="5" t="s">
        <v>2751</v>
      </c>
      <c r="G794" s="8" t="s">
        <v>170</v>
      </c>
      <c r="H794" s="6" t="s">
        <v>2743</v>
      </c>
      <c r="I794" s="5"/>
      <c r="J794" s="5" t="s">
        <v>517</v>
      </c>
      <c r="K794" s="6" t="s">
        <v>2755</v>
      </c>
      <c r="L794" s="5" t="s">
        <v>2745</v>
      </c>
    </row>
    <row r="795" customFormat="false" ht="124.6" hidden="false" customHeight="false" outlineLevel="0" collapsed="false">
      <c r="A795" s="5" t="s">
        <v>2756</v>
      </c>
      <c r="B795" s="6" t="s">
        <v>2757</v>
      </c>
      <c r="C795" s="5" t="n">
        <v>33</v>
      </c>
      <c r="D795" s="5"/>
      <c r="E795" s="5"/>
      <c r="F795" s="5" t="s">
        <v>2751</v>
      </c>
      <c r="G795" s="8" t="s">
        <v>170</v>
      </c>
      <c r="H795" s="6" t="s">
        <v>2743</v>
      </c>
      <c r="I795" s="5"/>
      <c r="J795" s="5" t="s">
        <v>517</v>
      </c>
      <c r="K795" s="6" t="s">
        <v>2758</v>
      </c>
      <c r="L795" s="5" t="s">
        <v>2745</v>
      </c>
    </row>
    <row r="796" customFormat="false" ht="57.45" hidden="false" customHeight="false" outlineLevel="0" collapsed="false">
      <c r="A796" s="5" t="s">
        <v>2759</v>
      </c>
      <c r="B796" s="6" t="s">
        <v>2760</v>
      </c>
      <c r="C796" s="5" t="n">
        <v>6</v>
      </c>
      <c r="D796" s="5"/>
      <c r="E796" s="5"/>
      <c r="F796" s="5" t="s">
        <v>371</v>
      </c>
      <c r="G796" s="7" t="s">
        <v>42</v>
      </c>
      <c r="H796" s="6" t="s">
        <v>2761</v>
      </c>
      <c r="I796" s="5" t="s">
        <v>2762</v>
      </c>
      <c r="J796" s="5" t="s">
        <v>1427</v>
      </c>
      <c r="K796" s="6" t="s">
        <v>2763</v>
      </c>
      <c r="L796" s="5" t="s">
        <v>2764</v>
      </c>
    </row>
    <row r="797" customFormat="false" ht="57.45" hidden="false" customHeight="false" outlineLevel="0" collapsed="false">
      <c r="A797" s="5" t="s">
        <v>2765</v>
      </c>
      <c r="B797" s="6" t="s">
        <v>1376</v>
      </c>
      <c r="C797" s="5" t="n">
        <v>8</v>
      </c>
      <c r="D797" s="5"/>
      <c r="E797" s="5"/>
      <c r="F797" s="5" t="s">
        <v>371</v>
      </c>
      <c r="G797" s="7" t="s">
        <v>42</v>
      </c>
      <c r="H797" s="6" t="s">
        <v>2761</v>
      </c>
      <c r="I797" s="5" t="s">
        <v>2762</v>
      </c>
      <c r="J797" s="5" t="s">
        <v>1427</v>
      </c>
      <c r="K797" s="6" t="s">
        <v>2763</v>
      </c>
      <c r="L797" s="5" t="s">
        <v>2764</v>
      </c>
    </row>
    <row r="798" customFormat="false" ht="68.65" hidden="false" customHeight="false" outlineLevel="0" collapsed="false">
      <c r="A798" s="5" t="s">
        <v>2766</v>
      </c>
      <c r="B798" s="6" t="s">
        <v>2767</v>
      </c>
      <c r="C798" s="5" t="n">
        <v>5</v>
      </c>
      <c r="D798" s="5"/>
      <c r="E798" s="5"/>
      <c r="F798" s="5" t="s">
        <v>119</v>
      </c>
      <c r="G798" s="7" t="s">
        <v>42</v>
      </c>
      <c r="H798" s="6" t="s">
        <v>2768</v>
      </c>
      <c r="I798" s="5" t="s">
        <v>2769</v>
      </c>
      <c r="J798" s="5" t="s">
        <v>2626</v>
      </c>
      <c r="K798" s="6" t="s">
        <v>2770</v>
      </c>
      <c r="L798" s="5" t="s">
        <v>2764</v>
      </c>
    </row>
    <row r="799" customFormat="false" ht="68.65" hidden="false" customHeight="false" outlineLevel="0" collapsed="false">
      <c r="A799" s="5" t="s">
        <v>2771</v>
      </c>
      <c r="B799" s="6" t="s">
        <v>1376</v>
      </c>
      <c r="C799" s="5" t="n">
        <v>12</v>
      </c>
      <c r="D799" s="5"/>
      <c r="E799" s="5"/>
      <c r="F799" s="5" t="s">
        <v>119</v>
      </c>
      <c r="G799" s="7" t="s">
        <v>42</v>
      </c>
      <c r="H799" s="6" t="s">
        <v>2768</v>
      </c>
      <c r="I799" s="5" t="s">
        <v>2769</v>
      </c>
      <c r="J799" s="5" t="s">
        <v>2626</v>
      </c>
      <c r="K799" s="6" t="s">
        <v>2770</v>
      </c>
      <c r="L799" s="5" t="s">
        <v>2764</v>
      </c>
    </row>
    <row r="800" customFormat="false" ht="68.65" hidden="false" customHeight="false" outlineLevel="0" collapsed="false">
      <c r="A800" s="5" t="s">
        <v>2772</v>
      </c>
      <c r="B800" s="6" t="s">
        <v>2773</v>
      </c>
      <c r="C800" s="5" t="n">
        <v>30</v>
      </c>
      <c r="D800" s="5"/>
      <c r="E800" s="5"/>
      <c r="F800" s="5" t="s">
        <v>119</v>
      </c>
      <c r="G800" s="7" t="s">
        <v>42</v>
      </c>
      <c r="H800" s="6" t="s">
        <v>2768</v>
      </c>
      <c r="I800" s="5" t="s">
        <v>2769</v>
      </c>
      <c r="J800" s="5" t="s">
        <v>2626</v>
      </c>
      <c r="K800" s="6" t="s">
        <v>2770</v>
      </c>
      <c r="L800" s="5" t="s">
        <v>2764</v>
      </c>
    </row>
    <row r="801" customFormat="false" ht="68.65" hidden="false" customHeight="false" outlineLevel="0" collapsed="false">
      <c r="A801" s="5" t="s">
        <v>2774</v>
      </c>
      <c r="B801" s="6" t="s">
        <v>1376</v>
      </c>
      <c r="C801" s="5" t="n">
        <v>50</v>
      </c>
      <c r="D801" s="5"/>
      <c r="E801" s="5"/>
      <c r="F801" s="5" t="s">
        <v>119</v>
      </c>
      <c r="G801" s="7" t="s">
        <v>42</v>
      </c>
      <c r="H801" s="6" t="s">
        <v>2768</v>
      </c>
      <c r="I801" s="5" t="s">
        <v>2769</v>
      </c>
      <c r="J801" s="5" t="s">
        <v>2626</v>
      </c>
      <c r="K801" s="6" t="s">
        <v>2770</v>
      </c>
      <c r="L801" s="5" t="s">
        <v>2764</v>
      </c>
    </row>
    <row r="802" customFormat="false" ht="79.85" hidden="false" customHeight="false" outlineLevel="0" collapsed="false">
      <c r="A802" s="5" t="s">
        <v>2775</v>
      </c>
      <c r="B802" s="6" t="s">
        <v>2776</v>
      </c>
      <c r="C802" s="5" t="n">
        <v>1.5</v>
      </c>
      <c r="D802" s="5"/>
      <c r="E802" s="5"/>
      <c r="F802" s="5" t="s">
        <v>2599</v>
      </c>
      <c r="G802" s="7" t="s">
        <v>42</v>
      </c>
      <c r="H802" s="6" t="s">
        <v>2777</v>
      </c>
      <c r="I802" s="5" t="s">
        <v>2778</v>
      </c>
      <c r="J802" s="5" t="s">
        <v>2779</v>
      </c>
      <c r="K802" s="6" t="s">
        <v>2780</v>
      </c>
      <c r="L802" s="5" t="s">
        <v>2781</v>
      </c>
    </row>
    <row r="803" customFormat="false" ht="79.85" hidden="false" customHeight="false" outlineLevel="0" collapsed="false">
      <c r="A803" s="5" t="s">
        <v>2782</v>
      </c>
      <c r="B803" s="6" t="s">
        <v>2783</v>
      </c>
      <c r="C803" s="5" t="n">
        <v>5.7</v>
      </c>
      <c r="D803" s="5"/>
      <c r="E803" s="5"/>
      <c r="F803" s="5" t="s">
        <v>2784</v>
      </c>
      <c r="G803" s="7" t="s">
        <v>42</v>
      </c>
      <c r="H803" s="6" t="s">
        <v>2785</v>
      </c>
      <c r="I803" s="5" t="s">
        <v>2778</v>
      </c>
      <c r="J803" s="5" t="s">
        <v>2779</v>
      </c>
      <c r="K803" s="6" t="s">
        <v>2786</v>
      </c>
      <c r="L803" s="5" t="s">
        <v>2781</v>
      </c>
    </row>
    <row r="804" customFormat="false" ht="124.6" hidden="false" customHeight="false" outlineLevel="0" collapsed="false">
      <c r="A804" s="5" t="s">
        <v>2787</v>
      </c>
      <c r="B804" s="6" t="s">
        <v>2788</v>
      </c>
      <c r="C804" s="5" t="n">
        <v>43</v>
      </c>
      <c r="D804" s="5"/>
      <c r="E804" s="5"/>
      <c r="F804" s="5" t="s">
        <v>2789</v>
      </c>
      <c r="G804" s="7" t="s">
        <v>42</v>
      </c>
      <c r="H804" s="6" t="s">
        <v>2790</v>
      </c>
      <c r="I804" s="5" t="s">
        <v>2791</v>
      </c>
      <c r="J804" s="5" t="s">
        <v>2792</v>
      </c>
      <c r="K804" s="6" t="s">
        <v>2793</v>
      </c>
      <c r="L804" s="5" t="s">
        <v>2781</v>
      </c>
    </row>
    <row r="805" customFormat="false" ht="46.25" hidden="false" customHeight="false" outlineLevel="0" collapsed="false">
      <c r="A805" s="5" t="s">
        <v>2794</v>
      </c>
      <c r="B805" s="6" t="s">
        <v>2795</v>
      </c>
      <c r="C805" s="5" t="n">
        <v>81</v>
      </c>
      <c r="D805" s="5"/>
      <c r="E805" s="5"/>
      <c r="F805" s="5" t="s">
        <v>2789</v>
      </c>
      <c r="G805" s="7" t="s">
        <v>42</v>
      </c>
      <c r="H805" s="6" t="s">
        <v>2796</v>
      </c>
      <c r="I805" s="5" t="s">
        <v>2791</v>
      </c>
      <c r="J805" s="5" t="s">
        <v>2792</v>
      </c>
      <c r="K805" s="6" t="s">
        <v>2797</v>
      </c>
      <c r="L805" s="5" t="s">
        <v>2781</v>
      </c>
    </row>
    <row r="806" customFormat="false" ht="79.85" hidden="false" customHeight="false" outlineLevel="0" collapsed="false">
      <c r="A806" s="5" t="s">
        <v>2798</v>
      </c>
      <c r="B806" s="6" t="s">
        <v>2799</v>
      </c>
      <c r="C806" s="5" t="n">
        <v>1130.8</v>
      </c>
      <c r="D806" s="5"/>
      <c r="E806" s="5"/>
      <c r="F806" s="5" t="s">
        <v>2800</v>
      </c>
      <c r="G806" s="7" t="s">
        <v>42</v>
      </c>
      <c r="H806" s="6" t="s">
        <v>2801</v>
      </c>
      <c r="I806" s="5" t="s">
        <v>2802</v>
      </c>
      <c r="J806" s="5" t="s">
        <v>2803</v>
      </c>
      <c r="K806" s="6" t="s">
        <v>2804</v>
      </c>
      <c r="L806" s="5" t="s">
        <v>2805</v>
      </c>
    </row>
    <row r="807" customFormat="false" ht="91" hidden="false" customHeight="false" outlineLevel="0" collapsed="false">
      <c r="A807" s="5" t="s">
        <v>2806</v>
      </c>
      <c r="B807" s="6" t="s">
        <v>2807</v>
      </c>
      <c r="C807" s="5" t="n">
        <v>1042.4</v>
      </c>
      <c r="D807" s="5"/>
      <c r="E807" s="5"/>
      <c r="F807" s="5" t="s">
        <v>2800</v>
      </c>
      <c r="G807" s="7" t="s">
        <v>42</v>
      </c>
      <c r="H807" s="6" t="s">
        <v>2808</v>
      </c>
      <c r="I807" s="5" t="s">
        <v>2802</v>
      </c>
      <c r="J807" s="5" t="s">
        <v>2803</v>
      </c>
      <c r="K807" s="6" t="s">
        <v>2809</v>
      </c>
      <c r="L807" s="5" t="s">
        <v>2805</v>
      </c>
    </row>
    <row r="808" customFormat="false" ht="91" hidden="false" customHeight="false" outlineLevel="0" collapsed="false">
      <c r="A808" s="5" t="s">
        <v>2810</v>
      </c>
      <c r="B808" s="6" t="s">
        <v>2811</v>
      </c>
      <c r="C808" s="5" t="n">
        <v>59.7</v>
      </c>
      <c r="D808" s="5"/>
      <c r="E808" s="5"/>
      <c r="F808" s="5" t="s">
        <v>2800</v>
      </c>
      <c r="G808" s="7" t="s">
        <v>42</v>
      </c>
      <c r="H808" s="6" t="s">
        <v>2812</v>
      </c>
      <c r="I808" s="5" t="s">
        <v>2802</v>
      </c>
      <c r="J808" s="5" t="s">
        <v>2803</v>
      </c>
      <c r="K808" s="6" t="s">
        <v>2813</v>
      </c>
      <c r="L808" s="5" t="s">
        <v>2805</v>
      </c>
    </row>
    <row r="809" customFormat="false" ht="79.85" hidden="false" customHeight="false" outlineLevel="0" collapsed="false">
      <c r="A809" s="5" t="s">
        <v>2814</v>
      </c>
      <c r="B809" s="6" t="s">
        <v>2815</v>
      </c>
      <c r="C809" s="5" t="n">
        <v>64.6</v>
      </c>
      <c r="D809" s="5"/>
      <c r="E809" s="5"/>
      <c r="F809" s="5" t="s">
        <v>1507</v>
      </c>
      <c r="G809" s="7" t="s">
        <v>42</v>
      </c>
      <c r="H809" s="6" t="s">
        <v>2816</v>
      </c>
      <c r="I809" s="5" t="s">
        <v>2802</v>
      </c>
      <c r="J809" s="5" t="s">
        <v>2803</v>
      </c>
      <c r="K809" s="6" t="s">
        <v>2804</v>
      </c>
      <c r="L809" s="5" t="s">
        <v>2805</v>
      </c>
    </row>
    <row r="810" customFormat="false" ht="79.85" hidden="false" customHeight="false" outlineLevel="0" collapsed="false">
      <c r="A810" s="5" t="s">
        <v>2817</v>
      </c>
      <c r="B810" s="6" t="s">
        <v>2818</v>
      </c>
      <c r="C810" s="5" t="n">
        <v>1368</v>
      </c>
      <c r="D810" s="5"/>
      <c r="E810" s="5"/>
      <c r="F810" s="5" t="s">
        <v>2819</v>
      </c>
      <c r="G810" s="7" t="s">
        <v>42</v>
      </c>
      <c r="H810" s="6" t="s">
        <v>2820</v>
      </c>
      <c r="I810" s="5" t="s">
        <v>2802</v>
      </c>
      <c r="J810" s="5" t="s">
        <v>2803</v>
      </c>
      <c r="K810" s="6" t="s">
        <v>2804</v>
      </c>
      <c r="L810" s="5" t="s">
        <v>2805</v>
      </c>
    </row>
    <row r="811" customFormat="false" ht="79.85" hidden="false" customHeight="false" outlineLevel="0" collapsed="false">
      <c r="A811" s="5" t="s">
        <v>2821</v>
      </c>
      <c r="B811" s="6" t="s">
        <v>2822</v>
      </c>
      <c r="C811" s="5"/>
      <c r="D811" s="5"/>
      <c r="E811" s="5"/>
      <c r="F811" s="5" t="s">
        <v>74</v>
      </c>
      <c r="G811" s="7" t="s">
        <v>42</v>
      </c>
      <c r="H811" s="6" t="s">
        <v>2823</v>
      </c>
      <c r="I811" s="5" t="s">
        <v>2802</v>
      </c>
      <c r="J811" s="5" t="s">
        <v>2803</v>
      </c>
      <c r="K811" s="6" t="s">
        <v>2824</v>
      </c>
      <c r="L811" s="5" t="s">
        <v>2805</v>
      </c>
    </row>
    <row r="812" customFormat="false" ht="57.45" hidden="false" customHeight="false" outlineLevel="0" collapsed="false">
      <c r="A812" s="5" t="s">
        <v>2825</v>
      </c>
      <c r="B812" s="6" t="s">
        <v>2826</v>
      </c>
      <c r="C812" s="5" t="n">
        <v>2379.6</v>
      </c>
      <c r="D812" s="5"/>
      <c r="E812" s="5"/>
      <c r="F812" s="5" t="s">
        <v>50</v>
      </c>
      <c r="G812" s="7" t="s">
        <v>42</v>
      </c>
      <c r="H812" s="6" t="s">
        <v>2827</v>
      </c>
      <c r="I812" s="5" t="s">
        <v>2828</v>
      </c>
      <c r="J812" s="5" t="s">
        <v>45</v>
      </c>
      <c r="K812" s="6" t="s">
        <v>2829</v>
      </c>
      <c r="L812" s="5" t="s">
        <v>2805</v>
      </c>
    </row>
    <row r="813" customFormat="false" ht="57.45" hidden="false" customHeight="false" outlineLevel="0" collapsed="false">
      <c r="A813" s="5" t="s">
        <v>2830</v>
      </c>
      <c r="B813" s="6" t="s">
        <v>2831</v>
      </c>
      <c r="C813" s="5" t="n">
        <v>123.7</v>
      </c>
      <c r="D813" s="5"/>
      <c r="E813" s="5"/>
      <c r="F813" s="5" t="s">
        <v>50</v>
      </c>
      <c r="G813" s="7" t="s">
        <v>42</v>
      </c>
      <c r="H813" s="6" t="s">
        <v>2832</v>
      </c>
      <c r="I813" s="5" t="s">
        <v>2828</v>
      </c>
      <c r="J813" s="5" t="s">
        <v>45</v>
      </c>
      <c r="K813" s="6" t="s">
        <v>2833</v>
      </c>
      <c r="L813" s="5" t="s">
        <v>2805</v>
      </c>
    </row>
    <row r="814" customFormat="false" ht="57.45" hidden="false" customHeight="false" outlineLevel="0" collapsed="false">
      <c r="A814" s="5" t="s">
        <v>2834</v>
      </c>
      <c r="B814" s="6" t="s">
        <v>2835</v>
      </c>
      <c r="C814" s="5" t="n">
        <v>145.1</v>
      </c>
      <c r="D814" s="5"/>
      <c r="E814" s="5"/>
      <c r="F814" s="5" t="s">
        <v>50</v>
      </c>
      <c r="G814" s="7" t="s">
        <v>42</v>
      </c>
      <c r="H814" s="6" t="s">
        <v>2836</v>
      </c>
      <c r="I814" s="5" t="s">
        <v>2828</v>
      </c>
      <c r="J814" s="5" t="s">
        <v>45</v>
      </c>
      <c r="K814" s="6" t="s">
        <v>2837</v>
      </c>
      <c r="L814" s="5" t="s">
        <v>2805</v>
      </c>
    </row>
    <row r="815" customFormat="false" ht="68.65" hidden="false" customHeight="false" outlineLevel="0" collapsed="false">
      <c r="A815" s="5" t="s">
        <v>2838</v>
      </c>
      <c r="B815" s="6" t="s">
        <v>2839</v>
      </c>
      <c r="C815" s="5"/>
      <c r="D815" s="5"/>
      <c r="E815" s="5"/>
      <c r="F815" s="5" t="s">
        <v>74</v>
      </c>
      <c r="G815" s="7" t="s">
        <v>42</v>
      </c>
      <c r="H815" s="6" t="s">
        <v>2840</v>
      </c>
      <c r="I815" s="5" t="s">
        <v>2828</v>
      </c>
      <c r="J815" s="5" t="s">
        <v>45</v>
      </c>
      <c r="K815" s="6" t="s">
        <v>2841</v>
      </c>
      <c r="L815" s="5" t="s">
        <v>2805</v>
      </c>
    </row>
    <row r="816" customFormat="false" ht="68.65" hidden="false" customHeight="false" outlineLevel="0" collapsed="false">
      <c r="A816" s="5" t="s">
        <v>2842</v>
      </c>
      <c r="B816" s="6" t="s">
        <v>2843</v>
      </c>
      <c r="C816" s="5"/>
      <c r="D816" s="5"/>
      <c r="E816" s="5"/>
      <c r="F816" s="5" t="s">
        <v>74</v>
      </c>
      <c r="G816" s="7" t="s">
        <v>42</v>
      </c>
      <c r="H816" s="6" t="s">
        <v>2844</v>
      </c>
      <c r="I816" s="5" t="s">
        <v>2845</v>
      </c>
      <c r="J816" s="5" t="s">
        <v>84</v>
      </c>
      <c r="K816" s="6" t="s">
        <v>2846</v>
      </c>
      <c r="L816" s="5" t="s">
        <v>2805</v>
      </c>
    </row>
    <row r="817" customFormat="false" ht="102.2" hidden="false" customHeight="false" outlineLevel="0" collapsed="false">
      <c r="A817" s="5" t="s">
        <v>2847</v>
      </c>
      <c r="B817" s="6" t="s">
        <v>2848</v>
      </c>
      <c r="C817" s="5"/>
      <c r="D817" s="5"/>
      <c r="E817" s="5"/>
      <c r="F817" s="5" t="s">
        <v>74</v>
      </c>
      <c r="G817" s="7" t="s">
        <v>42</v>
      </c>
      <c r="H817" s="6" t="s">
        <v>2849</v>
      </c>
      <c r="I817" s="5" t="s">
        <v>2850</v>
      </c>
      <c r="J817" s="5" t="s">
        <v>2851</v>
      </c>
      <c r="K817" s="6" t="s">
        <v>2852</v>
      </c>
      <c r="L817" s="5" t="s">
        <v>2805</v>
      </c>
    </row>
    <row r="818" customFormat="false" ht="158.2" hidden="false" customHeight="false" outlineLevel="0" collapsed="false">
      <c r="A818" s="5" t="s">
        <v>2853</v>
      </c>
      <c r="B818" s="6" t="s">
        <v>2854</v>
      </c>
      <c r="C818" s="5"/>
      <c r="D818" s="5"/>
      <c r="E818" s="5"/>
      <c r="F818" s="5" t="s">
        <v>74</v>
      </c>
      <c r="G818" s="7" t="s">
        <v>42</v>
      </c>
      <c r="H818" s="6" t="s">
        <v>2855</v>
      </c>
      <c r="I818" s="5" t="s">
        <v>2856</v>
      </c>
      <c r="J818" s="5" t="s">
        <v>2857</v>
      </c>
      <c r="K818" s="6" t="s">
        <v>2858</v>
      </c>
      <c r="L818" s="5" t="s">
        <v>2859</v>
      </c>
    </row>
    <row r="819" customFormat="false" ht="57.45" hidden="false" customHeight="false" outlineLevel="0" collapsed="false">
      <c r="A819" s="5" t="s">
        <v>2860</v>
      </c>
      <c r="B819" s="6" t="s">
        <v>2861</v>
      </c>
      <c r="C819" s="5"/>
      <c r="D819" s="5"/>
      <c r="E819" s="5"/>
      <c r="F819" s="5" t="s">
        <v>74</v>
      </c>
      <c r="G819" s="7" t="s">
        <v>42</v>
      </c>
      <c r="H819" s="6" t="s">
        <v>2862</v>
      </c>
      <c r="I819" s="5" t="s">
        <v>2863</v>
      </c>
      <c r="J819" s="5" t="s">
        <v>2864</v>
      </c>
      <c r="K819" s="6" t="s">
        <v>2865</v>
      </c>
      <c r="L819" s="5" t="s">
        <v>2859</v>
      </c>
    </row>
    <row r="820" customFormat="false" ht="79.85" hidden="false" customHeight="false" outlineLevel="0" collapsed="false">
      <c r="A820" s="5" t="s">
        <v>2866</v>
      </c>
      <c r="B820" s="6" t="s">
        <v>2867</v>
      </c>
      <c r="C820" s="5"/>
      <c r="D820" s="5"/>
      <c r="E820" s="5"/>
      <c r="F820" s="5" t="s">
        <v>74</v>
      </c>
      <c r="G820" s="7" t="s">
        <v>42</v>
      </c>
      <c r="H820" s="6" t="s">
        <v>2868</v>
      </c>
      <c r="I820" s="5" t="s">
        <v>2869</v>
      </c>
      <c r="J820" s="5" t="s">
        <v>446</v>
      </c>
      <c r="K820" s="6" t="s">
        <v>2870</v>
      </c>
      <c r="L820" s="5" t="s">
        <v>2859</v>
      </c>
    </row>
    <row r="821" customFormat="false" ht="124.6" hidden="false" customHeight="false" outlineLevel="0" collapsed="false">
      <c r="A821" s="5" t="s">
        <v>2871</v>
      </c>
      <c r="B821" s="6" t="s">
        <v>2872</v>
      </c>
      <c r="C821" s="5"/>
      <c r="D821" s="5"/>
      <c r="E821" s="5"/>
      <c r="F821" s="5" t="s">
        <v>74</v>
      </c>
      <c r="G821" s="7" t="s">
        <v>42</v>
      </c>
      <c r="H821" s="6" t="s">
        <v>2873</v>
      </c>
      <c r="I821" s="5" t="s">
        <v>2874</v>
      </c>
      <c r="J821" s="5" t="s">
        <v>2875</v>
      </c>
      <c r="K821" s="6" t="s">
        <v>2876</v>
      </c>
      <c r="L821" s="5" t="s">
        <v>2859</v>
      </c>
    </row>
    <row r="822" customFormat="false" ht="135.8" hidden="false" customHeight="false" outlineLevel="0" collapsed="false">
      <c r="A822" s="5" t="s">
        <v>2877</v>
      </c>
      <c r="B822" s="6" t="s">
        <v>2878</v>
      </c>
      <c r="C822" s="5"/>
      <c r="D822" s="5"/>
      <c r="E822" s="5"/>
      <c r="F822" s="5" t="s">
        <v>74</v>
      </c>
      <c r="G822" s="7" t="s">
        <v>42</v>
      </c>
      <c r="H822" s="6" t="s">
        <v>2879</v>
      </c>
      <c r="I822" s="5" t="s">
        <v>2874</v>
      </c>
      <c r="J822" s="5" t="s">
        <v>2875</v>
      </c>
      <c r="K822" s="6" t="s">
        <v>2880</v>
      </c>
      <c r="L822" s="5" t="s">
        <v>2859</v>
      </c>
    </row>
    <row r="823" customFormat="false" ht="91" hidden="false" customHeight="false" outlineLevel="0" collapsed="false">
      <c r="A823" s="5" t="s">
        <v>2881</v>
      </c>
      <c r="B823" s="6" t="s">
        <v>2882</v>
      </c>
      <c r="C823" s="5" t="n">
        <v>957</v>
      </c>
      <c r="D823" s="5"/>
      <c r="E823" s="5"/>
      <c r="F823" s="5" t="s">
        <v>2226</v>
      </c>
      <c r="G823" s="7" t="s">
        <v>42</v>
      </c>
      <c r="H823" s="6" t="s">
        <v>2883</v>
      </c>
      <c r="I823" s="5" t="s">
        <v>2884</v>
      </c>
      <c r="J823" s="5" t="s">
        <v>2885</v>
      </c>
      <c r="K823" s="6" t="s">
        <v>2886</v>
      </c>
      <c r="L823" s="5" t="s">
        <v>2805</v>
      </c>
    </row>
    <row r="824" customFormat="false" ht="91" hidden="false" customHeight="false" outlineLevel="0" collapsed="false">
      <c r="A824" s="5" t="s">
        <v>2887</v>
      </c>
      <c r="B824" s="6" t="s">
        <v>2888</v>
      </c>
      <c r="C824" s="5" t="n">
        <v>2.7</v>
      </c>
      <c r="D824" s="5"/>
      <c r="E824" s="5"/>
      <c r="F824" s="5" t="s">
        <v>2889</v>
      </c>
      <c r="G824" s="8" t="s">
        <v>170</v>
      </c>
      <c r="H824" s="6" t="s">
        <v>2890</v>
      </c>
      <c r="I824" s="5"/>
      <c r="J824" s="5" t="s">
        <v>517</v>
      </c>
      <c r="K824" s="6" t="s">
        <v>2891</v>
      </c>
      <c r="L824" s="5" t="s">
        <v>2805</v>
      </c>
    </row>
    <row r="825" customFormat="false" ht="91" hidden="false" customHeight="false" outlineLevel="0" collapsed="false">
      <c r="A825" s="5" t="s">
        <v>2892</v>
      </c>
      <c r="B825" s="6" t="s">
        <v>2893</v>
      </c>
      <c r="C825" s="5" t="n">
        <v>12.9</v>
      </c>
      <c r="D825" s="5"/>
      <c r="E825" s="5"/>
      <c r="F825" s="5" t="s">
        <v>2889</v>
      </c>
      <c r="G825" s="8" t="s">
        <v>170</v>
      </c>
      <c r="H825" s="6" t="s">
        <v>2890</v>
      </c>
      <c r="I825" s="5"/>
      <c r="J825" s="5" t="s">
        <v>517</v>
      </c>
      <c r="K825" s="6" t="s">
        <v>2891</v>
      </c>
      <c r="L825" s="5" t="s">
        <v>2805</v>
      </c>
    </row>
    <row r="826" customFormat="false" ht="91" hidden="false" customHeight="false" outlineLevel="0" collapsed="false">
      <c r="A826" s="5" t="s">
        <v>2894</v>
      </c>
      <c r="B826" s="6" t="s">
        <v>2895</v>
      </c>
      <c r="C826" s="5" t="n">
        <v>18.4</v>
      </c>
      <c r="D826" s="5"/>
      <c r="E826" s="5"/>
      <c r="F826" s="5" t="s">
        <v>2889</v>
      </c>
      <c r="G826" s="8" t="s">
        <v>170</v>
      </c>
      <c r="H826" s="6" t="s">
        <v>2890</v>
      </c>
      <c r="I826" s="5"/>
      <c r="J826" s="5" t="s">
        <v>517</v>
      </c>
      <c r="K826" s="6" t="s">
        <v>2891</v>
      </c>
      <c r="L826" s="5" t="s">
        <v>2805</v>
      </c>
    </row>
    <row r="827" customFormat="false" ht="57.45" hidden="false" customHeight="false" outlineLevel="0" collapsed="false">
      <c r="A827" s="5" t="s">
        <v>2896</v>
      </c>
      <c r="B827" s="6" t="s">
        <v>2897</v>
      </c>
      <c r="C827" s="5" t="n">
        <v>1.09</v>
      </c>
      <c r="D827" s="5"/>
      <c r="E827" s="5"/>
      <c r="F827" s="5" t="s">
        <v>840</v>
      </c>
      <c r="G827" s="8" t="s">
        <v>170</v>
      </c>
      <c r="H827" s="6" t="s">
        <v>2890</v>
      </c>
      <c r="I827" s="5"/>
      <c r="J827" s="5" t="s">
        <v>517</v>
      </c>
      <c r="K827" s="6" t="s">
        <v>2898</v>
      </c>
      <c r="L827" s="5" t="s">
        <v>2805</v>
      </c>
    </row>
    <row r="828" customFormat="false" ht="57.45" hidden="false" customHeight="false" outlineLevel="0" collapsed="false">
      <c r="A828" s="5" t="s">
        <v>2899</v>
      </c>
      <c r="B828" s="6" t="s">
        <v>2900</v>
      </c>
      <c r="C828" s="5" t="n">
        <v>-5.3</v>
      </c>
      <c r="D828" s="5"/>
      <c r="E828" s="5"/>
      <c r="F828" s="5" t="s">
        <v>119</v>
      </c>
      <c r="G828" s="8" t="s">
        <v>170</v>
      </c>
      <c r="H828" s="6" t="s">
        <v>2890</v>
      </c>
      <c r="I828" s="5"/>
      <c r="J828" s="5" t="s">
        <v>517</v>
      </c>
      <c r="K828" s="6" t="s">
        <v>2898</v>
      </c>
      <c r="L828" s="5" t="s">
        <v>2805</v>
      </c>
    </row>
    <row r="829" customFormat="false" ht="57.45" hidden="false" customHeight="false" outlineLevel="0" collapsed="false">
      <c r="A829" s="5" t="s">
        <v>2901</v>
      </c>
      <c r="B829" s="6" t="s">
        <v>2902</v>
      </c>
      <c r="C829" s="5" t="n">
        <v>-6.6</v>
      </c>
      <c r="D829" s="5"/>
      <c r="E829" s="5"/>
      <c r="F829" s="5" t="s">
        <v>119</v>
      </c>
      <c r="G829" s="8" t="s">
        <v>170</v>
      </c>
      <c r="H829" s="6" t="s">
        <v>2890</v>
      </c>
      <c r="I829" s="5"/>
      <c r="J829" s="5" t="s">
        <v>517</v>
      </c>
      <c r="K829" s="6" t="s">
        <v>2898</v>
      </c>
      <c r="L829" s="5" t="s">
        <v>2805</v>
      </c>
    </row>
    <row r="830" customFormat="false" ht="68.65" hidden="false" customHeight="false" outlineLevel="0" collapsed="false">
      <c r="A830" s="5" t="s">
        <v>2903</v>
      </c>
      <c r="B830" s="6" t="s">
        <v>2904</v>
      </c>
      <c r="C830" s="5" t="n">
        <v>2</v>
      </c>
      <c r="D830" s="5"/>
      <c r="E830" s="5"/>
      <c r="F830" s="5" t="s">
        <v>95</v>
      </c>
      <c r="G830" s="8" t="s">
        <v>170</v>
      </c>
      <c r="H830" s="6" t="s">
        <v>2890</v>
      </c>
      <c r="I830" s="5"/>
      <c r="J830" s="5" t="s">
        <v>517</v>
      </c>
      <c r="K830" s="6" t="s">
        <v>2905</v>
      </c>
      <c r="L830" s="5" t="s">
        <v>2805</v>
      </c>
    </row>
    <row r="831" customFormat="false" ht="57.45" hidden="false" customHeight="false" outlineLevel="0" collapsed="false">
      <c r="A831" s="5" t="s">
        <v>2906</v>
      </c>
      <c r="B831" s="6" t="s">
        <v>2907</v>
      </c>
      <c r="C831" s="5" t="n">
        <v>0.84</v>
      </c>
      <c r="D831" s="5"/>
      <c r="E831" s="5"/>
      <c r="F831" s="5" t="s">
        <v>1705</v>
      </c>
      <c r="G831" s="8" t="s">
        <v>170</v>
      </c>
      <c r="H831" s="6" t="s">
        <v>2890</v>
      </c>
      <c r="I831" s="5"/>
      <c r="J831" s="5" t="s">
        <v>517</v>
      </c>
      <c r="K831" s="6" t="s">
        <v>2898</v>
      </c>
      <c r="L831" s="5" t="s">
        <v>2805</v>
      </c>
    </row>
    <row r="832" customFormat="false" ht="68.65" hidden="false" customHeight="false" outlineLevel="0" collapsed="false">
      <c r="A832" s="5" t="s">
        <v>2908</v>
      </c>
      <c r="B832" s="6" t="s">
        <v>2909</v>
      </c>
      <c r="C832" s="5" t="n">
        <v>0.92</v>
      </c>
      <c r="D832" s="5"/>
      <c r="E832" s="5"/>
      <c r="F832" s="5" t="s">
        <v>840</v>
      </c>
      <c r="G832" s="8" t="s">
        <v>170</v>
      </c>
      <c r="H832" s="6" t="s">
        <v>2890</v>
      </c>
      <c r="I832" s="5"/>
      <c r="J832" s="5" t="s">
        <v>517</v>
      </c>
      <c r="K832" s="6" t="s">
        <v>2910</v>
      </c>
      <c r="L832" s="5" t="s">
        <v>2805</v>
      </c>
    </row>
    <row r="833" customFormat="false" ht="68.65" hidden="false" customHeight="false" outlineLevel="0" collapsed="false">
      <c r="A833" s="5" t="s">
        <v>2911</v>
      </c>
      <c r="B833" s="6" t="s">
        <v>2912</v>
      </c>
      <c r="C833" s="5" t="n">
        <v>1.48</v>
      </c>
      <c r="D833" s="5"/>
      <c r="E833" s="5"/>
      <c r="F833" s="5" t="s">
        <v>840</v>
      </c>
      <c r="G833" s="8" t="s">
        <v>170</v>
      </c>
      <c r="H833" s="6" t="s">
        <v>2890</v>
      </c>
      <c r="I833" s="5"/>
      <c r="J833" s="5" t="s">
        <v>517</v>
      </c>
      <c r="K833" s="6" t="s">
        <v>2913</v>
      </c>
      <c r="L833" s="5" t="s">
        <v>2805</v>
      </c>
    </row>
    <row r="834" customFormat="false" ht="68.65" hidden="false" customHeight="false" outlineLevel="0" collapsed="false">
      <c r="A834" s="5" t="s">
        <v>2914</v>
      </c>
      <c r="B834" s="6" t="s">
        <v>2915</v>
      </c>
      <c r="C834" s="5" t="n">
        <v>1.68</v>
      </c>
      <c r="D834" s="5"/>
      <c r="E834" s="5"/>
      <c r="F834" s="5" t="s">
        <v>840</v>
      </c>
      <c r="G834" s="8" t="s">
        <v>170</v>
      </c>
      <c r="H834" s="6" t="s">
        <v>2890</v>
      </c>
      <c r="I834" s="5"/>
      <c r="J834" s="5" t="s">
        <v>517</v>
      </c>
      <c r="K834" s="6" t="s">
        <v>2913</v>
      </c>
      <c r="L834" s="5" t="s">
        <v>2805</v>
      </c>
    </row>
    <row r="835" customFormat="false" ht="46.25" hidden="false" customHeight="false" outlineLevel="0" collapsed="false">
      <c r="A835" s="5" t="s">
        <v>2916</v>
      </c>
      <c r="B835" s="6" t="s">
        <v>2917</v>
      </c>
      <c r="C835" s="5" t="n">
        <v>2.94</v>
      </c>
      <c r="D835" s="5"/>
      <c r="E835" s="5"/>
      <c r="F835" s="5" t="s">
        <v>2918</v>
      </c>
      <c r="G835" s="7" t="s">
        <v>42</v>
      </c>
      <c r="H835" s="6" t="s">
        <v>2919</v>
      </c>
      <c r="I835" s="5" t="s">
        <v>2920</v>
      </c>
      <c r="J835" s="5" t="s">
        <v>2669</v>
      </c>
      <c r="K835" s="6" t="s">
        <v>2921</v>
      </c>
      <c r="L835" s="5" t="s">
        <v>2922</v>
      </c>
    </row>
    <row r="836" customFormat="false" ht="46.25" hidden="false" customHeight="false" outlineLevel="0" collapsed="false">
      <c r="A836" s="5" t="s">
        <v>2923</v>
      </c>
      <c r="B836" s="6" t="s">
        <v>2924</v>
      </c>
      <c r="C836" s="5" t="n">
        <v>0.91</v>
      </c>
      <c r="D836" s="5"/>
      <c r="E836" s="5"/>
      <c r="F836" s="5" t="s">
        <v>2918</v>
      </c>
      <c r="G836" s="7" t="s">
        <v>42</v>
      </c>
      <c r="H836" s="6" t="s">
        <v>2925</v>
      </c>
      <c r="I836" s="5" t="s">
        <v>2920</v>
      </c>
      <c r="J836" s="5" t="s">
        <v>2669</v>
      </c>
      <c r="K836" s="6" t="s">
        <v>2921</v>
      </c>
      <c r="L836" s="5" t="s">
        <v>2922</v>
      </c>
    </row>
    <row r="837" customFormat="false" ht="46.25" hidden="false" customHeight="false" outlineLevel="0" collapsed="false">
      <c r="A837" s="5" t="s">
        <v>2926</v>
      </c>
      <c r="B837" s="6" t="s">
        <v>2927</v>
      </c>
      <c r="C837" s="5" t="n">
        <v>3.67</v>
      </c>
      <c r="D837" s="5"/>
      <c r="E837" s="5"/>
      <c r="F837" s="5" t="s">
        <v>2918</v>
      </c>
      <c r="G837" s="7" t="s">
        <v>42</v>
      </c>
      <c r="H837" s="6" t="s">
        <v>2925</v>
      </c>
      <c r="I837" s="5" t="s">
        <v>2920</v>
      </c>
      <c r="J837" s="5" t="s">
        <v>2669</v>
      </c>
      <c r="K837" s="6" t="s">
        <v>2921</v>
      </c>
      <c r="L837" s="5" t="s">
        <v>2922</v>
      </c>
    </row>
    <row r="838" customFormat="false" ht="46.25" hidden="false" customHeight="false" outlineLevel="0" collapsed="false">
      <c r="A838" s="5" t="s">
        <v>2928</v>
      </c>
      <c r="B838" s="6" t="s">
        <v>2929</v>
      </c>
      <c r="C838" s="5" t="n">
        <v>0.28</v>
      </c>
      <c r="D838" s="5"/>
      <c r="E838" s="5"/>
      <c r="F838" s="5" t="s">
        <v>2918</v>
      </c>
      <c r="G838" s="7" t="s">
        <v>42</v>
      </c>
      <c r="H838" s="6" t="s">
        <v>2925</v>
      </c>
      <c r="I838" s="5" t="s">
        <v>2920</v>
      </c>
      <c r="J838" s="5" t="s">
        <v>2669</v>
      </c>
      <c r="K838" s="6" t="s">
        <v>2921</v>
      </c>
      <c r="L838" s="5" t="s">
        <v>2922</v>
      </c>
    </row>
    <row r="839" customFormat="false" ht="79.85" hidden="false" customHeight="false" outlineLevel="0" collapsed="false">
      <c r="A839" s="5" t="s">
        <v>2930</v>
      </c>
      <c r="B839" s="6" t="s">
        <v>2931</v>
      </c>
      <c r="C839" s="5" t="n">
        <v>18.97</v>
      </c>
      <c r="D839" s="5"/>
      <c r="E839" s="5"/>
      <c r="F839" s="5" t="s">
        <v>2932</v>
      </c>
      <c r="G839" s="7" t="s">
        <v>42</v>
      </c>
      <c r="H839" s="6" t="s">
        <v>2933</v>
      </c>
      <c r="I839" s="5" t="s">
        <v>2920</v>
      </c>
      <c r="J839" s="5" t="s">
        <v>2669</v>
      </c>
      <c r="K839" s="6" t="s">
        <v>2934</v>
      </c>
      <c r="L839" s="5" t="s">
        <v>2922</v>
      </c>
    </row>
    <row r="840" customFormat="false" ht="68.65" hidden="false" customHeight="false" outlineLevel="0" collapsed="false">
      <c r="A840" s="5" t="s">
        <v>2935</v>
      </c>
      <c r="B840" s="6" t="s">
        <v>2936</v>
      </c>
      <c r="C840" s="5" t="n">
        <v>1.14</v>
      </c>
      <c r="D840" s="5"/>
      <c r="E840" s="5"/>
      <c r="F840" s="5" t="s">
        <v>2937</v>
      </c>
      <c r="G840" s="7" t="s">
        <v>42</v>
      </c>
      <c r="H840" s="6" t="s">
        <v>2938</v>
      </c>
      <c r="I840" s="5" t="s">
        <v>2920</v>
      </c>
      <c r="J840" s="5" t="s">
        <v>2669</v>
      </c>
      <c r="K840" s="6" t="s">
        <v>2939</v>
      </c>
      <c r="L840" s="5" t="s">
        <v>2922</v>
      </c>
    </row>
    <row r="841" customFormat="false" ht="57.45" hidden="false" customHeight="false" outlineLevel="0" collapsed="false">
      <c r="A841" s="5" t="s">
        <v>2940</v>
      </c>
      <c r="B841" s="6" t="s">
        <v>2941</v>
      </c>
      <c r="C841" s="5" t="n">
        <v>1.43</v>
      </c>
      <c r="D841" s="5"/>
      <c r="E841" s="5"/>
      <c r="F841" s="5" t="s">
        <v>2937</v>
      </c>
      <c r="G841" s="7" t="s">
        <v>42</v>
      </c>
      <c r="H841" s="6" t="s">
        <v>2938</v>
      </c>
      <c r="I841" s="5" t="s">
        <v>2920</v>
      </c>
      <c r="J841" s="5" t="s">
        <v>2669</v>
      </c>
      <c r="K841" s="6" t="s">
        <v>2942</v>
      </c>
      <c r="L841" s="5" t="s">
        <v>2922</v>
      </c>
    </row>
    <row r="842" customFormat="false" ht="46.25" hidden="false" customHeight="false" outlineLevel="0" collapsed="false">
      <c r="A842" s="5" t="s">
        <v>2943</v>
      </c>
      <c r="B842" s="6" t="s">
        <v>2944</v>
      </c>
      <c r="C842" s="5" t="n">
        <v>152</v>
      </c>
      <c r="D842" s="5"/>
      <c r="E842" s="5"/>
      <c r="F842" s="5" t="s">
        <v>2945</v>
      </c>
      <c r="G842" s="7" t="s">
        <v>42</v>
      </c>
      <c r="H842" s="6" t="s">
        <v>2946</v>
      </c>
      <c r="I842" s="5" t="s">
        <v>2920</v>
      </c>
      <c r="J842" s="5" t="s">
        <v>2669</v>
      </c>
      <c r="K842" s="6" t="s">
        <v>2947</v>
      </c>
      <c r="L842" s="5" t="s">
        <v>2922</v>
      </c>
    </row>
    <row r="843" customFormat="false" ht="35.05" hidden="false" customHeight="false" outlineLevel="0" collapsed="false">
      <c r="A843" s="5" t="s">
        <v>2948</v>
      </c>
      <c r="B843" s="6" t="s">
        <v>2949</v>
      </c>
      <c r="C843" s="5" t="n">
        <v>55.8</v>
      </c>
      <c r="D843" s="5"/>
      <c r="E843" s="5"/>
      <c r="F843" s="5" t="s">
        <v>2950</v>
      </c>
      <c r="G843" s="7" t="s">
        <v>42</v>
      </c>
      <c r="H843" s="6" t="s">
        <v>2951</v>
      </c>
      <c r="I843" s="5" t="s">
        <v>2952</v>
      </c>
      <c r="J843" s="5" t="s">
        <v>2953</v>
      </c>
      <c r="K843" s="6" t="s">
        <v>2954</v>
      </c>
      <c r="L843" s="5" t="s">
        <v>2922</v>
      </c>
    </row>
    <row r="844" customFormat="false" ht="46.25" hidden="false" customHeight="false" outlineLevel="0" collapsed="false">
      <c r="A844" s="5" t="s">
        <v>2955</v>
      </c>
      <c r="B844" s="6" t="s">
        <v>2956</v>
      </c>
      <c r="C844" s="5" t="n">
        <v>26.08</v>
      </c>
      <c r="D844" s="5"/>
      <c r="E844" s="5"/>
      <c r="F844" s="5" t="s">
        <v>2957</v>
      </c>
      <c r="G844" s="7" t="s">
        <v>42</v>
      </c>
      <c r="H844" s="6" t="s">
        <v>2958</v>
      </c>
      <c r="I844" s="5" t="s">
        <v>2959</v>
      </c>
      <c r="J844" s="5" t="s">
        <v>2960</v>
      </c>
      <c r="K844" s="6" t="s">
        <v>2961</v>
      </c>
      <c r="L844" s="5" t="s">
        <v>2922</v>
      </c>
    </row>
    <row r="845" customFormat="false" ht="23.85" hidden="false" customHeight="false" outlineLevel="0" collapsed="false">
      <c r="A845" s="5" t="s">
        <v>2962</v>
      </c>
      <c r="B845" s="6" t="s">
        <v>2963</v>
      </c>
      <c r="C845" s="5" t="n">
        <v>10.3</v>
      </c>
      <c r="D845" s="5"/>
      <c r="E845" s="5"/>
      <c r="F845" s="5" t="s">
        <v>598</v>
      </c>
      <c r="G845" s="7" t="s">
        <v>42</v>
      </c>
      <c r="H845" s="6" t="s">
        <v>2964</v>
      </c>
      <c r="I845" s="5" t="s">
        <v>2959</v>
      </c>
      <c r="J845" s="5" t="s">
        <v>2960</v>
      </c>
      <c r="K845" s="6" t="s">
        <v>2965</v>
      </c>
      <c r="L845" s="5" t="s">
        <v>2922</v>
      </c>
    </row>
    <row r="846" customFormat="false" ht="57.45" hidden="false" customHeight="false" outlineLevel="0" collapsed="false">
      <c r="A846" s="5" t="s">
        <v>2966</v>
      </c>
      <c r="B846" s="6" t="s">
        <v>2967</v>
      </c>
      <c r="C846" s="5" t="n">
        <v>19</v>
      </c>
      <c r="D846" s="5" t="n">
        <v>2</v>
      </c>
      <c r="E846" s="5" t="n">
        <v>39</v>
      </c>
      <c r="F846" s="5" t="s">
        <v>2968</v>
      </c>
      <c r="G846" s="7" t="s">
        <v>42</v>
      </c>
      <c r="H846" s="6" t="s">
        <v>2969</v>
      </c>
      <c r="I846" s="5" t="s">
        <v>2970</v>
      </c>
      <c r="J846" s="5" t="s">
        <v>2971</v>
      </c>
      <c r="K846" s="6" t="s">
        <v>2972</v>
      </c>
      <c r="L846" s="5" t="s">
        <v>2922</v>
      </c>
    </row>
    <row r="847" customFormat="false" ht="68.65" hidden="false" customHeight="false" outlineLevel="0" collapsed="false">
      <c r="A847" s="5" t="s">
        <v>2973</v>
      </c>
      <c r="B847" s="6" t="s">
        <v>2974</v>
      </c>
      <c r="C847" s="5" t="n">
        <v>-18</v>
      </c>
      <c r="D847" s="5" t="n">
        <v>-38</v>
      </c>
      <c r="E847" s="5" t="n">
        <v>9</v>
      </c>
      <c r="F847" s="5" t="s">
        <v>2975</v>
      </c>
      <c r="G847" s="7" t="s">
        <v>42</v>
      </c>
      <c r="H847" s="6" t="s">
        <v>2976</v>
      </c>
      <c r="I847" s="5" t="s">
        <v>2977</v>
      </c>
      <c r="J847" s="5" t="s">
        <v>2978</v>
      </c>
      <c r="K847" s="6" t="s">
        <v>2979</v>
      </c>
      <c r="L847" s="5" t="s">
        <v>2922</v>
      </c>
    </row>
    <row r="848" customFormat="false" ht="46.25" hidden="false" customHeight="false" outlineLevel="0" collapsed="false">
      <c r="A848" s="5" t="s">
        <v>2980</v>
      </c>
      <c r="B848" s="6" t="s">
        <v>2981</v>
      </c>
      <c r="C848" s="5" t="n">
        <v>-4</v>
      </c>
      <c r="D848" s="5" t="n">
        <v>-15</v>
      </c>
      <c r="E848" s="5" t="n">
        <v>9</v>
      </c>
      <c r="F848" s="5" t="s">
        <v>2982</v>
      </c>
      <c r="G848" s="7" t="s">
        <v>42</v>
      </c>
      <c r="H848" s="6" t="s">
        <v>2983</v>
      </c>
      <c r="I848" s="5" t="s">
        <v>2977</v>
      </c>
      <c r="J848" s="5" t="s">
        <v>2978</v>
      </c>
      <c r="K848" s="6" t="s">
        <v>2984</v>
      </c>
      <c r="L848" s="5" t="s">
        <v>2922</v>
      </c>
    </row>
    <row r="849" customFormat="false" ht="46.25" hidden="false" customHeight="false" outlineLevel="0" collapsed="false">
      <c r="A849" s="5" t="s">
        <v>2985</v>
      </c>
      <c r="B849" s="6" t="s">
        <v>2986</v>
      </c>
      <c r="C849" s="5" t="n">
        <v>-1.5</v>
      </c>
      <c r="D849" s="5"/>
      <c r="E849" s="5"/>
      <c r="F849" s="5" t="s">
        <v>119</v>
      </c>
      <c r="G849" s="7" t="s">
        <v>42</v>
      </c>
      <c r="H849" s="6" t="s">
        <v>2987</v>
      </c>
      <c r="I849" s="5" t="s">
        <v>2988</v>
      </c>
      <c r="J849" s="5" t="s">
        <v>2989</v>
      </c>
      <c r="K849" s="6" t="s">
        <v>2990</v>
      </c>
      <c r="L849" s="5" t="s">
        <v>2922</v>
      </c>
    </row>
    <row r="850" customFormat="false" ht="35.05" hidden="false" customHeight="false" outlineLevel="0" collapsed="false">
      <c r="A850" s="5" t="s">
        <v>2991</v>
      </c>
      <c r="B850" s="6" t="s">
        <v>2992</v>
      </c>
      <c r="C850" s="5" t="n">
        <v>-7.2</v>
      </c>
      <c r="D850" s="5"/>
      <c r="E850" s="5"/>
      <c r="F850" s="5" t="s">
        <v>119</v>
      </c>
      <c r="G850" s="7" t="s">
        <v>42</v>
      </c>
      <c r="H850" s="6" t="s">
        <v>2993</v>
      </c>
      <c r="I850" s="5" t="s">
        <v>2988</v>
      </c>
      <c r="J850" s="5" t="s">
        <v>2989</v>
      </c>
      <c r="K850" s="6" t="s">
        <v>2994</v>
      </c>
      <c r="L850" s="5" t="s">
        <v>2922</v>
      </c>
    </row>
    <row r="851" customFormat="false" ht="57.45" hidden="false" customHeight="false" outlineLevel="0" collapsed="false">
      <c r="A851" s="5" t="s">
        <v>2995</v>
      </c>
      <c r="B851" s="6" t="s">
        <v>2996</v>
      </c>
      <c r="C851" s="5" t="n">
        <v>11</v>
      </c>
      <c r="D851" s="5"/>
      <c r="E851" s="5"/>
      <c r="F851" s="5" t="s">
        <v>2997</v>
      </c>
      <c r="G851" s="7" t="s">
        <v>42</v>
      </c>
      <c r="H851" s="6" t="s">
        <v>2998</v>
      </c>
      <c r="I851" s="5" t="s">
        <v>2999</v>
      </c>
      <c r="J851" s="5" t="s">
        <v>150</v>
      </c>
      <c r="K851" s="6" t="s">
        <v>3000</v>
      </c>
      <c r="L851" s="5" t="s">
        <v>2922</v>
      </c>
    </row>
    <row r="852" customFormat="false" ht="57.45" hidden="false" customHeight="false" outlineLevel="0" collapsed="false">
      <c r="A852" s="5" t="s">
        <v>3001</v>
      </c>
      <c r="B852" s="6" t="s">
        <v>3002</v>
      </c>
      <c r="C852" s="5" t="n">
        <v>9</v>
      </c>
      <c r="D852" s="5"/>
      <c r="E852" s="5"/>
      <c r="F852" s="5" t="s">
        <v>2997</v>
      </c>
      <c r="G852" s="7" t="s">
        <v>42</v>
      </c>
      <c r="H852" s="6" t="s">
        <v>3003</v>
      </c>
      <c r="I852" s="5" t="s">
        <v>2999</v>
      </c>
      <c r="J852" s="5" t="s">
        <v>150</v>
      </c>
      <c r="K852" s="6" t="s">
        <v>3000</v>
      </c>
      <c r="L852" s="5" t="s">
        <v>2922</v>
      </c>
    </row>
    <row r="853" customFormat="false" ht="57.45" hidden="false" customHeight="false" outlineLevel="0" collapsed="false">
      <c r="A853" s="5" t="s">
        <v>3004</v>
      </c>
      <c r="B853" s="6" t="s">
        <v>3005</v>
      </c>
      <c r="C853" s="5" t="n">
        <v>5</v>
      </c>
      <c r="D853" s="5"/>
      <c r="E853" s="5"/>
      <c r="F853" s="5" t="s">
        <v>2997</v>
      </c>
      <c r="G853" s="7" t="s">
        <v>42</v>
      </c>
      <c r="H853" s="6" t="s">
        <v>3006</v>
      </c>
      <c r="I853" s="5" t="s">
        <v>2999</v>
      </c>
      <c r="J853" s="5" t="s">
        <v>150</v>
      </c>
      <c r="K853" s="6" t="s">
        <v>3000</v>
      </c>
      <c r="L853" s="5" t="s">
        <v>2922</v>
      </c>
    </row>
    <row r="854" customFormat="false" ht="35.05" hidden="false" customHeight="false" outlineLevel="0" collapsed="false">
      <c r="A854" s="5" t="s">
        <v>3007</v>
      </c>
      <c r="B854" s="6" t="s">
        <v>3008</v>
      </c>
      <c r="C854" s="5" t="n">
        <v>78120</v>
      </c>
      <c r="D854" s="5"/>
      <c r="E854" s="5"/>
      <c r="F854" s="5" t="s">
        <v>3009</v>
      </c>
      <c r="G854" s="7" t="s">
        <v>42</v>
      </c>
      <c r="H854" s="6" t="s">
        <v>3010</v>
      </c>
      <c r="I854" s="5" t="s">
        <v>3011</v>
      </c>
      <c r="J854" s="5" t="s">
        <v>446</v>
      </c>
      <c r="K854" s="6" t="s">
        <v>3012</v>
      </c>
      <c r="L854" s="5" t="s">
        <v>2922</v>
      </c>
    </row>
    <row r="855" customFormat="false" ht="35.05" hidden="false" customHeight="false" outlineLevel="0" collapsed="false">
      <c r="A855" s="5" t="s">
        <v>3013</v>
      </c>
      <c r="B855" s="6" t="s">
        <v>3014</v>
      </c>
      <c r="C855" s="5" t="n">
        <v>136800</v>
      </c>
      <c r="D855" s="5"/>
      <c r="E855" s="5"/>
      <c r="F855" s="5" t="s">
        <v>3009</v>
      </c>
      <c r="G855" s="7" t="s">
        <v>42</v>
      </c>
      <c r="H855" s="6" t="s">
        <v>3010</v>
      </c>
      <c r="I855" s="5" t="s">
        <v>3011</v>
      </c>
      <c r="J855" s="5" t="s">
        <v>446</v>
      </c>
      <c r="K855" s="6" t="s">
        <v>3012</v>
      </c>
      <c r="L855" s="5" t="s">
        <v>2922</v>
      </c>
    </row>
    <row r="856" customFormat="false" ht="35.05" hidden="false" customHeight="false" outlineLevel="0" collapsed="false">
      <c r="A856" s="5" t="s">
        <v>3015</v>
      </c>
      <c r="B856" s="6" t="s">
        <v>3016</v>
      </c>
      <c r="C856" s="5" t="n">
        <v>234600</v>
      </c>
      <c r="D856" s="5"/>
      <c r="E856" s="5"/>
      <c r="F856" s="5" t="s">
        <v>3009</v>
      </c>
      <c r="G856" s="7" t="s">
        <v>42</v>
      </c>
      <c r="H856" s="6" t="s">
        <v>3010</v>
      </c>
      <c r="I856" s="5" t="s">
        <v>3011</v>
      </c>
      <c r="J856" s="5" t="s">
        <v>446</v>
      </c>
      <c r="K856" s="6" t="s">
        <v>3012</v>
      </c>
      <c r="L856" s="5" t="s">
        <v>2922</v>
      </c>
    </row>
    <row r="857" customFormat="false" ht="35.05" hidden="false" customHeight="false" outlineLevel="0" collapsed="false">
      <c r="A857" s="5" t="s">
        <v>3017</v>
      </c>
      <c r="B857" s="6" t="s">
        <v>3018</v>
      </c>
      <c r="C857" s="5" t="n">
        <v>483000</v>
      </c>
      <c r="D857" s="5"/>
      <c r="E857" s="5"/>
      <c r="F857" s="5" t="s">
        <v>3009</v>
      </c>
      <c r="G857" s="7" t="s">
        <v>42</v>
      </c>
      <c r="H857" s="6" t="s">
        <v>3010</v>
      </c>
      <c r="I857" s="5" t="s">
        <v>3011</v>
      </c>
      <c r="J857" s="5" t="s">
        <v>446</v>
      </c>
      <c r="K857" s="6" t="s">
        <v>3012</v>
      </c>
      <c r="L857" s="5" t="s">
        <v>2922</v>
      </c>
    </row>
    <row r="858" customFormat="false" ht="35.05" hidden="false" customHeight="false" outlineLevel="0" collapsed="false">
      <c r="A858" s="5" t="s">
        <v>3019</v>
      </c>
      <c r="B858" s="6" t="s">
        <v>3020</v>
      </c>
      <c r="C858" s="5" t="n">
        <v>300</v>
      </c>
      <c r="D858" s="5"/>
      <c r="E858" s="5"/>
      <c r="F858" s="5" t="s">
        <v>3021</v>
      </c>
      <c r="G858" s="7" t="s">
        <v>42</v>
      </c>
      <c r="H858" s="6" t="s">
        <v>3022</v>
      </c>
      <c r="I858" s="5" t="s">
        <v>3023</v>
      </c>
      <c r="J858" s="5" t="s">
        <v>446</v>
      </c>
      <c r="K858" s="6" t="s">
        <v>3024</v>
      </c>
      <c r="L858" s="5" t="s">
        <v>2922</v>
      </c>
    </row>
    <row r="859" customFormat="false" ht="35.05" hidden="false" customHeight="false" outlineLevel="0" collapsed="false">
      <c r="A859" s="5" t="s">
        <v>3025</v>
      </c>
      <c r="B859" s="6" t="s">
        <v>3026</v>
      </c>
      <c r="C859" s="5" t="n">
        <v>500</v>
      </c>
      <c r="D859" s="5"/>
      <c r="E859" s="5"/>
      <c r="F859" s="5" t="s">
        <v>3021</v>
      </c>
      <c r="G859" s="7" t="s">
        <v>42</v>
      </c>
      <c r="H859" s="6" t="s">
        <v>3022</v>
      </c>
      <c r="I859" s="5" t="s">
        <v>3023</v>
      </c>
      <c r="J859" s="5" t="s">
        <v>446</v>
      </c>
      <c r="K859" s="6" t="s">
        <v>3027</v>
      </c>
      <c r="L859" s="5" t="s">
        <v>2922</v>
      </c>
    </row>
    <row r="860" customFormat="false" ht="35.05" hidden="false" customHeight="false" outlineLevel="0" collapsed="false">
      <c r="A860" s="5" t="s">
        <v>3028</v>
      </c>
      <c r="B860" s="6" t="s">
        <v>3029</v>
      </c>
      <c r="C860" s="5" t="n">
        <v>1090</v>
      </c>
      <c r="D860" s="5"/>
      <c r="E860" s="5"/>
      <c r="F860" s="5" t="s">
        <v>3030</v>
      </c>
      <c r="G860" s="7" t="s">
        <v>42</v>
      </c>
      <c r="H860" s="6" t="s">
        <v>3031</v>
      </c>
      <c r="I860" s="5" t="s">
        <v>3032</v>
      </c>
      <c r="J860" s="5" t="s">
        <v>3033</v>
      </c>
      <c r="K860" s="6" t="s">
        <v>3034</v>
      </c>
      <c r="L860" s="5" t="s">
        <v>2922</v>
      </c>
    </row>
    <row r="861" customFormat="false" ht="35.05" hidden="false" customHeight="false" outlineLevel="0" collapsed="false">
      <c r="A861" s="5" t="s">
        <v>3035</v>
      </c>
      <c r="B861" s="6" t="s">
        <v>3036</v>
      </c>
      <c r="C861" s="5" t="n">
        <v>1290</v>
      </c>
      <c r="D861" s="5"/>
      <c r="E861" s="5"/>
      <c r="F861" s="5" t="s">
        <v>3030</v>
      </c>
      <c r="G861" s="7" t="s">
        <v>42</v>
      </c>
      <c r="H861" s="6" t="s">
        <v>3031</v>
      </c>
      <c r="I861" s="5" t="s">
        <v>3032</v>
      </c>
      <c r="J861" s="5" t="s">
        <v>3033</v>
      </c>
      <c r="K861" s="6" t="s">
        <v>3034</v>
      </c>
      <c r="L861" s="5" t="s">
        <v>2922</v>
      </c>
    </row>
    <row r="862" customFormat="false" ht="35.05" hidden="false" customHeight="false" outlineLevel="0" collapsed="false">
      <c r="A862" s="5" t="s">
        <v>3037</v>
      </c>
      <c r="B862" s="6" t="s">
        <v>3038</v>
      </c>
      <c r="C862" s="5" t="n">
        <v>1650</v>
      </c>
      <c r="D862" s="5"/>
      <c r="E862" s="5"/>
      <c r="F862" s="5" t="s">
        <v>3030</v>
      </c>
      <c r="G862" s="7" t="s">
        <v>42</v>
      </c>
      <c r="H862" s="6" t="s">
        <v>3031</v>
      </c>
      <c r="I862" s="5" t="s">
        <v>3032</v>
      </c>
      <c r="J862" s="5" t="s">
        <v>3033</v>
      </c>
      <c r="K862" s="6" t="s">
        <v>3034</v>
      </c>
      <c r="L862" s="5" t="s">
        <v>2922</v>
      </c>
    </row>
    <row r="863" customFormat="false" ht="35.05" hidden="false" customHeight="false" outlineLevel="0" collapsed="false">
      <c r="A863" s="5" t="s">
        <v>3039</v>
      </c>
      <c r="B863" s="6" t="s">
        <v>3040</v>
      </c>
      <c r="C863" s="5" t="n">
        <v>1650</v>
      </c>
      <c r="D863" s="5"/>
      <c r="E863" s="5"/>
      <c r="F863" s="5" t="s">
        <v>3030</v>
      </c>
      <c r="G863" s="7" t="s">
        <v>42</v>
      </c>
      <c r="H863" s="6" t="s">
        <v>3041</v>
      </c>
      <c r="I863" s="5" t="s">
        <v>3032</v>
      </c>
      <c r="J863" s="5" t="s">
        <v>3033</v>
      </c>
      <c r="K863" s="6" t="s">
        <v>3034</v>
      </c>
      <c r="L863" s="5" t="s">
        <v>2922</v>
      </c>
    </row>
    <row r="864" customFormat="false" ht="35.05" hidden="false" customHeight="false" outlineLevel="0" collapsed="false">
      <c r="A864" s="5" t="s">
        <v>3042</v>
      </c>
      <c r="B864" s="6" t="s">
        <v>3043</v>
      </c>
      <c r="C864" s="5" t="n">
        <v>1825</v>
      </c>
      <c r="D864" s="5"/>
      <c r="E864" s="5"/>
      <c r="F864" s="5" t="s">
        <v>3030</v>
      </c>
      <c r="G864" s="7" t="s">
        <v>42</v>
      </c>
      <c r="H864" s="6" t="s">
        <v>3031</v>
      </c>
      <c r="I864" s="5" t="s">
        <v>3032</v>
      </c>
      <c r="J864" s="5" t="s">
        <v>3033</v>
      </c>
      <c r="K864" s="6" t="s">
        <v>3034</v>
      </c>
      <c r="L864" s="5" t="s">
        <v>2922</v>
      </c>
    </row>
    <row r="865" customFormat="false" ht="35.05" hidden="false" customHeight="false" outlineLevel="0" collapsed="false">
      <c r="A865" s="5" t="s">
        <v>3044</v>
      </c>
      <c r="B865" s="6" t="s">
        <v>3045</v>
      </c>
      <c r="C865" s="5" t="n">
        <v>2100</v>
      </c>
      <c r="D865" s="5"/>
      <c r="E865" s="5"/>
      <c r="F865" s="5" t="s">
        <v>3030</v>
      </c>
      <c r="G865" s="7" t="s">
        <v>42</v>
      </c>
      <c r="H865" s="6" t="s">
        <v>3031</v>
      </c>
      <c r="I865" s="5" t="s">
        <v>3032</v>
      </c>
      <c r="J865" s="5" t="s">
        <v>3033</v>
      </c>
      <c r="K865" s="6" t="s">
        <v>3034</v>
      </c>
      <c r="L865" s="5" t="s">
        <v>2922</v>
      </c>
    </row>
    <row r="866" customFormat="false" ht="46.25" hidden="false" customHeight="false" outlineLevel="0" collapsed="false">
      <c r="A866" s="5" t="s">
        <v>3046</v>
      </c>
      <c r="B866" s="6" t="s">
        <v>3047</v>
      </c>
      <c r="C866" s="5" t="n">
        <v>480</v>
      </c>
      <c r="D866" s="5"/>
      <c r="E866" s="5"/>
      <c r="F866" s="5" t="s">
        <v>3030</v>
      </c>
      <c r="G866" s="7" t="s">
        <v>42</v>
      </c>
      <c r="H866" s="6" t="s">
        <v>3048</v>
      </c>
      <c r="I866" s="5" t="s">
        <v>3032</v>
      </c>
      <c r="J866" s="5" t="s">
        <v>3033</v>
      </c>
      <c r="K866" s="6" t="s">
        <v>3049</v>
      </c>
      <c r="L866" s="5" t="s">
        <v>2922</v>
      </c>
    </row>
    <row r="867" customFormat="false" ht="46.25" hidden="false" customHeight="false" outlineLevel="0" collapsed="false">
      <c r="A867" s="5" t="s">
        <v>3050</v>
      </c>
      <c r="B867" s="6" t="s">
        <v>3051</v>
      </c>
      <c r="C867" s="5" t="n">
        <v>580</v>
      </c>
      <c r="D867" s="5"/>
      <c r="E867" s="5"/>
      <c r="F867" s="5" t="s">
        <v>3030</v>
      </c>
      <c r="G867" s="7" t="s">
        <v>42</v>
      </c>
      <c r="H867" s="6" t="s">
        <v>3052</v>
      </c>
      <c r="I867" s="5" t="s">
        <v>3032</v>
      </c>
      <c r="J867" s="5" t="s">
        <v>3033</v>
      </c>
      <c r="K867" s="6" t="s">
        <v>3049</v>
      </c>
      <c r="L867" s="5" t="s">
        <v>2922</v>
      </c>
    </row>
    <row r="868" customFormat="false" ht="46.25" hidden="false" customHeight="false" outlineLevel="0" collapsed="false">
      <c r="A868" s="5" t="s">
        <v>3053</v>
      </c>
      <c r="B868" s="6" t="s">
        <v>3054</v>
      </c>
      <c r="C868" s="5" t="n">
        <v>990</v>
      </c>
      <c r="D868" s="5"/>
      <c r="E868" s="5"/>
      <c r="F868" s="5" t="s">
        <v>3030</v>
      </c>
      <c r="G868" s="7" t="s">
        <v>42</v>
      </c>
      <c r="H868" s="6" t="s">
        <v>3052</v>
      </c>
      <c r="I868" s="5" t="s">
        <v>3032</v>
      </c>
      <c r="J868" s="5" t="s">
        <v>3033</v>
      </c>
      <c r="K868" s="6" t="s">
        <v>3049</v>
      </c>
      <c r="L868" s="5" t="s">
        <v>2922</v>
      </c>
    </row>
    <row r="869" customFormat="false" ht="79.85" hidden="false" customHeight="false" outlineLevel="0" collapsed="false">
      <c r="A869" s="5" t="s">
        <v>3055</v>
      </c>
      <c r="B869" s="6" t="s">
        <v>3056</v>
      </c>
      <c r="C869" s="5" t="n">
        <v>165</v>
      </c>
      <c r="D869" s="5"/>
      <c r="E869" s="5"/>
      <c r="F869" s="5" t="s">
        <v>3057</v>
      </c>
      <c r="G869" s="7" t="s">
        <v>42</v>
      </c>
      <c r="H869" s="6" t="s">
        <v>3058</v>
      </c>
      <c r="I869" s="5" t="s">
        <v>3059</v>
      </c>
      <c r="J869" s="5" t="s">
        <v>2971</v>
      </c>
      <c r="K869" s="6" t="s">
        <v>3060</v>
      </c>
      <c r="L869" s="5" t="s">
        <v>2922</v>
      </c>
    </row>
    <row r="870" customFormat="false" ht="68.65" hidden="false" customHeight="false" outlineLevel="0" collapsed="false">
      <c r="A870" s="5" t="s">
        <v>3061</v>
      </c>
      <c r="B870" s="6" t="s">
        <v>3062</v>
      </c>
      <c r="C870" s="5" t="n">
        <v>160</v>
      </c>
      <c r="D870" s="5"/>
      <c r="E870" s="5"/>
      <c r="F870" s="5" t="s">
        <v>3057</v>
      </c>
      <c r="G870" s="7" t="s">
        <v>42</v>
      </c>
      <c r="H870" s="6" t="s">
        <v>3063</v>
      </c>
      <c r="I870" s="5" t="s">
        <v>3059</v>
      </c>
      <c r="J870" s="5" t="s">
        <v>2971</v>
      </c>
      <c r="K870" s="6" t="s">
        <v>3060</v>
      </c>
      <c r="L870" s="5" t="s">
        <v>2922</v>
      </c>
    </row>
    <row r="871" customFormat="false" ht="79.85" hidden="false" customHeight="false" outlineLevel="0" collapsed="false">
      <c r="A871" s="5" t="s">
        <v>3064</v>
      </c>
      <c r="B871" s="6" t="s">
        <v>3065</v>
      </c>
      <c r="C871" s="5" t="n">
        <v>2000</v>
      </c>
      <c r="D871" s="5"/>
      <c r="E871" s="5"/>
      <c r="F871" s="5" t="s">
        <v>3066</v>
      </c>
      <c r="G871" s="7" t="s">
        <v>42</v>
      </c>
      <c r="H871" s="6" t="s">
        <v>3067</v>
      </c>
      <c r="I871" s="5" t="s">
        <v>3059</v>
      </c>
      <c r="J871" s="5" t="s">
        <v>2971</v>
      </c>
      <c r="K871" s="6" t="s">
        <v>3068</v>
      </c>
      <c r="L871" s="5" t="s">
        <v>2922</v>
      </c>
    </row>
    <row r="872" customFormat="false" ht="46.25" hidden="false" customHeight="false" outlineLevel="0" collapsed="false">
      <c r="A872" s="5" t="s">
        <v>3069</v>
      </c>
      <c r="B872" s="6" t="s">
        <v>3070</v>
      </c>
      <c r="C872" s="5" t="n">
        <v>19</v>
      </c>
      <c r="D872" s="5"/>
      <c r="E872" s="5"/>
      <c r="F872" s="5" t="s">
        <v>3021</v>
      </c>
      <c r="G872" s="7" t="s">
        <v>42</v>
      </c>
      <c r="H872" s="6" t="s">
        <v>3071</v>
      </c>
      <c r="I872" s="5" t="s">
        <v>3072</v>
      </c>
      <c r="J872" s="5" t="s">
        <v>3073</v>
      </c>
      <c r="K872" s="6" t="s">
        <v>3074</v>
      </c>
      <c r="L872" s="5" t="s">
        <v>2922</v>
      </c>
    </row>
    <row r="873" customFormat="false" ht="23.85" hidden="false" customHeight="false" outlineLevel="0" collapsed="false">
      <c r="A873" s="5" t="s">
        <v>3075</v>
      </c>
      <c r="B873" s="6" t="s">
        <v>3076</v>
      </c>
      <c r="C873" s="5" t="n">
        <v>39</v>
      </c>
      <c r="D873" s="5"/>
      <c r="E873" s="5"/>
      <c r="F873" s="5" t="s">
        <v>3021</v>
      </c>
      <c r="G873" s="7" t="s">
        <v>42</v>
      </c>
      <c r="H873" s="6" t="s">
        <v>3077</v>
      </c>
      <c r="I873" s="5" t="s">
        <v>3072</v>
      </c>
      <c r="J873" s="5" t="s">
        <v>3073</v>
      </c>
      <c r="K873" s="6" t="s">
        <v>3074</v>
      </c>
      <c r="L873" s="5" t="s">
        <v>2922</v>
      </c>
    </row>
    <row r="874" customFormat="false" ht="35.05" hidden="false" customHeight="false" outlineLevel="0" collapsed="false">
      <c r="A874" s="5" t="s">
        <v>3078</v>
      </c>
      <c r="B874" s="6" t="s">
        <v>3079</v>
      </c>
      <c r="C874" s="5" t="n">
        <v>20</v>
      </c>
      <c r="D874" s="5"/>
      <c r="E874" s="5"/>
      <c r="F874" s="5" t="s">
        <v>3080</v>
      </c>
      <c r="G874" s="7" t="s">
        <v>42</v>
      </c>
      <c r="H874" s="6" t="s">
        <v>3081</v>
      </c>
      <c r="I874" s="5" t="s">
        <v>3082</v>
      </c>
      <c r="J874" s="5" t="s">
        <v>446</v>
      </c>
      <c r="K874" s="6" t="s">
        <v>3083</v>
      </c>
      <c r="L874" s="5" t="s">
        <v>2922</v>
      </c>
    </row>
    <row r="875" customFormat="false" ht="35.05" hidden="false" customHeight="false" outlineLevel="0" collapsed="false">
      <c r="A875" s="5" t="s">
        <v>3084</v>
      </c>
      <c r="B875" s="6" t="s">
        <v>3085</v>
      </c>
      <c r="C875" s="5" t="n">
        <v>100</v>
      </c>
      <c r="D875" s="5"/>
      <c r="E875" s="5"/>
      <c r="F875" s="5" t="s">
        <v>3080</v>
      </c>
      <c r="G875" s="7" t="s">
        <v>42</v>
      </c>
      <c r="H875" s="6" t="s">
        <v>3086</v>
      </c>
      <c r="I875" s="5" t="s">
        <v>3082</v>
      </c>
      <c r="J875" s="5" t="s">
        <v>446</v>
      </c>
      <c r="K875" s="6" t="s">
        <v>3087</v>
      </c>
      <c r="L875" s="5" t="s">
        <v>2922</v>
      </c>
    </row>
    <row r="876" customFormat="false" ht="23.85" hidden="false" customHeight="false" outlineLevel="0" collapsed="false">
      <c r="A876" s="5" t="s">
        <v>3088</v>
      </c>
      <c r="B876" s="6" t="s">
        <v>3089</v>
      </c>
      <c r="C876" s="5" t="n">
        <v>40</v>
      </c>
      <c r="D876" s="5"/>
      <c r="E876" s="5"/>
      <c r="F876" s="5" t="s">
        <v>3021</v>
      </c>
      <c r="G876" s="7" t="s">
        <v>42</v>
      </c>
      <c r="H876" s="6" t="s">
        <v>3090</v>
      </c>
      <c r="I876" s="5" t="s">
        <v>3091</v>
      </c>
      <c r="J876" s="5" t="s">
        <v>446</v>
      </c>
      <c r="K876" s="6" t="s">
        <v>3092</v>
      </c>
      <c r="L876" s="5" t="s">
        <v>2922</v>
      </c>
    </row>
    <row r="877" customFormat="false" ht="23.85" hidden="false" customHeight="false" outlineLevel="0" collapsed="false">
      <c r="A877" s="5" t="s">
        <v>3093</v>
      </c>
      <c r="B877" s="6" t="s">
        <v>3094</v>
      </c>
      <c r="C877" s="5" t="n">
        <v>2</v>
      </c>
      <c r="D877" s="5"/>
      <c r="E877" s="5"/>
      <c r="F877" s="5" t="s">
        <v>3095</v>
      </c>
      <c r="G877" s="7" t="s">
        <v>42</v>
      </c>
      <c r="H877" s="6" t="s">
        <v>3096</v>
      </c>
      <c r="I877" s="5" t="s">
        <v>3097</v>
      </c>
      <c r="J877" s="5" t="s">
        <v>446</v>
      </c>
      <c r="K877" s="6" t="s">
        <v>3098</v>
      </c>
      <c r="L877" s="5" t="s">
        <v>2922</v>
      </c>
    </row>
    <row r="878" customFormat="false" ht="23.85" hidden="false" customHeight="false" outlineLevel="0" collapsed="false">
      <c r="A878" s="5" t="s">
        <v>3099</v>
      </c>
      <c r="B878" s="6" t="s">
        <v>3100</v>
      </c>
      <c r="C878" s="5" t="n">
        <v>10</v>
      </c>
      <c r="D878" s="5"/>
      <c r="E878" s="5"/>
      <c r="F878" s="5" t="s">
        <v>3095</v>
      </c>
      <c r="G878" s="7" t="s">
        <v>42</v>
      </c>
      <c r="H878" s="6" t="s">
        <v>3101</v>
      </c>
      <c r="I878" s="5" t="s">
        <v>3097</v>
      </c>
      <c r="J878" s="5" t="s">
        <v>446</v>
      </c>
      <c r="K878" s="6" t="s">
        <v>3098</v>
      </c>
      <c r="L878" s="5" t="s">
        <v>2922</v>
      </c>
    </row>
    <row r="879" customFormat="false" ht="23.85" hidden="false" customHeight="false" outlineLevel="0" collapsed="false">
      <c r="A879" s="5" t="s">
        <v>3102</v>
      </c>
      <c r="B879" s="6" t="s">
        <v>3103</v>
      </c>
      <c r="C879" s="5" t="n">
        <v>4</v>
      </c>
      <c r="D879" s="5"/>
      <c r="E879" s="5"/>
      <c r="F879" s="5" t="s">
        <v>3095</v>
      </c>
      <c r="G879" s="7" t="s">
        <v>42</v>
      </c>
      <c r="H879" s="6" t="s">
        <v>3104</v>
      </c>
      <c r="I879" s="5" t="s">
        <v>3097</v>
      </c>
      <c r="J879" s="5" t="s">
        <v>446</v>
      </c>
      <c r="K879" s="6" t="s">
        <v>3098</v>
      </c>
      <c r="L879" s="5" t="s">
        <v>2922</v>
      </c>
    </row>
    <row r="880" customFormat="false" ht="23.85" hidden="false" customHeight="false" outlineLevel="0" collapsed="false">
      <c r="A880" s="5" t="s">
        <v>3105</v>
      </c>
      <c r="B880" s="6" t="s">
        <v>3106</v>
      </c>
      <c r="C880" s="5" t="n">
        <v>20</v>
      </c>
      <c r="D880" s="5"/>
      <c r="E880" s="5"/>
      <c r="F880" s="5" t="s">
        <v>3095</v>
      </c>
      <c r="G880" s="7" t="s">
        <v>42</v>
      </c>
      <c r="H880" s="6" t="s">
        <v>3107</v>
      </c>
      <c r="I880" s="5" t="s">
        <v>3097</v>
      </c>
      <c r="J880" s="5" t="s">
        <v>446</v>
      </c>
      <c r="K880" s="6" t="s">
        <v>3098</v>
      </c>
      <c r="L880" s="5" t="s">
        <v>2922</v>
      </c>
    </row>
    <row r="881" customFormat="false" ht="23.85" hidden="false" customHeight="false" outlineLevel="0" collapsed="false">
      <c r="A881" s="5" t="s">
        <v>3108</v>
      </c>
      <c r="B881" s="6" t="s">
        <v>3109</v>
      </c>
      <c r="C881" s="5" t="n">
        <v>1</v>
      </c>
      <c r="D881" s="5"/>
      <c r="E881" s="5"/>
      <c r="F881" s="5" t="s">
        <v>3095</v>
      </c>
      <c r="G881" s="7" t="s">
        <v>42</v>
      </c>
      <c r="H881" s="6" t="s">
        <v>3110</v>
      </c>
      <c r="I881" s="5" t="s">
        <v>3097</v>
      </c>
      <c r="J881" s="5" t="s">
        <v>446</v>
      </c>
      <c r="K881" s="6" t="s">
        <v>3098</v>
      </c>
      <c r="L881" s="5" t="s">
        <v>2922</v>
      </c>
    </row>
    <row r="882" customFormat="false" ht="23.85" hidden="false" customHeight="false" outlineLevel="0" collapsed="false">
      <c r="A882" s="5" t="s">
        <v>3111</v>
      </c>
      <c r="B882" s="6" t="s">
        <v>3112</v>
      </c>
      <c r="C882" s="5" t="n">
        <v>5</v>
      </c>
      <c r="D882" s="5"/>
      <c r="E882" s="5"/>
      <c r="F882" s="5" t="s">
        <v>3095</v>
      </c>
      <c r="G882" s="7" t="s">
        <v>42</v>
      </c>
      <c r="H882" s="6" t="s">
        <v>3113</v>
      </c>
      <c r="I882" s="5" t="s">
        <v>3097</v>
      </c>
      <c r="J882" s="5" t="s">
        <v>446</v>
      </c>
      <c r="K882" s="6" t="s">
        <v>3098</v>
      </c>
      <c r="L882" s="5" t="s">
        <v>2922</v>
      </c>
    </row>
    <row r="883" customFormat="false" ht="91" hidden="false" customHeight="false" outlineLevel="0" collapsed="false">
      <c r="A883" s="5" t="s">
        <v>3114</v>
      </c>
      <c r="B883" s="6" t="s">
        <v>3115</v>
      </c>
      <c r="C883" s="5" t="n">
        <v>146669</v>
      </c>
      <c r="D883" s="5"/>
      <c r="E883" s="5"/>
      <c r="F883" s="5" t="s">
        <v>3116</v>
      </c>
      <c r="G883" s="8" t="s">
        <v>170</v>
      </c>
      <c r="H883" s="6" t="s">
        <v>3117</v>
      </c>
      <c r="I883" s="5"/>
      <c r="J883" s="5" t="s">
        <v>530</v>
      </c>
      <c r="K883" s="6" t="s">
        <v>3118</v>
      </c>
      <c r="L883" s="5" t="s">
        <v>2922</v>
      </c>
    </row>
    <row r="884" customFormat="false" ht="68.65" hidden="false" customHeight="false" outlineLevel="0" collapsed="false">
      <c r="A884" s="5" t="s">
        <v>3119</v>
      </c>
      <c r="B884" s="6" t="s">
        <v>3120</v>
      </c>
      <c r="C884" s="5" t="n">
        <v>112155</v>
      </c>
      <c r="D884" s="5"/>
      <c r="E884" s="5"/>
      <c r="F884" s="5" t="s">
        <v>3116</v>
      </c>
      <c r="G884" s="8" t="s">
        <v>170</v>
      </c>
      <c r="H884" s="6" t="s">
        <v>3117</v>
      </c>
      <c r="I884" s="5"/>
      <c r="J884" s="5" t="s">
        <v>530</v>
      </c>
      <c r="K884" s="6" t="s">
        <v>3121</v>
      </c>
      <c r="L884" s="5" t="s">
        <v>2922</v>
      </c>
    </row>
    <row r="885" customFormat="false" ht="68.65" hidden="false" customHeight="false" outlineLevel="0" collapsed="false">
      <c r="A885" s="5" t="s">
        <v>3122</v>
      </c>
      <c r="B885" s="6" t="s">
        <v>3123</v>
      </c>
      <c r="C885" s="5" t="n">
        <v>69310</v>
      </c>
      <c r="D885" s="5"/>
      <c r="E885" s="5"/>
      <c r="F885" s="5" t="s">
        <v>3116</v>
      </c>
      <c r="G885" s="8" t="s">
        <v>170</v>
      </c>
      <c r="H885" s="6" t="s">
        <v>3117</v>
      </c>
      <c r="I885" s="5"/>
      <c r="J885" s="5" t="s">
        <v>530</v>
      </c>
      <c r="K885" s="6" t="s">
        <v>3121</v>
      </c>
      <c r="L885" s="5" t="s">
        <v>2922</v>
      </c>
    </row>
    <row r="886" customFormat="false" ht="91" hidden="false" customHeight="false" outlineLevel="0" collapsed="false">
      <c r="A886" s="5" t="s">
        <v>3124</v>
      </c>
      <c r="B886" s="6" t="s">
        <v>3125</v>
      </c>
      <c r="C886" s="5" t="n">
        <v>193017</v>
      </c>
      <c r="D886" s="5"/>
      <c r="E886" s="5"/>
      <c r="F886" s="5" t="s">
        <v>3116</v>
      </c>
      <c r="G886" s="8" t="s">
        <v>170</v>
      </c>
      <c r="H886" s="6" t="s">
        <v>3117</v>
      </c>
      <c r="I886" s="5"/>
      <c r="J886" s="5" t="s">
        <v>530</v>
      </c>
      <c r="K886" s="6" t="s">
        <v>3118</v>
      </c>
      <c r="L886" s="5" t="s">
        <v>2922</v>
      </c>
    </row>
    <row r="887" customFormat="false" ht="68.65" hidden="false" customHeight="false" outlineLevel="0" collapsed="false">
      <c r="A887" s="5" t="s">
        <v>3126</v>
      </c>
      <c r="B887" s="6" t="s">
        <v>3127</v>
      </c>
      <c r="C887" s="5" t="n">
        <v>131752</v>
      </c>
      <c r="D887" s="5"/>
      <c r="E887" s="5"/>
      <c r="F887" s="5" t="s">
        <v>3116</v>
      </c>
      <c r="G887" s="8" t="s">
        <v>170</v>
      </c>
      <c r="H887" s="6" t="s">
        <v>3117</v>
      </c>
      <c r="I887" s="5"/>
      <c r="J887" s="5" t="s">
        <v>530</v>
      </c>
      <c r="K887" s="6" t="s">
        <v>3121</v>
      </c>
      <c r="L887" s="5" t="s">
        <v>2922</v>
      </c>
    </row>
    <row r="888" customFormat="false" ht="68.65" hidden="false" customHeight="false" outlineLevel="0" collapsed="false">
      <c r="A888" s="5" t="s">
        <v>3128</v>
      </c>
      <c r="B888" s="6" t="s">
        <v>3129</v>
      </c>
      <c r="C888" s="5" t="n">
        <v>101277</v>
      </c>
      <c r="D888" s="5"/>
      <c r="E888" s="5"/>
      <c r="F888" s="5" t="s">
        <v>3116</v>
      </c>
      <c r="G888" s="8" t="s">
        <v>170</v>
      </c>
      <c r="H888" s="6" t="s">
        <v>3117</v>
      </c>
      <c r="I888" s="5"/>
      <c r="J888" s="5" t="s">
        <v>530</v>
      </c>
      <c r="K888" s="6" t="s">
        <v>3121</v>
      </c>
      <c r="L888" s="5" t="s">
        <v>2922</v>
      </c>
    </row>
    <row r="889" customFormat="false" ht="91" hidden="false" customHeight="false" outlineLevel="0" collapsed="false">
      <c r="A889" s="5" t="s">
        <v>3130</v>
      </c>
      <c r="B889" s="6" t="s">
        <v>3131</v>
      </c>
      <c r="C889" s="5" t="n">
        <v>270174</v>
      </c>
      <c r="D889" s="5"/>
      <c r="E889" s="5"/>
      <c r="F889" s="5" t="s">
        <v>3116</v>
      </c>
      <c r="G889" s="8" t="s">
        <v>170</v>
      </c>
      <c r="H889" s="6" t="s">
        <v>3117</v>
      </c>
      <c r="I889" s="5"/>
      <c r="J889" s="5" t="s">
        <v>530</v>
      </c>
      <c r="K889" s="6" t="s">
        <v>3118</v>
      </c>
      <c r="L889" s="5" t="s">
        <v>2922</v>
      </c>
    </row>
    <row r="890" customFormat="false" ht="68.65" hidden="false" customHeight="false" outlineLevel="0" collapsed="false">
      <c r="A890" s="5" t="s">
        <v>3132</v>
      </c>
      <c r="B890" s="6" t="s">
        <v>3133</v>
      </c>
      <c r="C890" s="5" t="n">
        <v>84894</v>
      </c>
      <c r="D890" s="5"/>
      <c r="E890" s="5"/>
      <c r="F890" s="5" t="s">
        <v>3116</v>
      </c>
      <c r="G890" s="8" t="s">
        <v>170</v>
      </c>
      <c r="H890" s="6" t="s">
        <v>3117</v>
      </c>
      <c r="I890" s="5"/>
      <c r="J890" s="5" t="s">
        <v>530</v>
      </c>
      <c r="K890" s="6" t="s">
        <v>3121</v>
      </c>
      <c r="L890" s="5" t="s">
        <v>2922</v>
      </c>
    </row>
    <row r="891" customFormat="false" ht="68.65" hidden="false" customHeight="false" outlineLevel="0" collapsed="false">
      <c r="A891" s="5" t="s">
        <v>3134</v>
      </c>
      <c r="B891" s="6" t="s">
        <v>3135</v>
      </c>
      <c r="C891" s="5" t="n">
        <v>68279</v>
      </c>
      <c r="D891" s="5"/>
      <c r="E891" s="5"/>
      <c r="F891" s="5" t="s">
        <v>3116</v>
      </c>
      <c r="G891" s="8" t="s">
        <v>170</v>
      </c>
      <c r="H891" s="6" t="s">
        <v>3117</v>
      </c>
      <c r="I891" s="5"/>
      <c r="J891" s="5" t="s">
        <v>530</v>
      </c>
      <c r="K891" s="6" t="s">
        <v>3121</v>
      </c>
      <c r="L891" s="5" t="s">
        <v>2922</v>
      </c>
    </row>
    <row r="892" customFormat="false" ht="91" hidden="false" customHeight="false" outlineLevel="0" collapsed="false">
      <c r="A892" s="5" t="s">
        <v>3136</v>
      </c>
      <c r="B892" s="6" t="s">
        <v>3137</v>
      </c>
      <c r="C892" s="5" t="n">
        <v>106038</v>
      </c>
      <c r="D892" s="5"/>
      <c r="E892" s="5"/>
      <c r="F892" s="5" t="s">
        <v>3116</v>
      </c>
      <c r="G892" s="8" t="s">
        <v>170</v>
      </c>
      <c r="H892" s="6" t="s">
        <v>3117</v>
      </c>
      <c r="I892" s="5"/>
      <c r="J892" s="5" t="s">
        <v>530</v>
      </c>
      <c r="K892" s="6" t="s">
        <v>3118</v>
      </c>
      <c r="L892" s="5" t="s">
        <v>2922</v>
      </c>
    </row>
    <row r="893" customFormat="false" ht="68.65" hidden="false" customHeight="false" outlineLevel="0" collapsed="false">
      <c r="A893" s="5" t="s">
        <v>3138</v>
      </c>
      <c r="B893" s="6" t="s">
        <v>3139</v>
      </c>
      <c r="C893" s="5" t="n">
        <v>78315</v>
      </c>
      <c r="D893" s="5"/>
      <c r="E893" s="5"/>
      <c r="F893" s="5" t="s">
        <v>3116</v>
      </c>
      <c r="G893" s="8" t="s">
        <v>170</v>
      </c>
      <c r="H893" s="6" t="s">
        <v>3117</v>
      </c>
      <c r="I893" s="5"/>
      <c r="J893" s="5" t="s">
        <v>530</v>
      </c>
      <c r="K893" s="6" t="s">
        <v>3121</v>
      </c>
      <c r="L893" s="5" t="s">
        <v>2922</v>
      </c>
    </row>
    <row r="894" customFormat="false" ht="68.65" hidden="false" customHeight="false" outlineLevel="0" collapsed="false">
      <c r="A894" s="5" t="s">
        <v>3140</v>
      </c>
      <c r="B894" s="6" t="s">
        <v>3141</v>
      </c>
      <c r="C894" s="5" t="n">
        <v>65068</v>
      </c>
      <c r="D894" s="5"/>
      <c r="E894" s="5"/>
      <c r="F894" s="5" t="s">
        <v>3116</v>
      </c>
      <c r="G894" s="8" t="s">
        <v>170</v>
      </c>
      <c r="H894" s="6" t="s">
        <v>3117</v>
      </c>
      <c r="I894" s="5"/>
      <c r="J894" s="5" t="s">
        <v>530</v>
      </c>
      <c r="K894" s="6" t="s">
        <v>3121</v>
      </c>
      <c r="L894" s="5" t="s">
        <v>2922</v>
      </c>
    </row>
    <row r="895" customFormat="false" ht="102.2" hidden="false" customHeight="false" outlineLevel="0" collapsed="false">
      <c r="A895" s="5" t="s">
        <v>3142</v>
      </c>
      <c r="B895" s="6" t="s">
        <v>3143</v>
      </c>
      <c r="C895" s="5" t="n">
        <v>59795</v>
      </c>
      <c r="D895" s="5"/>
      <c r="E895" s="5"/>
      <c r="F895" s="5" t="s">
        <v>3116</v>
      </c>
      <c r="G895" s="8" t="s">
        <v>170</v>
      </c>
      <c r="H895" s="6" t="s">
        <v>3117</v>
      </c>
      <c r="I895" s="5"/>
      <c r="J895" s="5" t="s">
        <v>530</v>
      </c>
      <c r="K895" s="6" t="s">
        <v>3144</v>
      </c>
      <c r="L895" s="5" t="s">
        <v>2922</v>
      </c>
    </row>
    <row r="896" customFormat="false" ht="91" hidden="false" customHeight="false" outlineLevel="0" collapsed="false">
      <c r="A896" s="5" t="s">
        <v>3145</v>
      </c>
      <c r="B896" s="6" t="s">
        <v>3146</v>
      </c>
      <c r="C896" s="5" t="n">
        <v>38475</v>
      </c>
      <c r="D896" s="5"/>
      <c r="E896" s="5"/>
      <c r="F896" s="5" t="s">
        <v>3116</v>
      </c>
      <c r="G896" s="8" t="s">
        <v>170</v>
      </c>
      <c r="H896" s="6" t="s">
        <v>3117</v>
      </c>
      <c r="I896" s="5"/>
      <c r="J896" s="5" t="s">
        <v>530</v>
      </c>
      <c r="K896" s="6" t="s">
        <v>3147</v>
      </c>
      <c r="L896" s="5" t="s">
        <v>2922</v>
      </c>
    </row>
    <row r="897" customFormat="false" ht="91" hidden="false" customHeight="false" outlineLevel="0" collapsed="false">
      <c r="A897" s="5" t="s">
        <v>3148</v>
      </c>
      <c r="B897" s="6" t="s">
        <v>3149</v>
      </c>
      <c r="C897" s="5" t="n">
        <v>31619</v>
      </c>
      <c r="D897" s="5"/>
      <c r="E897" s="5"/>
      <c r="F897" s="5" t="s">
        <v>3116</v>
      </c>
      <c r="G897" s="8" t="s">
        <v>170</v>
      </c>
      <c r="H897" s="6" t="s">
        <v>3117</v>
      </c>
      <c r="I897" s="5"/>
      <c r="J897" s="5" t="s">
        <v>530</v>
      </c>
      <c r="K897" s="6" t="s">
        <v>3147</v>
      </c>
      <c r="L897" s="5" t="s">
        <v>2922</v>
      </c>
    </row>
    <row r="898" customFormat="false" ht="23.85" hidden="false" customHeight="false" outlineLevel="0" collapsed="false">
      <c r="A898" s="5" t="s">
        <v>3150</v>
      </c>
      <c r="B898" s="6" t="s">
        <v>3151</v>
      </c>
      <c r="C898" s="5" t="n">
        <v>56.1</v>
      </c>
      <c r="D898" s="5"/>
      <c r="E898" s="5"/>
      <c r="F898" s="5" t="s">
        <v>3152</v>
      </c>
      <c r="G898" s="8" t="s">
        <v>170</v>
      </c>
      <c r="H898" s="6" t="s">
        <v>3117</v>
      </c>
      <c r="I898" s="5"/>
      <c r="J898" s="5" t="s">
        <v>150</v>
      </c>
      <c r="K898" s="6" t="s">
        <v>3153</v>
      </c>
      <c r="L898" s="5" t="s">
        <v>2922</v>
      </c>
    </row>
    <row r="899" customFormat="false" ht="23.85" hidden="false" customHeight="false" outlineLevel="0" collapsed="false">
      <c r="A899" s="5" t="s">
        <v>3154</v>
      </c>
      <c r="B899" s="6" t="s">
        <v>3155</v>
      </c>
      <c r="C899" s="5" t="n">
        <v>72.7</v>
      </c>
      <c r="D899" s="5"/>
      <c r="E899" s="5"/>
      <c r="F899" s="5" t="s">
        <v>3152</v>
      </c>
      <c r="G899" s="8" t="s">
        <v>170</v>
      </c>
      <c r="H899" s="6" t="s">
        <v>3117</v>
      </c>
      <c r="I899" s="5"/>
      <c r="J899" s="5" t="s">
        <v>150</v>
      </c>
      <c r="K899" s="6" t="s">
        <v>3153</v>
      </c>
      <c r="L899" s="5" t="s">
        <v>2922</v>
      </c>
    </row>
    <row r="900" customFormat="false" ht="23.85" hidden="false" customHeight="false" outlineLevel="0" collapsed="false">
      <c r="A900" s="5" t="s">
        <v>3156</v>
      </c>
      <c r="B900" s="6" t="s">
        <v>3157</v>
      </c>
      <c r="C900" s="5" t="n">
        <v>61.5</v>
      </c>
      <c r="D900" s="5"/>
      <c r="E900" s="5"/>
      <c r="F900" s="5" t="s">
        <v>3152</v>
      </c>
      <c r="G900" s="8" t="s">
        <v>170</v>
      </c>
      <c r="H900" s="6" t="s">
        <v>3117</v>
      </c>
      <c r="I900" s="5"/>
      <c r="J900" s="5" t="s">
        <v>150</v>
      </c>
      <c r="K900" s="6" t="s">
        <v>3153</v>
      </c>
      <c r="L900" s="5" t="s">
        <v>2922</v>
      </c>
    </row>
    <row r="901" customFormat="false" ht="23.85" hidden="false" customHeight="false" outlineLevel="0" collapsed="false">
      <c r="A901" s="5" t="s">
        <v>3158</v>
      </c>
      <c r="B901" s="6" t="s">
        <v>3159</v>
      </c>
      <c r="C901" s="5" t="n">
        <v>23.1</v>
      </c>
      <c r="D901" s="5"/>
      <c r="E901" s="5"/>
      <c r="F901" s="5" t="s">
        <v>3152</v>
      </c>
      <c r="G901" s="8" t="s">
        <v>170</v>
      </c>
      <c r="H901" s="6" t="s">
        <v>3117</v>
      </c>
      <c r="I901" s="5"/>
      <c r="J901" s="5" t="s">
        <v>150</v>
      </c>
      <c r="K901" s="6" t="s">
        <v>3153</v>
      </c>
      <c r="L901" s="5" t="s">
        <v>2922</v>
      </c>
    </row>
    <row r="902" customFormat="false" ht="23.85" hidden="false" customHeight="false" outlineLevel="0" collapsed="false">
      <c r="A902" s="5" t="s">
        <v>3160</v>
      </c>
      <c r="B902" s="6" t="s">
        <v>3161</v>
      </c>
      <c r="C902" s="5" t="n">
        <v>35.4</v>
      </c>
      <c r="D902" s="5"/>
      <c r="E902" s="5"/>
      <c r="F902" s="5" t="s">
        <v>3152</v>
      </c>
      <c r="G902" s="8" t="s">
        <v>170</v>
      </c>
      <c r="H902" s="6" t="s">
        <v>3117</v>
      </c>
      <c r="I902" s="5"/>
      <c r="J902" s="5" t="s">
        <v>150</v>
      </c>
      <c r="K902" s="6" t="s">
        <v>3153</v>
      </c>
      <c r="L902" s="5" t="s">
        <v>2922</v>
      </c>
    </row>
    <row r="903" customFormat="false" ht="35.05" hidden="false" customHeight="false" outlineLevel="0" collapsed="false">
      <c r="A903" s="5" t="s">
        <v>3162</v>
      </c>
      <c r="B903" s="6" t="s">
        <v>3163</v>
      </c>
      <c r="C903" s="5" t="n">
        <v>1.1638</v>
      </c>
      <c r="D903" s="5"/>
      <c r="E903" s="5"/>
      <c r="F903" s="5" t="s">
        <v>3164</v>
      </c>
      <c r="G903" s="8" t="s">
        <v>170</v>
      </c>
      <c r="H903" s="6" t="s">
        <v>3117</v>
      </c>
      <c r="I903" s="5"/>
      <c r="J903" s="5" t="s">
        <v>3165</v>
      </c>
      <c r="K903" s="6" t="s">
        <v>3166</v>
      </c>
      <c r="L903" s="5" t="s">
        <v>2922</v>
      </c>
    </row>
    <row r="904" customFormat="false" ht="35.05" hidden="false" customHeight="false" outlineLevel="0" collapsed="false">
      <c r="A904" s="5" t="s">
        <v>3167</v>
      </c>
      <c r="B904" s="6" t="s">
        <v>3168</v>
      </c>
      <c r="C904" s="5" t="n">
        <v>0.8674</v>
      </c>
      <c r="D904" s="5"/>
      <c r="E904" s="5"/>
      <c r="F904" s="5" t="s">
        <v>3169</v>
      </c>
      <c r="G904" s="8" t="s">
        <v>170</v>
      </c>
      <c r="H904" s="6" t="s">
        <v>3117</v>
      </c>
      <c r="I904" s="5"/>
      <c r="J904" s="5" t="s">
        <v>3165</v>
      </c>
      <c r="K904" s="6" t="s">
        <v>3170</v>
      </c>
      <c r="L904" s="5" t="s">
        <v>2922</v>
      </c>
    </row>
    <row r="905" customFormat="false" ht="102.2" hidden="false" customHeight="false" outlineLevel="0" collapsed="false">
      <c r="A905" s="5" t="s">
        <v>3171</v>
      </c>
      <c r="B905" s="6" t="s">
        <v>3172</v>
      </c>
      <c r="C905" s="5" t="n">
        <v>220</v>
      </c>
      <c r="D905" s="5" t="n">
        <v>210</v>
      </c>
      <c r="E905" s="5" t="n">
        <v>225</v>
      </c>
      <c r="F905" s="5" t="s">
        <v>3173</v>
      </c>
      <c r="G905" s="9" t="s">
        <v>365</v>
      </c>
      <c r="H905" s="6" t="s">
        <v>3174</v>
      </c>
      <c r="I905" s="5"/>
      <c r="J905" s="5" t="s">
        <v>517</v>
      </c>
      <c r="K905" s="6" t="s">
        <v>3175</v>
      </c>
      <c r="L905" s="5" t="s">
        <v>2922</v>
      </c>
    </row>
    <row r="906" customFormat="false" ht="68.65" hidden="false" customHeight="false" outlineLevel="0" collapsed="false">
      <c r="A906" s="5" t="s">
        <v>3176</v>
      </c>
      <c r="B906" s="6" t="s">
        <v>3177</v>
      </c>
      <c r="C906" s="5" t="n">
        <v>20</v>
      </c>
      <c r="D906" s="5" t="n">
        <v>10</v>
      </c>
      <c r="E906" s="5" t="n">
        <v>30</v>
      </c>
      <c r="F906" s="5" t="s">
        <v>3178</v>
      </c>
      <c r="G906" s="9" t="s">
        <v>365</v>
      </c>
      <c r="H906" s="6" t="s">
        <v>3179</v>
      </c>
      <c r="I906" s="5"/>
      <c r="J906" s="5" t="s">
        <v>517</v>
      </c>
      <c r="K906" s="6" t="s">
        <v>3180</v>
      </c>
      <c r="L906" s="5" t="s">
        <v>2922</v>
      </c>
    </row>
    <row r="907" customFormat="false" ht="68.65" hidden="false" customHeight="false" outlineLevel="0" collapsed="false">
      <c r="A907" s="5" t="s">
        <v>3181</v>
      </c>
      <c r="B907" s="6" t="s">
        <v>3182</v>
      </c>
      <c r="C907" s="5" t="n">
        <v>3</v>
      </c>
      <c r="D907" s="5"/>
      <c r="E907" s="5"/>
      <c r="F907" s="5" t="s">
        <v>3183</v>
      </c>
      <c r="G907" s="7" t="s">
        <v>42</v>
      </c>
      <c r="H907" s="6" t="s">
        <v>3184</v>
      </c>
      <c r="I907" s="5" t="s">
        <v>3185</v>
      </c>
      <c r="J907" s="5" t="s">
        <v>530</v>
      </c>
      <c r="K907" s="6" t="s">
        <v>3186</v>
      </c>
      <c r="L907" s="5" t="s">
        <v>2922</v>
      </c>
    </row>
    <row r="908" customFormat="false" ht="57.45" hidden="false" customHeight="false" outlineLevel="0" collapsed="false">
      <c r="A908" s="5" t="s">
        <v>3187</v>
      </c>
      <c r="B908" s="6" t="s">
        <v>3188</v>
      </c>
      <c r="C908" s="5" t="n">
        <v>85</v>
      </c>
      <c r="D908" s="5"/>
      <c r="E908" s="5"/>
      <c r="F908" s="5" t="s">
        <v>3189</v>
      </c>
      <c r="G908" s="7" t="s">
        <v>42</v>
      </c>
      <c r="H908" s="6" t="s">
        <v>3190</v>
      </c>
      <c r="I908" s="5" t="s">
        <v>3185</v>
      </c>
      <c r="J908" s="5" t="s">
        <v>530</v>
      </c>
      <c r="K908" s="6" t="s">
        <v>3191</v>
      </c>
      <c r="L908" s="5" t="s">
        <v>2922</v>
      </c>
    </row>
    <row r="909" customFormat="false" ht="79.85" hidden="false" customHeight="false" outlineLevel="0" collapsed="false">
      <c r="A909" s="5" t="s">
        <v>3192</v>
      </c>
      <c r="B909" s="6" t="s">
        <v>3193</v>
      </c>
      <c r="C909" s="5" t="n">
        <v>60</v>
      </c>
      <c r="D909" s="5" t="n">
        <v>40</v>
      </c>
      <c r="E909" s="5" t="n">
        <v>80</v>
      </c>
      <c r="F909" s="5" t="s">
        <v>3194</v>
      </c>
      <c r="G909" s="9" t="s">
        <v>365</v>
      </c>
      <c r="H909" s="6" t="s">
        <v>3195</v>
      </c>
      <c r="I909" s="5"/>
      <c r="J909" s="5" t="s">
        <v>517</v>
      </c>
      <c r="K909" s="6" t="s">
        <v>3196</v>
      </c>
      <c r="L909" s="5" t="s">
        <v>2922</v>
      </c>
    </row>
    <row r="910" customFormat="false" ht="113.4" hidden="false" customHeight="false" outlineLevel="0" collapsed="false">
      <c r="A910" s="5" t="s">
        <v>3197</v>
      </c>
      <c r="B910" s="6" t="s">
        <v>3198</v>
      </c>
      <c r="C910" s="5" t="n">
        <v>0.61</v>
      </c>
      <c r="D910" s="5"/>
      <c r="E910" s="5"/>
      <c r="F910" s="5" t="s">
        <v>3199</v>
      </c>
      <c r="G910" s="10" t="s">
        <v>740</v>
      </c>
      <c r="H910" s="6" t="s">
        <v>3200</v>
      </c>
      <c r="I910" s="5"/>
      <c r="J910" s="5" t="s">
        <v>517</v>
      </c>
      <c r="K910" s="6" t="s">
        <v>3201</v>
      </c>
      <c r="L910" s="5" t="s">
        <v>743</v>
      </c>
    </row>
    <row r="911" customFormat="false" ht="91" hidden="false" customHeight="false" outlineLevel="0" collapsed="false">
      <c r="A911" s="5" t="s">
        <v>3202</v>
      </c>
      <c r="B911" s="6" t="s">
        <v>3203</v>
      </c>
      <c r="C911" s="5" t="n">
        <v>2</v>
      </c>
      <c r="D911" s="5"/>
      <c r="E911" s="5"/>
      <c r="F911" s="5" t="s">
        <v>463</v>
      </c>
      <c r="G911" s="10" t="s">
        <v>740</v>
      </c>
      <c r="H911" s="6" t="s">
        <v>3200</v>
      </c>
      <c r="I911" s="5"/>
      <c r="J911" s="5" t="s">
        <v>517</v>
      </c>
      <c r="K911" s="6" t="s">
        <v>3204</v>
      </c>
      <c r="L911" s="5" t="s">
        <v>743</v>
      </c>
    </row>
    <row r="912" customFormat="false" ht="113.4" hidden="false" customHeight="false" outlineLevel="0" collapsed="false">
      <c r="A912" s="5" t="s">
        <v>3205</v>
      </c>
      <c r="B912" s="6" t="s">
        <v>3206</v>
      </c>
      <c r="C912" s="5" t="n">
        <v>11</v>
      </c>
      <c r="D912" s="5"/>
      <c r="E912" s="5"/>
      <c r="F912" s="5" t="s">
        <v>463</v>
      </c>
      <c r="G912" s="10" t="s">
        <v>740</v>
      </c>
      <c r="H912" s="6" t="s">
        <v>3200</v>
      </c>
      <c r="I912" s="5"/>
      <c r="J912" s="5" t="s">
        <v>517</v>
      </c>
      <c r="K912" s="6" t="s">
        <v>3207</v>
      </c>
      <c r="L912" s="5" t="s">
        <v>743</v>
      </c>
    </row>
    <row r="913" customFormat="false" ht="113.4" hidden="false" customHeight="false" outlineLevel="0" collapsed="false">
      <c r="A913" s="5" t="s">
        <v>3208</v>
      </c>
      <c r="B913" s="6" t="s">
        <v>3209</v>
      </c>
      <c r="C913" s="5" t="n">
        <v>1.22</v>
      </c>
      <c r="D913" s="5"/>
      <c r="E913" s="5"/>
      <c r="F913" s="5" t="s">
        <v>3199</v>
      </c>
      <c r="G913" s="10" t="s">
        <v>740</v>
      </c>
      <c r="H913" s="6" t="s">
        <v>3200</v>
      </c>
      <c r="I913" s="5"/>
      <c r="J913" s="5" t="s">
        <v>517</v>
      </c>
      <c r="K913" s="6" t="s">
        <v>3201</v>
      </c>
      <c r="L913" s="5" t="s">
        <v>743</v>
      </c>
    </row>
    <row r="914" customFormat="false" ht="91" hidden="false" customHeight="false" outlineLevel="0" collapsed="false">
      <c r="A914" s="5" t="s">
        <v>3210</v>
      </c>
      <c r="B914" s="6" t="s">
        <v>3211</v>
      </c>
      <c r="C914" s="5" t="n">
        <v>4</v>
      </c>
      <c r="D914" s="5"/>
      <c r="E914" s="5"/>
      <c r="F914" s="5" t="s">
        <v>463</v>
      </c>
      <c r="G914" s="10" t="s">
        <v>740</v>
      </c>
      <c r="H914" s="6" t="s">
        <v>3200</v>
      </c>
      <c r="I914" s="5"/>
      <c r="J914" s="5" t="s">
        <v>517</v>
      </c>
      <c r="K914" s="6" t="s">
        <v>3204</v>
      </c>
      <c r="L914" s="5" t="s">
        <v>743</v>
      </c>
    </row>
    <row r="915" customFormat="false" ht="113.4" hidden="false" customHeight="false" outlineLevel="0" collapsed="false">
      <c r="A915" s="5" t="s">
        <v>3212</v>
      </c>
      <c r="B915" s="6" t="s">
        <v>3213</v>
      </c>
      <c r="C915" s="5" t="n">
        <v>20</v>
      </c>
      <c r="D915" s="5"/>
      <c r="E915" s="5"/>
      <c r="F915" s="5" t="s">
        <v>463</v>
      </c>
      <c r="G915" s="10" t="s">
        <v>740</v>
      </c>
      <c r="H915" s="6" t="s">
        <v>3200</v>
      </c>
      <c r="I915" s="5"/>
      <c r="J915" s="5" t="s">
        <v>517</v>
      </c>
      <c r="K915" s="6" t="s">
        <v>3207</v>
      </c>
      <c r="L915" s="5" t="s">
        <v>743</v>
      </c>
    </row>
    <row r="916" customFormat="false" ht="113.4" hidden="false" customHeight="false" outlineLevel="0" collapsed="false">
      <c r="A916" s="5" t="s">
        <v>3214</v>
      </c>
      <c r="B916" s="6" t="s">
        <v>3215</v>
      </c>
      <c r="C916" s="5" t="n">
        <v>0.6</v>
      </c>
      <c r="D916" s="5"/>
      <c r="E916" s="5"/>
      <c r="F916" s="5" t="s">
        <v>3199</v>
      </c>
      <c r="G916" s="10" t="s">
        <v>740</v>
      </c>
      <c r="H916" s="6" t="s">
        <v>3200</v>
      </c>
      <c r="I916" s="5"/>
      <c r="J916" s="5" t="s">
        <v>517</v>
      </c>
      <c r="K916" s="6" t="s">
        <v>3201</v>
      </c>
      <c r="L916" s="5" t="s">
        <v>743</v>
      </c>
    </row>
    <row r="917" customFormat="false" ht="91" hidden="false" customHeight="false" outlineLevel="0" collapsed="false">
      <c r="A917" s="5" t="s">
        <v>3216</v>
      </c>
      <c r="B917" s="6" t="s">
        <v>3217</v>
      </c>
      <c r="C917" s="5" t="n">
        <v>2</v>
      </c>
      <c r="D917" s="5"/>
      <c r="E917" s="5"/>
      <c r="F917" s="5" t="s">
        <v>463</v>
      </c>
      <c r="G917" s="10" t="s">
        <v>740</v>
      </c>
      <c r="H917" s="6" t="s">
        <v>3200</v>
      </c>
      <c r="I917" s="5"/>
      <c r="J917" s="5" t="s">
        <v>517</v>
      </c>
      <c r="K917" s="6" t="s">
        <v>3204</v>
      </c>
      <c r="L917" s="5" t="s">
        <v>743</v>
      </c>
    </row>
    <row r="918" customFormat="false" ht="113.4" hidden="false" customHeight="false" outlineLevel="0" collapsed="false">
      <c r="A918" s="5" t="s">
        <v>3218</v>
      </c>
      <c r="B918" s="6" t="s">
        <v>3219</v>
      </c>
      <c r="C918" s="5" t="n">
        <v>11</v>
      </c>
      <c r="D918" s="5"/>
      <c r="E918" s="5"/>
      <c r="F918" s="5" t="s">
        <v>463</v>
      </c>
      <c r="G918" s="10" t="s">
        <v>740</v>
      </c>
      <c r="H918" s="6" t="s">
        <v>3200</v>
      </c>
      <c r="I918" s="5"/>
      <c r="J918" s="5" t="s">
        <v>517</v>
      </c>
      <c r="K918" s="6" t="s">
        <v>3207</v>
      </c>
      <c r="L918" s="5" t="s">
        <v>743</v>
      </c>
    </row>
    <row r="919" customFormat="false" ht="113.4" hidden="false" customHeight="false" outlineLevel="0" collapsed="false">
      <c r="A919" s="5" t="s">
        <v>3220</v>
      </c>
      <c r="B919" s="6" t="s">
        <v>3221</v>
      </c>
      <c r="C919" s="5" t="n">
        <v>0.6</v>
      </c>
      <c r="D919" s="5"/>
      <c r="E919" s="5"/>
      <c r="F919" s="5" t="s">
        <v>3199</v>
      </c>
      <c r="G919" s="10" t="s">
        <v>740</v>
      </c>
      <c r="H919" s="6" t="s">
        <v>3200</v>
      </c>
      <c r="I919" s="5"/>
      <c r="J919" s="5" t="s">
        <v>517</v>
      </c>
      <c r="K919" s="6" t="s">
        <v>3201</v>
      </c>
      <c r="L919" s="5" t="s">
        <v>743</v>
      </c>
    </row>
    <row r="920" customFormat="false" ht="91" hidden="false" customHeight="false" outlineLevel="0" collapsed="false">
      <c r="A920" s="5" t="s">
        <v>3222</v>
      </c>
      <c r="B920" s="6" t="s">
        <v>3223</v>
      </c>
      <c r="C920" s="5" t="n">
        <v>2</v>
      </c>
      <c r="D920" s="5"/>
      <c r="E920" s="5"/>
      <c r="F920" s="5" t="s">
        <v>463</v>
      </c>
      <c r="G920" s="10" t="s">
        <v>740</v>
      </c>
      <c r="H920" s="6" t="s">
        <v>3200</v>
      </c>
      <c r="I920" s="5"/>
      <c r="J920" s="5" t="s">
        <v>517</v>
      </c>
      <c r="K920" s="6" t="s">
        <v>3204</v>
      </c>
      <c r="L920" s="5" t="s">
        <v>743</v>
      </c>
    </row>
    <row r="921" customFormat="false" ht="113.4" hidden="false" customHeight="false" outlineLevel="0" collapsed="false">
      <c r="A921" s="5" t="s">
        <v>3224</v>
      </c>
      <c r="B921" s="6" t="s">
        <v>3225</v>
      </c>
      <c r="C921" s="5" t="n">
        <v>11</v>
      </c>
      <c r="D921" s="5"/>
      <c r="E921" s="5"/>
      <c r="F921" s="5" t="s">
        <v>463</v>
      </c>
      <c r="G921" s="10" t="s">
        <v>740</v>
      </c>
      <c r="H921" s="6" t="s">
        <v>3200</v>
      </c>
      <c r="I921" s="5"/>
      <c r="J921" s="5" t="s">
        <v>517</v>
      </c>
      <c r="K921" s="6" t="s">
        <v>3207</v>
      </c>
      <c r="L921" s="5" t="s">
        <v>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5" min="2" style="0" width="16"/>
    <col collapsed="false" customWidth="true" hidden="false" outlineLevel="0" max="6" min="6" style="0" width="52"/>
  </cols>
  <sheetData>
    <row r="1" customFormat="false" ht="17.35" hidden="false" customHeight="false" outlineLevel="0" collapsed="false">
      <c r="A1" s="1" t="s">
        <v>3226</v>
      </c>
    </row>
    <row r="2" customFormat="false" ht="31.5" hidden="false" customHeight="true" outlineLevel="0" collapsed="false">
      <c r="A2" s="12" t="s">
        <v>3227</v>
      </c>
    </row>
    <row r="4" customFormat="false" ht="26.85" hidden="false" customHeight="false" outlineLevel="0" collapsed="false">
      <c r="A4" s="4"/>
      <c r="B4" s="4" t="s">
        <v>3228</v>
      </c>
      <c r="C4" s="4" t="s">
        <v>3229</v>
      </c>
      <c r="D4" s="4"/>
      <c r="E4" s="4"/>
      <c r="F4" s="4" t="s">
        <v>3230</v>
      </c>
    </row>
    <row r="5" customFormat="false" ht="15" hidden="false" customHeight="false" outlineLevel="0" collapsed="false">
      <c r="A5" s="0" t="s">
        <v>3231</v>
      </c>
      <c r="B5" s="13" t="n">
        <f aca="false">(eu_revenue_eur_m * x14_incentive_claims_central/100 * process_leak_pct/100 + eu_revenue_eur_m * x5_targeting_gain_central/100)</f>
        <v>142.063807</v>
      </c>
      <c r="C5" s="13" t="n">
        <f aca="false">(eu_revenue_eur_m * x14_incentive_claims_central/100 * process_leak_pct/100 + eu_revenue_eur_m * x5_targeting_gain_central/100)</f>
        <v>142.063807</v>
      </c>
      <c r="F5" s="14" t="s">
        <v>3232</v>
      </c>
    </row>
    <row r="6" customFormat="false" ht="15" hidden="false" customHeight="false" outlineLevel="0" collapsed="false">
      <c r="A6" s="0" t="s">
        <v>3233</v>
      </c>
      <c r="B6" s="13" t="n">
        <f aca="false">sfse_eu_nv_contracts_2025 * upgrade_capture_uplift/100 * margin_per_repeat_sale / 1000000</f>
        <v>38.76828</v>
      </c>
      <c r="C6" s="13" t="n">
        <f aca="false">sfse_eu_nv_contracts_2025 * upgrade_capture_uplift/100 * margin_per_repeat_sale / 1000000</f>
        <v>38.76828</v>
      </c>
      <c r="F6" s="14" t="s">
        <v>3234</v>
      </c>
    </row>
    <row r="7" customFormat="false" ht="15" hidden="false" customHeight="false" outlineLevel="0" collapsed="false">
      <c r="A7" s="0" t="s">
        <v>3235</v>
      </c>
      <c r="B7" s="13" t="n">
        <f aca="false">(buyback_payables_current_eur_m * MAX(0, x18_exp_twosided_book)/100 + buyback_payables_current_eur_m * (x17_days_cut * x17_day_cost_central/10000 + x17_share_routed/100 * x17_channel_gain_after_costs/100))</f>
        <v>24.81171</v>
      </c>
      <c r="C7" s="13" t="n">
        <f aca="false">((buyback_payables_current_eur_m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117.283131068458</v>
      </c>
      <c r="F7" s="14" t="s">
        <v>3236</v>
      </c>
    </row>
    <row r="8" customFormat="false" ht="15" hidden="false" customHeight="false" outlineLevel="0" collapsed="false">
      <c r="A8" s="3" t="s">
        <v>3237</v>
      </c>
      <c r="B8" s="15"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205.643797</v>
      </c>
      <c r="C8" s="15"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298.115218068458</v>
      </c>
      <c r="F8" s="14" t="s">
        <v>3238</v>
      </c>
    </row>
    <row r="9" customFormat="false" ht="15" hidden="false" customHeight="false" outlineLevel="0" collapsed="false">
      <c r="A9" s="0" t="s">
        <v>3239</v>
      </c>
      <c r="B9" s="13"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 + buyback_payables_current_eur_m * x18_exp_onesided_book/100</f>
        <v>266.690167</v>
      </c>
      <c r="C9"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buyback_payables_current_eur_m * (x17_days_cut * x17_day_cost_central/10000 + x17_share_routed/100 * x17_channel_gain_after_costs/100))</f>
        <v>339.854858057269</v>
      </c>
      <c r="F9" s="14" t="s">
        <v>3240</v>
      </c>
    </row>
    <row r="10" customFormat="false" ht="15" hidden="false" customHeight="false" outlineLevel="0" collapsed="false">
      <c r="A10" s="0" t="s">
        <v>3241</v>
      </c>
      <c r="C10" s="13" t="n">
        <f aca="false">(eu_revenue_eur_m * x14_incentive_claims_central/100 * process_leak_pct/100 + eu_revenue_eur_m * x5_targeting_gain_central/100) + sfse_eu_nv_contracts_2025 * upgrade_capture_uplift/100 * margin_per_repeat_sale / 1000000 + ((buyback_payables_current_eur_m * (ABS(level_1y_p10_core)/100 + (curve_1y_p80_known/2/retained_1y_pooled * (1 - thin_share_of_book/100) + curve_1y_p80_unknown/2/retained_1y_pooled * thin_share_of_book/100))) * x18_joint_share_stress/100 + buyback_payables_current_eur_m * (x17_days_cut * x17_day_cost_central/10000 + x17_share_routed/100 * x17_channel_gain_after_costs/100))</f>
        <v>455.942357457048</v>
      </c>
      <c r="F10" s="14" t="s">
        <v>3242</v>
      </c>
    </row>
    <row r="11" customFormat="false" ht="15" hidden="false" customHeight="false" outlineLevel="0" collapsed="false">
      <c r="A11" s="0" t="s">
        <v>3243</v>
      </c>
      <c r="C11" s="13" t="n">
        <f aca="false">(eu_revenue_eur_m * x14_incentive_claims_central/100 * process_leak_pct/100 + eu_revenue_eur_m * x5_targeting_gain_central/100) + sfse_eu_nv_contracts_2025 * upgrade_capture_uplift/100 * margin_per_repeat_sale / 1000000 + (buyback_payables_current_eur_m * (ABS(level_1y_p10_core)/100 + (curve_1y_p80_known/2/retained_1y_pooled * (1 - thin_share_of_book/100) + curve_1y_p80_unknown/2/retained_1y_pooled * thin_share_of_book/100)) + buyback_payables_current_eur_m * (x17_days_cut * x17_day_cost_central/10000 + x17_share_routed/100 * x17_channel_gain_after_costs/100))</f>
        <v>503.973428057269</v>
      </c>
      <c r="F11" s="14" t="s">
        <v>3244</v>
      </c>
    </row>
    <row r="12" customFormat="false" ht="15" hidden="false" customHeight="false" outlineLevel="0" collapsed="false">
      <c r="A12" s="0" t="s">
        <v>3245</v>
      </c>
      <c r="B12" s="13"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 - eu_revenue_eur_m * x5_targeting_gain_central/100</f>
        <v>141.57354</v>
      </c>
      <c r="C12"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 - eu_revenue_eur_m * x5_targeting_gain_central/100</f>
        <v>234.044961068458</v>
      </c>
      <c r="F12" s="14" t="s">
        <v>3246</v>
      </c>
    </row>
    <row r="14" customFormat="false" ht="15" hidden="false" customHeight="false" outlineLevel="0" collapsed="false">
      <c r="A14" s="3" t="s">
        <v>3247</v>
      </c>
    </row>
    <row r="15" customFormat="false" ht="15" hidden="false" customHeight="false" outlineLevel="0" collapsed="false">
      <c r="A15" s="0" t="s">
        <v>3248</v>
      </c>
      <c r="B15" s="13" t="n">
        <f aca="false">eu_revenue_eur_m * x14_incentive_claims_central/100 * process_leak_pct/100 + eu_revenue_eur_m * x5_targeting_gain_central/100 * finance_penetration/100 + sfse_eu_nv_contracts_2025 * upgrade_capture_uplift/100 * margin_per_repeat_sale / 1000000 + buyback_payables_current_eur_m * (x17_days_cut * x17_day_cost_central/10000 + x17_share_routed/100 * x17_channel_gain_after_costs/100) + buyback_payables_current_eur_m * MAX(0, x18_exp_twosided_book)/100</f>
        <v>160.089844273</v>
      </c>
      <c r="C15" s="13" t="s">
        <v>3249</v>
      </c>
      <c r="F15" s="14" t="s">
        <v>3250</v>
      </c>
    </row>
    <row r="16" customFormat="false" ht="15" hidden="false" customHeight="false" outlineLevel="0" collapsed="false">
      <c r="A16" s="0" t="s">
        <v>3251</v>
      </c>
      <c r="B16" s="13" t="n">
        <f aca="false">(eu_revenue_eur_m * x14_incentive_claims_central/100 * process_leak_pct/100 * recoverable_share/100) + (sfse_eu_nv_contracts_2025 * upgrade_capture_uplift/100 * margin_per_repeat_sale / 1000000) + (buyback_payables_current_eur_m * x17_days_cut * x17_day_cost_central/10000) + (buyback_payables_current_eur_m * x17_share_routed/100 * x17_channel_gain_after_costs/100)</f>
        <v>86.978055</v>
      </c>
      <c r="C16" s="13" t="n">
        <f aca="false">(eu_revenue_eur_m * x14_incentive_claims_central/100 * process_leak_pct/100 * recoverable_share/100) + (sfse_eu_nv_contracts_2025 * upgrade_capture_uplift/100 * margin_per_repeat_sale / 1000000) + (buyback_payables_current_eur_m * x17_days_cut * x17_day_cost_central/10000) + (buyback_payables_current_eur_m * x17_share_routed/100 * x17_channel_gain_after_costs/100) + buyback_payables_current_eur_m * thin_share_of_book/100 * (curve_1y_p80_unknown - curve_1y_p80_known)/2/retained_1y_pooled * x18_joint_share_book/100</f>
        <v>107.639802935022</v>
      </c>
      <c r="F16" s="14" t="s">
        <v>3252</v>
      </c>
    </row>
    <row r="17" customFormat="false" ht="15" hidden="false" customHeight="false" outlineLevel="0" collapsed="false">
      <c r="A17" s="0" t="s">
        <v>3253</v>
      </c>
      <c r="B17" s="13" t="n">
        <f aca="false">(1-mckox_sw_benefit_shortfall_pct/100) * ((eu_revenue_eur_m * x14_incentive_claims_central/100 * process_leak_pct/100 * recoverable_share/100) + (sfse_eu_nv_contracts_2025 * upgrade_capture_uplift/100 * margin_per_repeat_sale / 1000000) + (buyback_payables_current_eur_m * x17_days_cut * x17_day_cost_central/10000) + (buyback_payables_current_eur_m * x17_share_routed/100 * x17_channel_gain_after_costs/100))</f>
        <v>72.19178565</v>
      </c>
      <c r="C17" s="13" t="n">
        <f aca="false">(1-mckox_sw_benefit_shortfall_pct/100) * ((eu_revenue_eur_m * x14_incentive_claims_central/100 * process_leak_pct/100 * recoverable_share/100) + (sfse_eu_nv_contracts_2025 * upgrade_capture_uplift/100 * margin_per_repeat_sale / 1000000) + (buyback_payables_current_eur_m * x17_days_cut * x17_day_cost_central/10000) + (buyback_payables_current_eur_m * x17_share_routed/100 * x17_channel_gain_after_costs/100) + buyback_payables_current_eur_m * thin_share_of_book/100 * (curve_1y_p80_unknown - curve_1y_p80_known)/2/retained_1y_pooled * x18_joint_share_book/100)</f>
        <v>89.3410364360683</v>
      </c>
      <c r="F17" s="14" t="s">
        <v>3254</v>
      </c>
    </row>
    <row r="18" customFormat="false" ht="15" hidden="false" customHeight="false" outlineLevel="0" collapsed="false">
      <c r="A18" s="0" t="s">
        <v>3255</v>
      </c>
      <c r="B18" s="13" t="n">
        <v>0</v>
      </c>
      <c r="C18" s="13" t="n">
        <v>0</v>
      </c>
      <c r="F18" s="14" t="s">
        <v>3256</v>
      </c>
    </row>
    <row r="21" customFormat="false" ht="17.35" hidden="false" customHeight="false" outlineLevel="0" collapsed="false">
      <c r="A21" s="1" t="s">
        <v>3257</v>
      </c>
    </row>
    <row r="22" customFormat="false" ht="15" hidden="false" customHeight="false" outlineLevel="0" collapsed="false">
      <c r="A22" s="4"/>
      <c r="B22" s="4" t="s">
        <v>30</v>
      </c>
      <c r="C22" s="4" t="s">
        <v>3258</v>
      </c>
      <c r="D22" s="4" t="s">
        <v>31</v>
      </c>
    </row>
    <row r="23" customFormat="false" ht="15" hidden="false" customHeight="false" outlineLevel="0" collapsed="false">
      <c r="A23" s="16" t="s">
        <v>52</v>
      </c>
      <c r="B23" s="13" t="n">
        <f aca="false">(eu_revenue_eur_m * x14_incentive_claims_low/100 * Assumptions!$D$114/100 + eu_revenue_eur_m * x5_targeting_gain_low/100)</f>
        <v>48.818185</v>
      </c>
      <c r="C23" s="13" t="n">
        <f aca="false">(eu_revenue_eur_m * x14_incentive_claims_central/100 * process_leak_pct/100 + eu_revenue_eur_m * x5_targeting_gain_central/100)</f>
        <v>142.063807</v>
      </c>
      <c r="D23" s="13" t="n">
        <f aca="false">(eu_revenue_eur_m * x14_incentive_claims_high/100 * Assumptions!$E$114/100 + eu_revenue_eur_m * x5_targeting_gain_high/100)</f>
        <v>325.088671</v>
      </c>
    </row>
    <row r="24" customFormat="false" ht="15" hidden="false" customHeight="false" outlineLevel="0" collapsed="false">
      <c r="A24" s="16" t="s">
        <v>191</v>
      </c>
      <c r="B24" s="13" t="n">
        <f aca="false">sfse_eu_nv_contracts_2025 * Assumptions!$D$134/100 * Assumptions!$D$135 / 1000000</f>
        <v>6.46138</v>
      </c>
      <c r="C24" s="13" t="n">
        <f aca="false">sfse_eu_nv_contracts_2025 * upgrade_capture_uplift/100 * margin_per_repeat_sale / 1000000</f>
        <v>38.76828</v>
      </c>
      <c r="D24" s="13" t="n">
        <f aca="false">sfse_eu_nv_contracts_2025 * Assumptions!$E$134/100 * Assumptions!$E$135 / 1000000</f>
        <v>135.68898</v>
      </c>
    </row>
    <row r="25" customFormat="false" ht="15" hidden="false" customHeight="false" outlineLevel="0" collapsed="false">
      <c r="A25" s="16" t="s">
        <v>3259</v>
      </c>
      <c r="B25" s="13" t="n">
        <f aca="false">(buyback_payables_current_eur_m * MAX(0, x18_exp_twosided_book)/100 + buyback_payables_current_eur_m * (Assumptions!$D$685 * x17_day_cost_low/10000 + Assumptions!$D$686/100 * x17_channel_gain_after_costs/100))</f>
        <v>10.99791</v>
      </c>
      <c r="C25" s="13" t="n">
        <f aca="false">(buyback_payables_current_eur_m * MAX(0, x18_exp_twosided_book)/100 + buyback_payables_current_eur_m * (x17_days_cut * x17_day_cost_central/10000 + x17_share_routed/100 * x17_channel_gain_after_costs/100))</f>
        <v>24.81171</v>
      </c>
      <c r="D25" s="13" t="n">
        <f aca="false">(buyback_payables_current_eur_m * MAX(0, x18_exp_twosided_book)/100 + buyback_payables_current_eur_m * (Assumptions!$E$685 * x17_day_cost_high/10000 + Assumptions!$E$686/100 * x17_channel_gain_before_opex/100))</f>
        <v>125.81184</v>
      </c>
    </row>
    <row r="26" customFormat="false" ht="15" hidden="false" customHeight="false" outlineLevel="0" collapsed="false">
      <c r="A26" s="16" t="s">
        <v>3260</v>
      </c>
      <c r="B26" s="13" t="n">
        <f aca="false">((buyback_payables_current_eur_m * (ABS(level_1y_p10_book)/100 + (curve_1y_p80_known/2/retained_1y_pooled * (1 - Assumptions!$D$117/100) + curve_1y_p80_unknown/2/retained_1y_pooled * Assumptions!$D$117/100))) * x18_joint_share_book/100 + buyback_payables_current_eur_m * (Assumptions!$D$685 * x17_day_cost_low/10000 + Assumptions!$D$686/100 * x17_channel_gain_after_costs/100))</f>
        <v>91.072282307445</v>
      </c>
      <c r="C26" s="13" t="n">
        <f aca="false">((buyback_payables_current_eur_m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117.283131068458</v>
      </c>
      <c r="D26" s="13" t="n">
        <f aca="false">((buyback_payables_current_eur_m * (ABS(level_1y_p10_book)/100 + (curve_1y_p80_known/2/retained_1y_pooled * (1 - Assumptions!$E$117/100) + curve_1y_p80_unknown/2/retained_1y_pooled * Assumptions!$E$117/100))) * x18_joint_share_book/100 + buyback_payables_current_eur_m * (Assumptions!$E$685 * x17_day_cost_high/10000 + Assumptions!$E$686/100 * x17_channel_gain_before_opex/100))</f>
        <v>230.680309829471</v>
      </c>
    </row>
    <row r="27" customFormat="false" ht="15" hidden="false" customHeight="false" outlineLevel="0" collapsed="false">
      <c r="A27" s="3" t="s">
        <v>3261</v>
      </c>
      <c r="B27" s="13" t="n">
        <f aca="false">(eu_revenue_eur_m * x14_incentive_claims_low/100 * Assumptions!$D$114/100 + eu_revenue_eur_m * x5_targeting_gain_low/100) + sfse_eu_nv_contracts_2025 * Assumptions!$D$134/100 * Assumptions!$D$135 / 1000000 + (buyback_payables_current_eur_m * MAX(0, x18_exp_twosided_book)/100 + buyback_payables_current_eur_m * (Assumptions!$D$685 * x17_day_cost_low/10000 + Assumptions!$D$686/100 * x17_channel_gain_after_costs/100))</f>
        <v>66.277475</v>
      </c>
      <c r="C27" s="13"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205.643797</v>
      </c>
      <c r="D27" s="13" t="n">
        <f aca="false">(eu_revenue_eur_m * x14_incentive_claims_high/100 * Assumptions!$E$114/100 + eu_revenue_eur_m * x5_targeting_gain_high/100) + sfse_eu_nv_contracts_2025 * Assumptions!$E$134/100 * Assumptions!$E$135 / 1000000 + (buyback_payables_current_eur_m * MAX(0, x18_exp_twosided_book)/100 + buyback_payables_current_eur_m * (Assumptions!$E$685 * x17_day_cost_high/10000 + Assumptions!$E$686/100 * x17_channel_gain_before_opex/100))</f>
        <v>586.589491</v>
      </c>
    </row>
    <row r="28" customFormat="false" ht="15" hidden="false" customHeight="false" outlineLevel="0" collapsed="false">
      <c r="A28" s="3" t="s">
        <v>3262</v>
      </c>
      <c r="B28" s="13" t="n">
        <f aca="false">(eu_revenue_eur_m * x14_incentive_claims_low/100 * Assumptions!$D$114/100 + eu_revenue_eur_m * x5_targeting_gain_low/100) + sfse_eu_nv_contracts_2025 * Assumptions!$D$134/100 * Assumptions!$D$135 / 1000000 + ((buyback_payables_current_eur_m * (ABS(level_1y_p10_book)/100 + (curve_1y_p80_known/2/retained_1y_pooled * (1 - Assumptions!$D$117/100) + curve_1y_p80_unknown/2/retained_1y_pooled * Assumptions!$D$117/100))) * x18_joint_share_book/100 + buyback_payables_current_eur_m * (Assumptions!$D$685 * x17_day_cost_low/10000 + Assumptions!$D$686/100 * x17_channel_gain_after_costs/100))</f>
        <v>146.351847307445</v>
      </c>
      <c r="C28"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298.115218068458</v>
      </c>
      <c r="D28" s="13" t="n">
        <f aca="false">(eu_revenue_eur_m * x14_incentive_claims_high/100 * Assumptions!$E$114/100 + eu_revenue_eur_m * x5_targeting_gain_high/100) + sfse_eu_nv_contracts_2025 * Assumptions!$E$134/100 * Assumptions!$E$135 / 1000000 + ((buyback_payables_current_eur_m * (ABS(level_1y_p10_book)/100 + (curve_1y_p80_known/2/retained_1y_pooled * (1 - Assumptions!$E$117/100) + curve_1y_p80_unknown/2/retained_1y_pooled * Assumptions!$E$117/100))) * x18_joint_share_book/100 + buyback_payables_current_eur_m * (Assumptions!$E$685 * x17_day_cost_high/10000 + Assumptions!$E$686/100 * x17_channel_gain_before_opex/100))</f>
        <v>691.457960829471</v>
      </c>
    </row>
    <row r="31" customFormat="false" ht="17.35" hidden="false" customHeight="false" outlineLevel="0" collapsed="false">
      <c r="A31" s="1" t="s">
        <v>3263</v>
      </c>
    </row>
    <row r="32" customFormat="false" ht="26.85" hidden="false" customHeight="false" outlineLevel="0" collapsed="false">
      <c r="A32" s="4"/>
      <c r="B32" s="4" t="s">
        <v>3264</v>
      </c>
      <c r="C32" s="4" t="s">
        <v>933</v>
      </c>
      <c r="D32" s="4" t="s">
        <v>3265</v>
      </c>
      <c r="E32" s="4" t="s">
        <v>933</v>
      </c>
      <c r="F32" s="4" t="s">
        <v>3266</v>
      </c>
    </row>
    <row r="33" customFormat="false" ht="15" hidden="false" customHeight="false" outlineLevel="0" collapsed="false">
      <c r="A33" s="17" t="s">
        <v>3267</v>
      </c>
      <c r="B33" s="13" t="n">
        <f aca="false">buyback_payables_current_eur_m * MAX(0, x18_exp_twosided_book)/100</f>
        <v>0</v>
      </c>
      <c r="C33" s="18" t="n">
        <f aca="false">B33/((eu_revenue_eur_m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v>
      </c>
      <c r="D33" s="13" t="n">
        <f aca="false">(buyback_payables_current_eur_m * (ABS(level_1y_p10_book)/100 + (curve_1y_p80_known/2/retained_1y_pooled * (1 - thin_share_of_book/100) + curve_1y_p80_unknown/2/retained_1y_pooled * thin_share_of_book/100))) * x18_joint_share_book/100</f>
        <v>92.4714210684581</v>
      </c>
      <c r="E33" s="18" t="n">
        <f aca="false">D33/((eu_revenue_eur_m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0.310186852142595</v>
      </c>
      <c r="F33" s="14" t="s">
        <v>3268</v>
      </c>
    </row>
    <row r="34" customFormat="false" ht="15" hidden="false" customHeight="false" outlineLevel="0" collapsed="false">
      <c r="A34" s="19" t="s">
        <v>3269</v>
      </c>
      <c r="B34" s="13" t="n">
        <f aca="false">buyback_payables_current_eur_m * (x17_days_cut * x17_day_cost_central/10000 + x17_share_routed/100 * x17_channel_gain_after_costs/100)</f>
        <v>24.81171</v>
      </c>
      <c r="C34" s="18" t="n">
        <f aca="false">B34/((eu_revenue_eur_m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0.120653821617581</v>
      </c>
      <c r="D34" s="13" t="n">
        <f aca="false">buyback_payables_current_eur_m * (x17_days_cut * x17_day_cost_central/10000 + x17_share_routed/100 * x17_channel_gain_after_costs/100)</f>
        <v>24.81171</v>
      </c>
      <c r="E34" s="18" t="n">
        <f aca="false">D34/((eu_revenue_eur_m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0.0832285924910493</v>
      </c>
      <c r="F34" s="14" t="s">
        <v>3270</v>
      </c>
    </row>
    <row r="35" customFormat="false" ht="15" hidden="false" customHeight="false" outlineLevel="0" collapsed="false">
      <c r="A35" s="19" t="s">
        <v>3271</v>
      </c>
      <c r="B35" s="13" t="n">
        <f aca="false">sfse_eu_nv_contracts_2025 * upgrade_capture_uplift/100 * margin_per_repeat_sale / 1000000</f>
        <v>38.76828</v>
      </c>
      <c r="C35" s="18" t="n">
        <f aca="false">B35/((eu_revenue_eur_m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0.188521514218102</v>
      </c>
      <c r="D35" s="13" t="n">
        <f aca="false">sfse_eu_nv_contracts_2025 * upgrade_capture_uplift/100 * margin_per_repeat_sale / 1000000</f>
        <v>38.76828</v>
      </c>
      <c r="E35" s="18" t="n">
        <f aca="false">D35/((eu_revenue_eur_m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0.130044619161634</v>
      </c>
      <c r="F35" s="14" t="s">
        <v>3272</v>
      </c>
    </row>
    <row r="36" customFormat="false" ht="15" hidden="false" customHeight="false" outlineLevel="0" collapsed="false">
      <c r="A36" s="19" t="s">
        <v>3273</v>
      </c>
      <c r="B36" s="13" t="n">
        <f aca="false">eu_revenue_eur_m * x14_incentive_claims_central/100 * process_leak_pct/100</f>
        <v>77.99355</v>
      </c>
      <c r="C36" s="18" t="n">
        <f aca="false">B36/((eu_revenue_eur_m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0.379265269061337</v>
      </c>
      <c r="D36" s="13" t="n">
        <f aca="false">eu_revenue_eur_m * x14_incentive_claims_central/100 * process_leak_pct/100</f>
        <v>77.99355</v>
      </c>
      <c r="E36" s="18" t="n">
        <f aca="false">D36/((eu_revenue_eur_m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0.261622169124187</v>
      </c>
      <c r="F36" s="14" t="s">
        <v>3274</v>
      </c>
    </row>
    <row r="37" customFormat="false" ht="15" hidden="false" customHeight="false" outlineLevel="0" collapsed="false">
      <c r="A37" s="20" t="s">
        <v>3275</v>
      </c>
      <c r="B37" s="13" t="n">
        <f aca="false">eu_revenue_eur_m * x5_targeting_gain_central/100</f>
        <v>64.070257</v>
      </c>
      <c r="C37" s="18" t="n">
        <f aca="false">B37/((eu_revenue_eur_m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0.31155939510298</v>
      </c>
      <c r="D37" s="13" t="n">
        <f aca="false">eu_revenue_eur_m * x5_targeting_gain_central/100</f>
        <v>64.070257</v>
      </c>
      <c r="E37" s="18" t="n">
        <f aca="false">D37/((eu_revenue_eur_m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0.214917767080536</v>
      </c>
      <c r="F37" s="14" t="s">
        <v>3276</v>
      </c>
    </row>
    <row r="38" customFormat="false" ht="60" hidden="false" customHeight="true" outlineLevel="0" collapsed="false">
      <c r="A38" s="12" t="s">
        <v>3277</v>
      </c>
    </row>
    <row r="41" customFormat="false" ht="17.35" hidden="false" customHeight="false" outlineLevel="0" collapsed="false">
      <c r="A41" s="1" t="s">
        <v>3278</v>
      </c>
    </row>
    <row r="42" customFormat="false" ht="26.85" hidden="false" customHeight="false" outlineLevel="0" collapsed="false">
      <c r="A42" s="4" t="s">
        <v>3279</v>
      </c>
      <c r="B42" s="4" t="s">
        <v>33</v>
      </c>
      <c r="C42" s="4" t="s">
        <v>3280</v>
      </c>
      <c r="D42" s="4" t="s">
        <v>3281</v>
      </c>
      <c r="E42" s="4" t="s">
        <v>3282</v>
      </c>
      <c r="F42" s="4" t="s">
        <v>3283</v>
      </c>
    </row>
    <row r="43" customFormat="false" ht="15" hidden="false" customHeight="false" outlineLevel="0" collapsed="false">
      <c r="A43" s="0" t="s">
        <v>511</v>
      </c>
      <c r="B43" s="19" t="s">
        <v>365</v>
      </c>
      <c r="C43" s="13" t="n">
        <f aca="false">(eu_revenue_eur_m * x14_incentive_claims_central/100 * Assumptions!$D$114/100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239.620055568458</v>
      </c>
      <c r="D43" s="13" t="n">
        <f aca="false">(eu_revenue_eur_m * x14_incentive_claims_central/100 * Assumptions!$E$114/100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415.105543068458</v>
      </c>
      <c r="E43" s="13" t="n">
        <f aca="false">ABS(D43-C43)</f>
        <v>175.4854875</v>
      </c>
      <c r="F43" s="13" t="n">
        <f aca="false">ABS(((eu_revenue_eur_m * x14_incentive_claims_central/100 * Assumptions!$E$114/100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 - ((eu_revenue_eur_m * x14_incentive_claims_central/100 * Assumptions!$D$114/100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175.4854875</v>
      </c>
    </row>
    <row r="44" customFormat="false" ht="15" hidden="false" customHeight="false" outlineLevel="0" collapsed="false">
      <c r="A44" s="0" t="s">
        <v>597</v>
      </c>
      <c r="B44" s="19" t="s">
        <v>365</v>
      </c>
      <c r="C44" s="13" t="n">
        <f aca="false">(eu_revenue_eur_m * x14_incentive_claims_central/100 * process_leak_pct/100 + eu_revenue_eur_m * x5_targeting_gain_central/100) + sfse_eu_nv_contracts_2025 * Assumptions!$D$134/100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272.269698068458</v>
      </c>
      <c r="D44" s="13" t="n">
        <f aca="false">(eu_revenue_eur_m * x14_incentive_claims_central/100 * process_leak_pct/100 + eu_revenue_eur_m * x5_targeting_gain_central/100) + sfse_eu_nv_contracts_2025 * Assumptions!$E$134/100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336.883498068458</v>
      </c>
      <c r="E44" s="13" t="n">
        <f aca="false">ABS(D44-C44)</f>
        <v>64.6138</v>
      </c>
      <c r="F44" s="13" t="n">
        <f aca="false">ABS(((eu_revenue_eur_m * x14_incentive_claims_central/100 * process_leak_pct/100 + eu_revenue_eur_m * x5_targeting_gain_central/100) + sfse_eu_nv_contracts_2025 * Assumptions!$E$134/100 * margin_per_repeat_sale / 1000000 + (buyback_payables_current_eur_m * MAX(0, x18_exp_twosided_book)/100 + buyback_payables_current_eur_m * (x17_days_cut * x17_day_cost_central/10000 + x17_share_routed/100 * x17_channel_gain_after_costs/100))) - ((eu_revenue_eur_m * x14_incentive_claims_central/100 * process_leak_pct/100 + eu_revenue_eur_m * x5_targeting_gain_central/100) + sfse_eu_nv_contracts_2025 * Assumptions!$D$134/100 * margin_per_repeat_sale / 1000000 + (buyback_payables_current_eur_m * MAX(0, x18_exp_twosided_book)/100 + buyback_payables_current_eur_m * (x17_days_cut * x17_day_cost_central/10000 + x17_share_routed/100 * x17_channel_gain_after_costs/100))))</f>
        <v>64.6138</v>
      </c>
    </row>
    <row r="45" customFormat="false" ht="15" hidden="false" customHeight="false" outlineLevel="0" collapsed="false">
      <c r="A45" s="0" t="s">
        <v>601</v>
      </c>
      <c r="B45" s="19" t="s">
        <v>365</v>
      </c>
      <c r="C45" s="13" t="n">
        <f aca="false">(eu_revenue_eur_m * x14_incentive_claims_central/100 * process_leak_pct/100 + eu_revenue_eur_m * x5_targeting_gain_central/100) + sfse_eu_nv_contracts_2025 * upgrade_capture_uplift/100 * Assumptions!$D$135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278.731078068458</v>
      </c>
      <c r="D45" s="13" t="n">
        <f aca="false">(eu_revenue_eur_m * x14_incentive_claims_central/100 * process_leak_pct/100 + eu_revenue_eur_m * x5_targeting_gain_central/100) + sfse_eu_nv_contracts_2025 * upgrade_capture_uplift/100 * Assumptions!$E$135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327.191428068458</v>
      </c>
      <c r="E45" s="13" t="n">
        <f aca="false">ABS(D45-C45)</f>
        <v>48.46035</v>
      </c>
      <c r="F45" s="13" t="n">
        <f aca="false">ABS(((eu_revenue_eur_m * x14_incentive_claims_central/100 * process_leak_pct/100 + eu_revenue_eur_m * x5_targeting_gain_central/100) + sfse_eu_nv_contracts_2025 * upgrade_capture_uplift/100 * Assumptions!$E$135 / 1000000 + (buyback_payables_current_eur_m * MAX(0, x18_exp_twosided_book)/100 + buyback_payables_current_eur_m * (x17_days_cut * x17_day_cost_central/10000 + x17_share_routed/100 * x17_channel_gain_after_costs/100))) - ((eu_revenue_eur_m * x14_incentive_claims_central/100 * process_leak_pct/100 + eu_revenue_eur_m * x5_targeting_gain_central/100) + sfse_eu_nv_contracts_2025 * upgrade_capture_uplift/100 * Assumptions!$D$135 / 1000000 + (buyback_payables_current_eur_m * MAX(0, x18_exp_twosided_book)/100 + buyback_payables_current_eur_m * (x17_days_cut * x17_day_cost_central/10000 + x17_share_routed/100 * x17_channel_gain_after_costs/100))))</f>
        <v>48.46035</v>
      </c>
    </row>
    <row r="46" customFormat="false" ht="15" hidden="false" customHeight="false" outlineLevel="0" collapsed="false">
      <c r="A46" s="0" t="s">
        <v>524</v>
      </c>
      <c r="B46" s="19" t="s">
        <v>365</v>
      </c>
      <c r="C46"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Assumptions!$D$117/100) + curve_1y_p80_unknown/2/retained_1y_pooled * Assumptions!$D$117/100))) * x18_joint_share_book/100 + buyback_payables_current_eur_m * (x17_days_cut * x17_day_cost_central/10000 + x17_share_routed/100 * x17_channel_gain_after_costs/100))</f>
        <v>285.718169307445</v>
      </c>
      <c r="D46"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Assumptions!$E$117/100) + curve_1y_p80_unknown/2/retained_1y_pooled * Assumptions!$E$117/100))) * x18_joint_share_book/100 + buyback_payables_current_eur_m * (x17_days_cut * x17_day_cost_central/10000 + x17_share_routed/100 * x17_channel_gain_after_costs/100))</f>
        <v>310.512266829471</v>
      </c>
      <c r="E46" s="13" t="n">
        <f aca="false">ABS(D46-C46)</f>
        <v>24.7940975220264</v>
      </c>
      <c r="F46" s="13" t="n">
        <f aca="false">ABS(((eu_revenue_eur_m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 - ((eu_revenue_eur_m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v>
      </c>
    </row>
    <row r="47" customFormat="false" ht="15" hidden="false" customHeight="false" outlineLevel="0" collapsed="false">
      <c r="A47" s="0" t="s">
        <v>2314</v>
      </c>
      <c r="B47" s="19" t="s">
        <v>365</v>
      </c>
      <c r="C47"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(Assumptions!$D$685 * x17_day_cost_central/10000 + x17_share_routed/100 * x17_channel_gain_after_costs/100))</f>
        <v>289.959763068458</v>
      </c>
      <c r="D47"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(Assumptions!$E$685 * x17_day_cost_central/10000 + x17_share_routed/100 * x17_channel_gain_after_costs/100))</f>
        <v>314.426128068458</v>
      </c>
      <c r="E47" s="13" t="n">
        <f aca="false">ABS(D47-C47)</f>
        <v>24.4663650000001</v>
      </c>
      <c r="F47" s="13" t="n">
        <f aca="false">ABS(((eu_revenue_eur_m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(Assumptions!$E$685 * x17_day_cost_central/10000 + x17_share_routed/100 * x17_channel_gain_after_costs/100))) - ((eu_revenue_eur_m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(Assumptions!$D$685 * x17_day_cost_central/10000 + x17_share_routed/100 * x17_channel_gain_after_costs/100))))</f>
        <v>24.466365</v>
      </c>
    </row>
    <row r="48" customFormat="false" ht="15" hidden="false" customHeight="false" outlineLevel="0" collapsed="false">
      <c r="A48" s="0" t="s">
        <v>2317</v>
      </c>
      <c r="B48" s="19" t="s">
        <v>365</v>
      </c>
      <c r="C48"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Assumptions!$D$686/100 * x17_channel_gain_after_costs/100))</f>
        <v>293.014738068458</v>
      </c>
      <c r="D48" s="13"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Assumptions!$E$686/100 * x17_channel_gain_after_costs/100))</f>
        <v>306.616018068458</v>
      </c>
      <c r="E48" s="13" t="n">
        <f aca="false">ABS(D48-C48)</f>
        <v>13.60128</v>
      </c>
      <c r="F48" s="13" t="n">
        <f aca="false">ABS(((eu_revenue_eur_m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Assumptions!$E$686/100 * x17_channel_gain_after_costs/100))) - ((eu_revenue_eur_m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Assumptions!$D$686/100 * x17_channel_gain_after_costs/100))))</f>
        <v>13.60128</v>
      </c>
    </row>
    <row r="49" customFormat="false" ht="45.75" hidden="false" customHeight="true" outlineLevel="0" collapsed="false">
      <c r="A49" s="12" t="s">
        <v>3284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1" t="s">
        <v>3285</v>
      </c>
    </row>
    <row r="3" customFormat="false" ht="45.75" hidden="false" customHeight="true" outlineLevel="0" collapsed="false">
      <c r="A3" s="12" t="s">
        <v>3286</v>
      </c>
    </row>
    <row r="5" customFormat="false" ht="15" hidden="false" customHeight="false" outlineLevel="0" collapsed="false">
      <c r="A5" s="3" t="s">
        <v>3287</v>
      </c>
    </row>
    <row r="6" customFormat="false" ht="15" hidden="false" customHeight="false" outlineLevel="0" collapsed="false">
      <c r="A6" s="16" t="s">
        <v>3288</v>
      </c>
      <c r="B6" s="21" t="n">
        <f aca="false">eu_revenue_eur_m * x14_incentive_claims_central/100</f>
        <v>3899.6775</v>
      </c>
      <c r="C6" s="14" t="s">
        <v>3289</v>
      </c>
    </row>
    <row r="7" customFormat="false" ht="15" hidden="false" customHeight="false" outlineLevel="0" collapsed="false">
      <c r="A7" s="16" t="s">
        <v>3290</v>
      </c>
      <c r="B7" s="21" t="n">
        <f aca="false">eu_revenue_eur_m * x14_incentive_claims_central/100 * process_leak_pct/100</f>
        <v>77.99355</v>
      </c>
      <c r="C7" s="14" t="s">
        <v>510</v>
      </c>
    </row>
    <row r="8" customFormat="false" ht="15" hidden="false" customHeight="false" outlineLevel="0" collapsed="false">
      <c r="A8" s="16" t="s">
        <v>3291</v>
      </c>
      <c r="B8" s="21" t="n">
        <f aca="false">eu_revenue_eur_m * x5_targeting_gain_central/100</f>
        <v>64.070257</v>
      </c>
      <c r="C8" s="14" t="s">
        <v>3292</v>
      </c>
    </row>
    <row r="9" customFormat="false" ht="15" hidden="false" customHeight="false" outlineLevel="0" collapsed="false">
      <c r="A9" s="3" t="s">
        <v>3293</v>
      </c>
      <c r="B9" s="15" t="n">
        <f aca="false">(eu_revenue_eur_m * x14_incentive_claims_central/100 * process_leak_pct/100 + eu_revenue_eur_m * x5_targeting_gain_central/100)</f>
        <v>142.063807</v>
      </c>
    </row>
    <row r="11" customFormat="false" ht="15" hidden="false" customHeight="false" outlineLevel="0" collapsed="false">
      <c r="A11" s="16" t="s">
        <v>3294</v>
      </c>
      <c r="B11" s="21" t="n">
        <f aca="false">eu_revenue_eur_m * x14_incentive_claims_central/100 * process_leak_pct/100 * recoverable_share/100</f>
        <v>23.398065</v>
      </c>
      <c r="C11" s="14" t="s">
        <v>3295</v>
      </c>
    </row>
    <row r="13" customFormat="false" ht="15" hidden="false" customHeight="false" outlineLevel="0" collapsed="false">
      <c r="A13" s="3" t="s">
        <v>3296</v>
      </c>
    </row>
    <row r="14" customFormat="false" ht="45.75" hidden="false" customHeight="true" outlineLevel="0" collapsed="false">
      <c r="A14" s="12" t="s">
        <v>3297</v>
      </c>
    </row>
    <row r="15" customFormat="false" ht="60" hidden="false" customHeight="true" outlineLevel="0" collapsed="false">
      <c r="A15" s="12" t="s">
        <v>3298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8" min="2" style="0" width="17"/>
  </cols>
  <sheetData>
    <row r="1" customFormat="false" ht="17.35" hidden="false" customHeight="false" outlineLevel="0" collapsed="false">
      <c r="A1" s="1" t="s">
        <v>3299</v>
      </c>
    </row>
    <row r="3" customFormat="false" ht="45.75" hidden="false" customHeight="true" outlineLevel="0" collapsed="false">
      <c r="A3" s="12" t="s">
        <v>3300</v>
      </c>
    </row>
    <row r="5" customFormat="false" ht="15" hidden="false" customHeight="false" outlineLevel="0" collapsed="false">
      <c r="A5" s="3" t="s">
        <v>3301</v>
      </c>
    </row>
    <row r="6" customFormat="false" ht="15" hidden="false" customHeight="false" outlineLevel="0" collapsed="false">
      <c r="A6" s="0" t="s">
        <v>833</v>
      </c>
      <c r="B6" s="0" t="n">
        <v>0</v>
      </c>
      <c r="C6" s="0" t="n">
        <v>1</v>
      </c>
      <c r="D6" s="0" t="n">
        <v>2</v>
      </c>
      <c r="E6" s="0" t="n">
        <v>3</v>
      </c>
      <c r="F6" s="0" t="n">
        <v>4</v>
      </c>
      <c r="G6" s="0" t="n">
        <v>5</v>
      </c>
    </row>
    <row r="7" customFormat="false" ht="15" hidden="false" customHeight="false" outlineLevel="0" collapsed="false">
      <c r="A7" s="0" t="s">
        <v>3302</v>
      </c>
      <c r="B7" s="0" t="n">
        <v>100</v>
      </c>
      <c r="C7" s="0" t="n">
        <f aca="false">retained_1y_uk</f>
        <v>91</v>
      </c>
      <c r="D7" s="0" t="n">
        <f aca="false">retained_2y_uk</f>
        <v>78</v>
      </c>
      <c r="E7" s="0" t="n">
        <f aca="false">retained_3y_uk</f>
        <v>66</v>
      </c>
      <c r="F7" s="0" t="n">
        <f aca="false">retained_4y_uk</f>
        <v>59</v>
      </c>
      <c r="G7" s="0" t="n">
        <f aca="false">retained_5y_uk</f>
        <v>52</v>
      </c>
      <c r="H7" s="14" t="s">
        <v>3303</v>
      </c>
    </row>
    <row r="9" customFormat="false" ht="15" hidden="false" customHeight="false" outlineLevel="0" collapsed="false">
      <c r="A9" s="3" t="s">
        <v>3304</v>
      </c>
    </row>
    <row r="10" customFormat="false" ht="15" hidden="false" customHeight="false" outlineLevel="0" collapsed="false">
      <c r="A10" s="0" t="s">
        <v>3305</v>
      </c>
      <c r="B10" s="0" t="n">
        <f aca="false">loan_deposit_pct</f>
        <v>15</v>
      </c>
    </row>
    <row r="11" customFormat="false" ht="15" hidden="false" customHeight="false" outlineLevel="0" collapsed="false">
      <c r="A11" s="0" t="s">
        <v>3306</v>
      </c>
      <c r="B11" s="0" t="n">
        <f aca="false">loan_term_months</f>
        <v>48</v>
      </c>
    </row>
    <row r="12" customFormat="false" ht="15" hidden="false" customHeight="false" outlineLevel="0" collapsed="false">
      <c r="A12" s="0" t="s">
        <v>3307</v>
      </c>
      <c r="B12" s="0" t="n">
        <f aca="false">loan_apr</f>
        <v>7</v>
      </c>
    </row>
    <row r="13" customFormat="false" ht="15" hidden="false" customHeight="false" outlineLevel="0" collapsed="false">
      <c r="A13" s="0" t="s">
        <v>3308</v>
      </c>
      <c r="B13" s="0" t="n">
        <f aca="false">100 - loan_deposit_pct</f>
        <v>85</v>
      </c>
      <c r="C13" s="14" t="s">
        <v>3309</v>
      </c>
    </row>
    <row r="15" customFormat="false" ht="31.5" hidden="false" customHeight="true" outlineLevel="0" collapsed="false">
      <c r="A15" s="12" t="s">
        <v>3310</v>
      </c>
    </row>
    <row r="17" customFormat="false" ht="26.85" hidden="false" customHeight="false" outlineLevel="0" collapsed="false">
      <c r="A17" s="4" t="s">
        <v>2751</v>
      </c>
      <c r="B17" s="4" t="s">
        <v>3311</v>
      </c>
      <c r="C17" s="4" t="s">
        <v>3312</v>
      </c>
      <c r="D17" s="4" t="s">
        <v>3313</v>
      </c>
      <c r="E17" s="4" t="s">
        <v>3314</v>
      </c>
      <c r="F17" s="4" t="s">
        <v>3315</v>
      </c>
      <c r="G17" s="4" t="s">
        <v>3316</v>
      </c>
      <c r="H17" s="4" t="s">
        <v>3317</v>
      </c>
    </row>
    <row r="18" customFormat="false" ht="15" hidden="false" customHeight="false" outlineLevel="0" collapsed="false">
      <c r="A18" s="0" t="n">
        <v>0</v>
      </c>
      <c r="B18" s="22" t="n">
        <f aca="false">IF(A18&gt;=loan_term_months,0,(100-loan_deposit_pct)*((1+loan_apr/1200)^loan_term_months-(1+loan_apr/1200)^A18)/((1+loan_apr/1200)^loan_term_months-1))</f>
        <v>85</v>
      </c>
      <c r="C18" s="22" t="n">
        <f aca="false">INDEX($B$7:$G$7,MIN(4,INT(A18/12))+1)+(A18/12-MIN(4,INT(A18/12)))*(INDEX($B$7:$G$7,MIN(4,INT(A18/12))+2)-INDEX($B$7:$G$7,MIN(4,INT(A18/12))+1))</f>
        <v>100</v>
      </c>
      <c r="D18" s="22" t="n">
        <f aca="false">C18-B18</f>
        <v>15</v>
      </c>
      <c r="E18" s="22" t="n">
        <f aca="false">C18*(1+level_3y_p10_core/100)</f>
        <v>92.3</v>
      </c>
      <c r="F18" s="22" t="n">
        <f aca="false">E18-B18</f>
        <v>7.30000000000001</v>
      </c>
      <c r="G18" s="22" t="n">
        <f aca="false">C18*(1+level_3y_worst/100)</f>
        <v>73</v>
      </c>
      <c r="H18" s="22" t="n">
        <f aca="false">G18-B18</f>
        <v>-12</v>
      </c>
    </row>
    <row r="19" customFormat="false" ht="15" hidden="false" customHeight="false" outlineLevel="0" collapsed="false">
      <c r="A19" s="0" t="n">
        <v>1</v>
      </c>
      <c r="B19" s="22" t="n">
        <f aca="false">IF(A19&gt;=loan_term_months,0,(100-loan_deposit_pct)*((1+loan_apr/1200)^loan_term_months-(1+loan_apr/1200)^A19)/((1+loan_apr/1200)^loan_term_months-1))</f>
        <v>83.4604025370257</v>
      </c>
      <c r="C19" s="22" t="n">
        <f aca="false">INDEX($B$7:$G$7,MIN(4,INT(A19/12))+1)+(A19/12-MIN(4,INT(A19/12)))*(INDEX($B$7:$G$7,MIN(4,INT(A19/12))+2)-INDEX($B$7:$G$7,MIN(4,INT(A19/12))+1))</f>
        <v>99.25</v>
      </c>
      <c r="D19" s="22" t="n">
        <f aca="false">C19-B19</f>
        <v>15.7895974629743</v>
      </c>
      <c r="E19" s="22" t="n">
        <f aca="false">C19*(1+level_3y_p10_core/100)</f>
        <v>91.60775</v>
      </c>
      <c r="F19" s="22" t="n">
        <f aca="false">E19-B19</f>
        <v>8.14734746297432</v>
      </c>
      <c r="G19" s="22" t="n">
        <f aca="false">C19*(1+level_3y_worst/100)</f>
        <v>72.4525</v>
      </c>
      <c r="H19" s="22" t="n">
        <f aca="false">G19-B19</f>
        <v>-11.0079025370257</v>
      </c>
    </row>
    <row r="20" customFormat="false" ht="15" hidden="false" customHeight="false" outlineLevel="0" collapsed="false">
      <c r="A20" s="0" t="n">
        <v>2</v>
      </c>
      <c r="B20" s="22" t="n">
        <f aca="false">IF(A20&gt;=loan_term_months,0,(100-loan_deposit_pct)*((1+loan_apr/1200)^loan_term_months-(1+loan_apr/1200)^A20)/((1+loan_apr/1200)^loan_term_months-1))</f>
        <v>81.9118240888507</v>
      </c>
      <c r="C20" s="22" t="n">
        <f aca="false">INDEX($B$7:$G$7,MIN(4,INT(A20/12))+1)+(A20/12-MIN(4,INT(A20/12)))*(INDEX($B$7:$G$7,MIN(4,INT(A20/12))+2)-INDEX($B$7:$G$7,MIN(4,INT(A20/12))+1))</f>
        <v>98.5</v>
      </c>
      <c r="D20" s="22" t="n">
        <f aca="false">C20-B20</f>
        <v>16.5881759111493</v>
      </c>
      <c r="E20" s="22" t="n">
        <f aca="false">C20*(1+level_3y_p10_core/100)</f>
        <v>90.9155</v>
      </c>
      <c r="F20" s="22" t="n">
        <f aca="false">E20-B20</f>
        <v>9.0036759111493</v>
      </c>
      <c r="G20" s="22" t="n">
        <f aca="false">C20*(1+level_3y_worst/100)</f>
        <v>71.905</v>
      </c>
      <c r="H20" s="22" t="n">
        <f aca="false">G20-B20</f>
        <v>-10.0068240888507</v>
      </c>
    </row>
    <row r="21" customFormat="false" ht="15" hidden="false" customHeight="false" outlineLevel="0" collapsed="false">
      <c r="A21" s="0" t="n">
        <v>3</v>
      </c>
      <c r="B21" s="22" t="n">
        <f aca="false">IF(A21&gt;=loan_term_months,0,(100-loan_deposit_pct)*((1+loan_apr/1200)^loan_term_months-(1+loan_apr/1200)^A21)/((1+loan_apr/1200)^loan_term_months-1))</f>
        <v>80.3542122663947</v>
      </c>
      <c r="C21" s="22" t="n">
        <f aca="false">INDEX($B$7:$G$7,MIN(4,INT(A21/12))+1)+(A21/12-MIN(4,INT(A21/12)))*(INDEX($B$7:$G$7,MIN(4,INT(A21/12))+2)-INDEX($B$7:$G$7,MIN(4,INT(A21/12))+1))</f>
        <v>97.75</v>
      </c>
      <c r="D21" s="22" t="n">
        <f aca="false">C21-B21</f>
        <v>17.3957877336053</v>
      </c>
      <c r="E21" s="22" t="n">
        <f aca="false">C21*(1+level_3y_p10_core/100)</f>
        <v>90.22325</v>
      </c>
      <c r="F21" s="22" t="n">
        <f aca="false">E21-B21</f>
        <v>9.86903773360535</v>
      </c>
      <c r="G21" s="22" t="n">
        <f aca="false">C21*(1+level_3y_worst/100)</f>
        <v>71.3575</v>
      </c>
      <c r="H21" s="22" t="n">
        <f aca="false">G21-B21</f>
        <v>-8.99671226639465</v>
      </c>
    </row>
    <row r="22" customFormat="false" ht="15" hidden="false" customHeight="false" outlineLevel="0" collapsed="false">
      <c r="A22" s="0" t="n">
        <v>4</v>
      </c>
      <c r="B22" s="22" t="n">
        <f aca="false">IF(A22&gt;=loan_term_months,0,(100-loan_deposit_pct)*((1+loan_apr/1200)^loan_term_months-(1+loan_apr/1200)^A22)/((1+loan_apr/1200)^loan_term_months-1))</f>
        <v>78.7875143749743</v>
      </c>
      <c r="C22" s="22" t="n">
        <f aca="false">INDEX($B$7:$G$7,MIN(4,INT(A22/12))+1)+(A22/12-MIN(4,INT(A22/12)))*(INDEX($B$7:$G$7,MIN(4,INT(A22/12))+2)-INDEX($B$7:$G$7,MIN(4,INT(A22/12))+1))</f>
        <v>97</v>
      </c>
      <c r="D22" s="22" t="n">
        <f aca="false">C22-B22</f>
        <v>18.2124856250257</v>
      </c>
      <c r="E22" s="22" t="n">
        <f aca="false">C22*(1+level_3y_p10_core/100)</f>
        <v>89.531</v>
      </c>
      <c r="F22" s="22" t="n">
        <f aca="false">E22-B22</f>
        <v>10.7434856250257</v>
      </c>
      <c r="G22" s="22" t="n">
        <f aca="false">C22*(1+level_3y_worst/100)</f>
        <v>70.81</v>
      </c>
      <c r="H22" s="22" t="n">
        <f aca="false">G22-B22</f>
        <v>-7.97751437497433</v>
      </c>
    </row>
    <row r="23" customFormat="false" ht="15" hidden="false" customHeight="false" outlineLevel="0" collapsed="false">
      <c r="A23" s="0" t="n">
        <v>5</v>
      </c>
      <c r="B23" s="22" t="n">
        <f aca="false">IF(A23&gt;=loan_term_months,0,(100-loan_deposit_pct)*((1+loan_apr/1200)^loan_term_months-(1+loan_apr/1200)^A23)/((1+loan_apr/1200)^loan_term_months-1))</f>
        <v>77.2116774125207</v>
      </c>
      <c r="C23" s="22" t="n">
        <f aca="false">INDEX($B$7:$G$7,MIN(4,INT(A23/12))+1)+(A23/12-MIN(4,INT(A23/12)))*(INDEX($B$7:$G$7,MIN(4,INT(A23/12))+2)-INDEX($B$7:$G$7,MIN(4,INT(A23/12))+1))</f>
        <v>96.25</v>
      </c>
      <c r="D23" s="22" t="n">
        <f aca="false">C23-B23</f>
        <v>19.0383225874793</v>
      </c>
      <c r="E23" s="22" t="n">
        <f aca="false">C23*(1+level_3y_p10_core/100)</f>
        <v>88.83875</v>
      </c>
      <c r="F23" s="22" t="n">
        <f aca="false">E23-B23</f>
        <v>11.6270725874793</v>
      </c>
      <c r="G23" s="22" t="n">
        <f aca="false">C23*(1+level_3y_worst/100)</f>
        <v>70.2625</v>
      </c>
      <c r="H23" s="22" t="n">
        <f aca="false">G23-B23</f>
        <v>-6.9491774125207</v>
      </c>
    </row>
    <row r="24" customFormat="false" ht="15" hidden="false" customHeight="false" outlineLevel="0" collapsed="false">
      <c r="A24" s="0" t="n">
        <v>6</v>
      </c>
      <c r="B24" s="22" t="n">
        <f aca="false">IF(A24&gt;=loan_term_months,0,(100-loan_deposit_pct)*((1+loan_apr/1200)^loan_term_months-(1+loan_apr/1200)^A24)/((1+loan_apr/1200)^loan_term_months-1))</f>
        <v>75.6266480677861</v>
      </c>
      <c r="C24" s="22" t="n">
        <f aca="false">INDEX($B$7:$G$7,MIN(4,INT(A24/12))+1)+(A24/12-MIN(4,INT(A24/12)))*(INDEX($B$7:$G$7,MIN(4,INT(A24/12))+2)-INDEX($B$7:$G$7,MIN(4,INT(A24/12))+1))</f>
        <v>95.5</v>
      </c>
      <c r="D24" s="22" t="n">
        <f aca="false">C24-B24</f>
        <v>19.8733519322139</v>
      </c>
      <c r="E24" s="22" t="n">
        <f aca="false">C24*(1+level_3y_p10_core/100)</f>
        <v>88.1465</v>
      </c>
      <c r="F24" s="22" t="n">
        <f aca="false">E24-B24</f>
        <v>12.5198519322139</v>
      </c>
      <c r="G24" s="22" t="n">
        <f aca="false">C24*(1+level_3y_worst/100)</f>
        <v>69.715</v>
      </c>
      <c r="H24" s="22" t="n">
        <f aca="false">G24-B24</f>
        <v>-5.91164806778609</v>
      </c>
    </row>
    <row r="25" customFormat="false" ht="15" hidden="false" customHeight="false" outlineLevel="0" collapsed="false">
      <c r="A25" s="0" t="n">
        <v>7</v>
      </c>
      <c r="B25" s="22" t="n">
        <f aca="false">IF(A25&gt;=loan_term_months,0,(100-loan_deposit_pct)*((1+loan_apr/1200)^loan_term_months-(1+loan_apr/1200)^A25)/((1+loan_apr/1200)^loan_term_months-1))</f>
        <v>74.0323727185406</v>
      </c>
      <c r="C25" s="22" t="n">
        <f aca="false">INDEX($B$7:$G$7,MIN(4,INT(A25/12))+1)+(A25/12-MIN(4,INT(A25/12)))*(INDEX($B$7:$G$7,MIN(4,INT(A25/12))+2)-INDEX($B$7:$G$7,MIN(4,INT(A25/12))+1))</f>
        <v>94.75</v>
      </c>
      <c r="D25" s="22" t="n">
        <f aca="false">C25-B25</f>
        <v>20.7176272814594</v>
      </c>
      <c r="E25" s="22" t="n">
        <f aca="false">C25*(1+level_3y_p10_core/100)</f>
        <v>87.45425</v>
      </c>
      <c r="F25" s="22" t="n">
        <f aca="false">E25-B25</f>
        <v>13.4218772814594</v>
      </c>
      <c r="G25" s="22" t="n">
        <f aca="false">C25*(1+level_3y_worst/100)</f>
        <v>69.1675</v>
      </c>
      <c r="H25" s="22" t="n">
        <f aca="false">G25-B25</f>
        <v>-4.86487271854055</v>
      </c>
    </row>
    <row r="26" customFormat="false" ht="15" hidden="false" customHeight="false" outlineLevel="0" collapsed="false">
      <c r="A26" s="0" t="n">
        <v>8</v>
      </c>
      <c r="B26" s="22" t="n">
        <f aca="false">IF(A26&gt;=loan_term_months,0,(100-loan_deposit_pct)*((1+loan_apr/1200)^loan_term_months-(1+loan_apr/1200)^A26)/((1+loan_apr/1200)^loan_term_months-1))</f>
        <v>72.4287974297577</v>
      </c>
      <c r="C26" s="22" t="n">
        <f aca="false">INDEX($B$7:$G$7,MIN(4,INT(A26/12))+1)+(A26/12-MIN(4,INT(A26/12)))*(INDEX($B$7:$G$7,MIN(4,INT(A26/12))+2)-INDEX($B$7:$G$7,MIN(4,INT(A26/12))+1))</f>
        <v>94</v>
      </c>
      <c r="D26" s="22" t="n">
        <f aca="false">C26-B26</f>
        <v>21.5712025702423</v>
      </c>
      <c r="E26" s="22" t="n">
        <f aca="false">C26*(1+level_3y_p10_core/100)</f>
        <v>86.762</v>
      </c>
      <c r="F26" s="22" t="n">
        <f aca="false">E26-B26</f>
        <v>14.3332025702423</v>
      </c>
      <c r="G26" s="22" t="n">
        <f aca="false">C26*(1+level_3y_worst/100)</f>
        <v>68.62</v>
      </c>
      <c r="H26" s="22" t="n">
        <f aca="false">G26-B26</f>
        <v>-3.8087974297577</v>
      </c>
    </row>
    <row r="27" customFormat="false" ht="15" hidden="false" customHeight="false" outlineLevel="0" collapsed="false">
      <c r="A27" s="0" t="n">
        <v>9</v>
      </c>
      <c r="B27" s="22" t="n">
        <f aca="false">IF(A27&gt;=loan_term_months,0,(100-loan_deposit_pct)*((1+loan_apr/1200)^loan_term_months-(1+loan_apr/1200)^A27)/((1+loan_apr/1200)^loan_term_months-1))</f>
        <v>70.8158679517903</v>
      </c>
      <c r="C27" s="22" t="n">
        <f aca="false">INDEX($B$7:$G$7,MIN(4,INT(A27/12))+1)+(A27/12-MIN(4,INT(A27/12)))*(INDEX($B$7:$G$7,MIN(4,INT(A27/12))+2)-INDEX($B$7:$G$7,MIN(4,INT(A27/12))+1))</f>
        <v>93.25</v>
      </c>
      <c r="D27" s="22" t="n">
        <f aca="false">C27-B27</f>
        <v>22.4341320482097</v>
      </c>
      <c r="E27" s="22" t="n">
        <f aca="false">C27*(1+level_3y_p10_core/100)</f>
        <v>86.06975</v>
      </c>
      <c r="F27" s="22" t="n">
        <f aca="false">E27-B27</f>
        <v>15.2538820482097</v>
      </c>
      <c r="G27" s="22" t="n">
        <f aca="false">C27*(1+level_3y_worst/100)</f>
        <v>68.0725</v>
      </c>
      <c r="H27" s="22" t="n">
        <f aca="false">G27-B27</f>
        <v>-2.74336795179029</v>
      </c>
    </row>
    <row r="28" customFormat="false" ht="15" hidden="false" customHeight="false" outlineLevel="0" collapsed="false">
      <c r="A28" s="0" t="n">
        <v>10</v>
      </c>
      <c r="B28" s="22" t="n">
        <f aca="false">IF(A28&gt;=loan_term_months,0,(100-loan_deposit_pct)*((1+loan_apr/1200)^loan_term_months-(1+loan_apr/1200)^A28)/((1+loan_apr/1200)^loan_term_months-1))</f>
        <v>69.1935297185348</v>
      </c>
      <c r="C28" s="22" t="n">
        <f aca="false">INDEX($B$7:$G$7,MIN(4,INT(A28/12))+1)+(A28/12-MIN(4,INT(A28/12)))*(INDEX($B$7:$G$7,MIN(4,INT(A28/12))+2)-INDEX($B$7:$G$7,MIN(4,INT(A28/12))+1))</f>
        <v>92.5</v>
      </c>
      <c r="D28" s="22" t="n">
        <f aca="false">C28-B28</f>
        <v>23.3064702814652</v>
      </c>
      <c r="E28" s="22" t="n">
        <f aca="false">C28*(1+level_3y_p10_core/100)</f>
        <v>85.3775</v>
      </c>
      <c r="F28" s="22" t="n">
        <f aca="false">E28-B28</f>
        <v>16.1839702814652</v>
      </c>
      <c r="G28" s="22" t="n">
        <f aca="false">C28*(1+level_3y_worst/100)</f>
        <v>67.525</v>
      </c>
      <c r="H28" s="22" t="n">
        <f aca="false">G28-B28</f>
        <v>-1.6685297185348</v>
      </c>
    </row>
    <row r="29" customFormat="false" ht="15" hidden="false" customHeight="false" outlineLevel="0" collapsed="false">
      <c r="A29" s="0" t="n">
        <v>11</v>
      </c>
      <c r="B29" s="22" t="n">
        <f aca="false">IF(A29&gt;=loan_term_months,0,(100-loan_deposit_pct)*((1+loan_apr/1200)^loan_term_months-(1+loan_apr/1200)^A29)/((1+loan_apr/1200)^loan_term_months-1))</f>
        <v>67.5617278455852</v>
      </c>
      <c r="C29" s="22" t="n">
        <f aca="false">INDEX($B$7:$G$7,MIN(4,INT(A29/12))+1)+(A29/12-MIN(4,INT(A29/12)))*(INDEX($B$7:$G$7,MIN(4,INT(A29/12))+2)-INDEX($B$7:$G$7,MIN(4,INT(A29/12))+1))</f>
        <v>91.75</v>
      </c>
      <c r="D29" s="22" t="n">
        <f aca="false">C29-B29</f>
        <v>24.1882721544148</v>
      </c>
      <c r="E29" s="22" t="n">
        <f aca="false">C29*(1+level_3y_p10_core/100)</f>
        <v>84.68525</v>
      </c>
      <c r="F29" s="22" t="n">
        <f aca="false">E29-B29</f>
        <v>17.1235221544148</v>
      </c>
      <c r="G29" s="22" t="n">
        <f aca="false">C29*(1+level_3y_worst/100)</f>
        <v>66.9775</v>
      </c>
      <c r="H29" s="22" t="n">
        <f aca="false">G29-B29</f>
        <v>-0.584227845585247</v>
      </c>
    </row>
    <row r="30" customFormat="false" ht="15" hidden="false" customHeight="false" outlineLevel="0" collapsed="false">
      <c r="A30" s="0" t="n">
        <v>12</v>
      </c>
      <c r="B30" s="22" t="n">
        <f aca="false">IF(A30&gt;=loan_term_months,0,(100-loan_deposit_pct)*((1+loan_apr/1200)^loan_term_months-(1+loan_apr/1200)^A30)/((1+loan_apr/1200)^loan_term_months-1))</f>
        <v>65.9204071283769</v>
      </c>
      <c r="C30" s="22" t="n">
        <f aca="false">INDEX($B$7:$G$7,MIN(4,INT(A30/12))+1)+(A30/12-MIN(4,INT(A30/12)))*(INDEX($B$7:$G$7,MIN(4,INT(A30/12))+2)-INDEX($B$7:$G$7,MIN(4,INT(A30/12))+1))</f>
        <v>91</v>
      </c>
      <c r="D30" s="22" t="n">
        <f aca="false">C30-B30</f>
        <v>25.0795928716231</v>
      </c>
      <c r="E30" s="22" t="n">
        <f aca="false">C30*(1+level_3y_p10_core/100)</f>
        <v>83.993</v>
      </c>
      <c r="F30" s="22" t="n">
        <f aca="false">E30-B30</f>
        <v>18.0725928716231</v>
      </c>
      <c r="G30" s="22" t="n">
        <f aca="false">C30*(1+level_3y_worst/100)</f>
        <v>66.43</v>
      </c>
      <c r="H30" s="22" t="n">
        <f aca="false">G30-B30</f>
        <v>0.509592871623127</v>
      </c>
    </row>
    <row r="31" customFormat="false" ht="15" hidden="false" customHeight="false" outlineLevel="0" collapsed="false">
      <c r="A31" s="0" t="n">
        <v>13</v>
      </c>
      <c r="B31" s="22" t="n">
        <f aca="false">IF(A31&gt;=loan_term_months,0,(100-loan_deposit_pct)*((1+loan_apr/1200)^loan_term_months-(1+loan_apr/1200)^A31)/((1+loan_apr/1200)^loan_term_months-1))</f>
        <v>64.2695120403181</v>
      </c>
      <c r="C31" s="22" t="n">
        <f aca="false">INDEX($B$7:$G$7,MIN(4,INT(A31/12))+1)+(A31/12-MIN(4,INT(A31/12)))*(INDEX($B$7:$G$7,MIN(4,INT(A31/12))+2)-INDEX($B$7:$G$7,MIN(4,INT(A31/12))+1))</f>
        <v>89.9166666666667</v>
      </c>
      <c r="D31" s="22" t="n">
        <f aca="false">C31-B31</f>
        <v>25.6471546263486</v>
      </c>
      <c r="E31" s="22" t="n">
        <f aca="false">C31*(1+level_3y_p10_core/100)</f>
        <v>82.9930833333334</v>
      </c>
      <c r="F31" s="22" t="n">
        <f aca="false">E31-B31</f>
        <v>18.7235712930153</v>
      </c>
      <c r="G31" s="22" t="n">
        <f aca="false">C31*(1+level_3y_worst/100)</f>
        <v>65.6391666666667</v>
      </c>
      <c r="H31" s="22" t="n">
        <f aca="false">G31-B31</f>
        <v>1.36965462634862</v>
      </c>
    </row>
    <row r="32" customFormat="false" ht="15" hidden="false" customHeight="false" outlineLevel="0" collapsed="false">
      <c r="A32" s="0" t="n">
        <v>14</v>
      </c>
      <c r="B32" s="22" t="n">
        <f aca="false">IF(A32&gt;=loan_term_months,0,(100-loan_deposit_pct)*((1+loan_apr/1200)^loan_term_months-(1+loan_apr/1200)^A32)/((1+loan_apr/1200)^loan_term_months-1))</f>
        <v>62.6089867309123</v>
      </c>
      <c r="C32" s="22" t="n">
        <f aca="false">INDEX($B$7:$G$7,MIN(4,INT(A32/12))+1)+(A32/12-MIN(4,INT(A32/12)))*(INDEX($B$7:$G$7,MIN(4,INT(A32/12))+2)-INDEX($B$7:$G$7,MIN(4,INT(A32/12))+1))</f>
        <v>88.8333333333333</v>
      </c>
      <c r="D32" s="22" t="n">
        <f aca="false">C32-B32</f>
        <v>26.224346602421</v>
      </c>
      <c r="E32" s="22" t="n">
        <f aca="false">C32*(1+level_3y_p10_core/100)</f>
        <v>81.9931666666667</v>
      </c>
      <c r="F32" s="22" t="n">
        <f aca="false">E32-B32</f>
        <v>19.3841799357544</v>
      </c>
      <c r="G32" s="22" t="n">
        <f aca="false">C32*(1+level_3y_worst/100)</f>
        <v>64.8483333333333</v>
      </c>
      <c r="H32" s="22" t="n">
        <f aca="false">G32-B32</f>
        <v>2.23934660242102</v>
      </c>
    </row>
    <row r="33" customFormat="false" ht="15" hidden="false" customHeight="false" outlineLevel="0" collapsed="false">
      <c r="A33" s="0" t="n">
        <v>15</v>
      </c>
      <c r="B33" s="22" t="n">
        <f aca="false">IF(A33&gt;=loan_term_months,0,(100-loan_deposit_pct)*((1+loan_apr/1200)^loan_term_months-(1+loan_apr/1200)^A33)/((1+loan_apr/1200)^loan_term_months-1))</f>
        <v>60.9387750238683</v>
      </c>
      <c r="C33" s="22" t="n">
        <f aca="false">INDEX($B$7:$G$7,MIN(4,INT(A33/12))+1)+(A33/12-MIN(4,INT(A33/12)))*(INDEX($B$7:$G$7,MIN(4,INT(A33/12))+2)-INDEX($B$7:$G$7,MIN(4,INT(A33/12))+1))</f>
        <v>87.75</v>
      </c>
      <c r="D33" s="22" t="n">
        <f aca="false">C33-B33</f>
        <v>26.8112249761317</v>
      </c>
      <c r="E33" s="22" t="n">
        <f aca="false">C33*(1+level_3y_p10_core/100)</f>
        <v>80.99325</v>
      </c>
      <c r="F33" s="22" t="n">
        <f aca="false">E33-B33</f>
        <v>20.0544749761317</v>
      </c>
      <c r="G33" s="22" t="n">
        <f aca="false">C33*(1+level_3y_worst/100)</f>
        <v>64.0575</v>
      </c>
      <c r="H33" s="22" t="n">
        <f aca="false">G33-B33</f>
        <v>3.11872497613174</v>
      </c>
    </row>
    <row r="34" customFormat="false" ht="15" hidden="false" customHeight="false" outlineLevel="0" collapsed="false">
      <c r="A34" s="0" t="n">
        <v>16</v>
      </c>
      <c r="B34" s="22" t="n">
        <f aca="false">IF(A34&gt;=loan_term_months,0,(100-loan_deposit_pct)*((1+loan_apr/1200)^loan_term_months-(1+loan_apr/1200)^A34)/((1+loan_apr/1200)^loan_term_months-1))</f>
        <v>59.2588204151999</v>
      </c>
      <c r="C34" s="22" t="n">
        <f aca="false">INDEX($B$7:$G$7,MIN(4,INT(A34/12))+1)+(A34/12-MIN(4,INT(A34/12)))*(INDEX($B$7:$G$7,MIN(4,INT(A34/12))+2)-INDEX($B$7:$G$7,MIN(4,INT(A34/12))+1))</f>
        <v>86.6666666666667</v>
      </c>
      <c r="D34" s="22" t="n">
        <f aca="false">C34-B34</f>
        <v>27.4078462514668</v>
      </c>
      <c r="E34" s="22" t="n">
        <f aca="false">C34*(1+level_3y_p10_core/100)</f>
        <v>79.9933333333333</v>
      </c>
      <c r="F34" s="22" t="n">
        <f aca="false">E34-B34</f>
        <v>20.7345129181335</v>
      </c>
      <c r="G34" s="22" t="n">
        <f aca="false">C34*(1+level_3y_worst/100)</f>
        <v>63.2666666666667</v>
      </c>
      <c r="H34" s="22" t="n">
        <f aca="false">G34-B34</f>
        <v>4.00784625146678</v>
      </c>
    </row>
    <row r="35" customFormat="false" ht="15" hidden="false" customHeight="false" outlineLevel="0" collapsed="false">
      <c r="A35" s="0" t="n">
        <v>17</v>
      </c>
      <c r="B35" s="22" t="n">
        <f aca="false">IF(A35&gt;=loan_term_months,0,(100-loan_deposit_pct)*((1+loan_apr/1200)^loan_term_months-(1+loan_apr/1200)^A35)/((1+loan_apr/1200)^loan_term_months-1))</f>
        <v>57.5690660713142</v>
      </c>
      <c r="C35" s="22" t="n">
        <f aca="false">INDEX($B$7:$G$7,MIN(4,INT(A35/12))+1)+(A35/12-MIN(4,INT(A35/12)))*(INDEX($B$7:$G$7,MIN(4,INT(A35/12))+2)-INDEX($B$7:$G$7,MIN(4,INT(A35/12))+1))</f>
        <v>85.5833333333333</v>
      </c>
      <c r="D35" s="22" t="n">
        <f aca="false">C35-B35</f>
        <v>28.0142672620191</v>
      </c>
      <c r="E35" s="22" t="n">
        <f aca="false">C35*(1+level_3y_p10_core/100)</f>
        <v>78.9934166666667</v>
      </c>
      <c r="F35" s="22" t="n">
        <f aca="false">E35-B35</f>
        <v>21.4243505953524</v>
      </c>
      <c r="G35" s="22" t="n">
        <f aca="false">C35*(1+level_3y_worst/100)</f>
        <v>62.4758333333333</v>
      </c>
      <c r="H35" s="22" t="n">
        <f aca="false">G35-B35</f>
        <v>4.90676726201911</v>
      </c>
    </row>
    <row r="36" customFormat="false" ht="15" hidden="false" customHeight="false" outlineLevel="0" collapsed="false">
      <c r="A36" s="0" t="n">
        <v>18</v>
      </c>
      <c r="B36" s="22" t="n">
        <f aca="false">IF(A36&gt;=loan_term_months,0,(100-loan_deposit_pct)*((1+loan_apr/1200)^loan_term_months-(1+loan_apr/1200)^A36)/((1+loan_apr/1200)^loan_term_months-1))</f>
        <v>55.8694548270893</v>
      </c>
      <c r="C36" s="22" t="n">
        <f aca="false">INDEX($B$7:$G$7,MIN(4,INT(A36/12))+1)+(A36/12-MIN(4,INT(A36/12)))*(INDEX($B$7:$G$7,MIN(4,INT(A36/12))+2)-INDEX($B$7:$G$7,MIN(4,INT(A36/12))+1))</f>
        <v>84.5</v>
      </c>
      <c r="D36" s="22" t="n">
        <f aca="false">C36-B36</f>
        <v>28.6305451729107</v>
      </c>
      <c r="E36" s="22" t="n">
        <f aca="false">C36*(1+level_3y_p10_core/100)</f>
        <v>77.9935</v>
      </c>
      <c r="F36" s="22" t="n">
        <f aca="false">E36-B36</f>
        <v>22.1240451729107</v>
      </c>
      <c r="G36" s="22" t="n">
        <f aca="false">C36*(1+level_3y_worst/100)</f>
        <v>61.685</v>
      </c>
      <c r="H36" s="22" t="n">
        <f aca="false">G36-B36</f>
        <v>5.81554517291074</v>
      </c>
    </row>
    <row r="37" customFormat="false" ht="15" hidden="false" customHeight="false" outlineLevel="0" collapsed="false">
      <c r="A37" s="0" t="n">
        <v>19</v>
      </c>
      <c r="B37" s="22" t="n">
        <f aca="false">IF(A37&gt;=loan_term_months,0,(100-loan_deposit_pct)*((1+loan_apr/1200)^loan_term_months-(1+loan_apr/1200)^A37)/((1+loan_apr/1200)^loan_term_months-1))</f>
        <v>54.1599291839396</v>
      </c>
      <c r="C37" s="22" t="n">
        <f aca="false">INDEX($B$7:$G$7,MIN(4,INT(A37/12))+1)+(A37/12-MIN(4,INT(A37/12)))*(INDEX($B$7:$G$7,MIN(4,INT(A37/12))+2)-INDEX($B$7:$G$7,MIN(4,INT(A37/12))+1))</f>
        <v>83.4166666666667</v>
      </c>
      <c r="D37" s="22" t="n">
        <f aca="false">C37-B37</f>
        <v>29.2567374827271</v>
      </c>
      <c r="E37" s="22" t="n">
        <f aca="false">C37*(1+level_3y_p10_core/100)</f>
        <v>76.9935833333334</v>
      </c>
      <c r="F37" s="22" t="n">
        <f aca="false">E37-B37</f>
        <v>22.8336541493937</v>
      </c>
      <c r="G37" s="22" t="n">
        <f aca="false">C37*(1+level_3y_worst/100)</f>
        <v>60.8941666666667</v>
      </c>
      <c r="H37" s="22" t="n">
        <f aca="false">G37-B37</f>
        <v>6.73423748272706</v>
      </c>
    </row>
    <row r="38" customFormat="false" ht="15" hidden="false" customHeight="false" outlineLevel="0" collapsed="false">
      <c r="A38" s="0" t="n">
        <v>20</v>
      </c>
      <c r="B38" s="22" t="n">
        <f aca="false">IF(A38&gt;=loan_term_months,0,(100-loan_deposit_pct)*((1+loan_apr/1200)^loan_term_months-(1+loan_apr/1200)^A38)/((1+loan_apr/1200)^loan_term_months-1))</f>
        <v>52.4404313078716</v>
      </c>
      <c r="C38" s="22" t="n">
        <f aca="false">INDEX($B$7:$G$7,MIN(4,INT(A38/12))+1)+(A38/12-MIN(4,INT(A38/12)))*(INDEX($B$7:$G$7,MIN(4,INT(A38/12))+2)-INDEX($B$7:$G$7,MIN(4,INT(A38/12))+1))</f>
        <v>82.3333333333333</v>
      </c>
      <c r="D38" s="22" t="n">
        <f aca="false">C38-B38</f>
        <v>29.8929020254617</v>
      </c>
      <c r="E38" s="22" t="n">
        <f aca="false">C38*(1+level_3y_p10_core/100)</f>
        <v>75.9936666666667</v>
      </c>
      <c r="F38" s="22" t="n">
        <f aca="false">E38-B38</f>
        <v>23.5532353587951</v>
      </c>
      <c r="G38" s="22" t="n">
        <f aca="false">C38*(1+level_3y_worst/100)</f>
        <v>60.1033333333333</v>
      </c>
      <c r="H38" s="22" t="n">
        <f aca="false">G38-B38</f>
        <v>7.66290202546173</v>
      </c>
    </row>
    <row r="39" customFormat="false" ht="15" hidden="false" customHeight="false" outlineLevel="0" collapsed="false">
      <c r="A39" s="0" t="n">
        <v>21</v>
      </c>
      <c r="B39" s="22" t="n">
        <f aca="false">IF(A39&gt;=loan_term_months,0,(100-loan_deposit_pct)*((1+loan_apr/1200)^loan_term_months-(1+loan_apr/1200)^A39)/((1+loan_apr/1200)^loan_term_months-1))</f>
        <v>50.7109030275266</v>
      </c>
      <c r="C39" s="22" t="n">
        <f aca="false">INDEX($B$7:$G$7,MIN(4,INT(A39/12))+1)+(A39/12-MIN(4,INT(A39/12)))*(INDEX($B$7:$G$7,MIN(4,INT(A39/12))+2)-INDEX($B$7:$G$7,MIN(4,INT(A39/12))+1))</f>
        <v>81.25</v>
      </c>
      <c r="D39" s="22" t="n">
        <f aca="false">C39-B39</f>
        <v>30.5390969724735</v>
      </c>
      <c r="E39" s="22" t="n">
        <f aca="false">C39*(1+level_3y_p10_core/100)</f>
        <v>74.99375</v>
      </c>
      <c r="F39" s="22" t="n">
        <f aca="false">E39-B39</f>
        <v>24.2828469724735</v>
      </c>
      <c r="G39" s="22" t="n">
        <f aca="false">C39*(1+level_3y_worst/100)</f>
        <v>59.3125</v>
      </c>
      <c r="H39" s="22" t="n">
        <f aca="false">G39-B39</f>
        <v>8.60159697247345</v>
      </c>
    </row>
    <row r="40" customFormat="false" ht="15" hidden="false" customHeight="false" outlineLevel="0" collapsed="false">
      <c r="A40" s="0" t="n">
        <v>22</v>
      </c>
      <c r="B40" s="22" t="n">
        <f aca="false">IF(A40&gt;=loan_term_months,0,(100-loan_deposit_pct)*((1+loan_apr/1200)^loan_term_months-(1+loan_apr/1200)^A40)/((1+loan_apr/1200)^loan_term_months-1))</f>
        <v>48.9712858322128</v>
      </c>
      <c r="C40" s="22" t="n">
        <f aca="false">INDEX($B$7:$G$7,MIN(4,INT(A40/12))+1)+(A40/12-MIN(4,INT(A40/12)))*(INDEX($B$7:$G$7,MIN(4,INT(A40/12))+2)-INDEX($B$7:$G$7,MIN(4,INT(A40/12))+1))</f>
        <v>80.1666666666667</v>
      </c>
      <c r="D40" s="22" t="n">
        <f aca="false">C40-B40</f>
        <v>31.1953808344539</v>
      </c>
      <c r="E40" s="22" t="n">
        <f aca="false">C40*(1+level_3y_p10_core/100)</f>
        <v>73.9938333333333</v>
      </c>
      <c r="F40" s="22" t="n">
        <f aca="false">E40-B40</f>
        <v>25.0225475011205</v>
      </c>
      <c r="G40" s="22" t="n">
        <f aca="false">C40*(1+level_3y_worst/100)</f>
        <v>58.5216666666667</v>
      </c>
      <c r="H40" s="22" t="n">
        <f aca="false">G40-B40</f>
        <v>9.55038083445386</v>
      </c>
    </row>
    <row r="41" customFormat="false" ht="15" hidden="false" customHeight="false" outlineLevel="0" collapsed="false">
      <c r="A41" s="0" t="n">
        <v>23</v>
      </c>
      <c r="B41" s="22" t="n">
        <f aca="false">IF(A41&gt;=loan_term_months,0,(100-loan_deposit_pct)*((1+loan_apr/1200)^loan_term_months-(1+loan_apr/1200)^A41)/((1+loan_apr/1200)^loan_term_months-1))</f>
        <v>47.2215208699264</v>
      </c>
      <c r="C41" s="22" t="n">
        <f aca="false">INDEX($B$7:$G$7,MIN(4,INT(A41/12))+1)+(A41/12-MIN(4,INT(A41/12)))*(INDEX($B$7:$G$7,MIN(4,INT(A41/12))+2)-INDEX($B$7:$G$7,MIN(4,INT(A41/12))+1))</f>
        <v>79.0833333333333</v>
      </c>
      <c r="D41" s="22" t="n">
        <f aca="false">C41-B41</f>
        <v>31.8618124634069</v>
      </c>
      <c r="E41" s="22" t="n">
        <f aca="false">C41*(1+level_3y_p10_core/100)</f>
        <v>72.9939166666667</v>
      </c>
      <c r="F41" s="22" t="n">
        <f aca="false">E41-B41</f>
        <v>25.7723957967402</v>
      </c>
      <c r="G41" s="22" t="n">
        <f aca="false">C41*(1+level_3y_worst/100)</f>
        <v>57.7308333333333</v>
      </c>
      <c r="H41" s="22" t="n">
        <f aca="false">G41-B41</f>
        <v>10.5093124634069</v>
      </c>
    </row>
    <row r="42" customFormat="false" ht="15" hidden="false" customHeight="false" outlineLevel="0" collapsed="false">
      <c r="A42" s="0" t="n">
        <v>24</v>
      </c>
      <c r="B42" s="22" t="n">
        <f aca="false">IF(A42&gt;=loan_term_months,0,(100-loan_deposit_pct)*((1+loan_apr/1200)^loan_term_months-(1+loan_apr/1200)^A42)/((1+loan_apr/1200)^loan_term_months-1))</f>
        <v>45.46154894536</v>
      </c>
      <c r="C42" s="22" t="n">
        <f aca="false">INDEX($B$7:$G$7,MIN(4,INT(A42/12))+1)+(A42/12-MIN(4,INT(A42/12)))*(INDEX($B$7:$G$7,MIN(4,INT(A42/12))+2)-INDEX($B$7:$G$7,MIN(4,INT(A42/12))+1))</f>
        <v>78</v>
      </c>
      <c r="D42" s="22" t="n">
        <f aca="false">C42-B42</f>
        <v>32.53845105464</v>
      </c>
      <c r="E42" s="22" t="n">
        <f aca="false">C42*(1+level_3y_p10_core/100)</f>
        <v>71.994</v>
      </c>
      <c r="F42" s="22" t="n">
        <f aca="false">E42-B42</f>
        <v>26.53245105464</v>
      </c>
      <c r="G42" s="22" t="n">
        <f aca="false">C42*(1+level_3y_worst/100)</f>
        <v>56.94</v>
      </c>
      <c r="H42" s="22" t="n">
        <f aca="false">G42-B42</f>
        <v>11.47845105464</v>
      </c>
    </row>
    <row r="43" customFormat="false" ht="15" hidden="false" customHeight="false" outlineLevel="0" collapsed="false">
      <c r="A43" s="0" t="n">
        <v>25</v>
      </c>
      <c r="B43" s="22" t="n">
        <f aca="false">IF(A43&gt;=loan_term_months,0,(100-loan_deposit_pct)*((1+loan_apr/1200)^loan_term_months-(1+loan_apr/1200)^A43)/((1+loan_apr/1200)^loan_term_months-1))</f>
        <v>43.6913105179003</v>
      </c>
      <c r="C43" s="22" t="n">
        <f aca="false">INDEX($B$7:$G$7,MIN(4,INT(A43/12))+1)+(A43/12-MIN(4,INT(A43/12)))*(INDEX($B$7:$G$7,MIN(4,INT(A43/12))+2)-INDEX($B$7:$G$7,MIN(4,INT(A43/12))+1))</f>
        <v>77</v>
      </c>
      <c r="D43" s="22" t="n">
        <f aca="false">C43-B43</f>
        <v>33.3086894820997</v>
      </c>
      <c r="E43" s="22" t="n">
        <f aca="false">C43*(1+level_3y_p10_core/100)</f>
        <v>71.071</v>
      </c>
      <c r="F43" s="22" t="n">
        <f aca="false">E43-B43</f>
        <v>27.3796894820997</v>
      </c>
      <c r="G43" s="22" t="n">
        <f aca="false">C43*(1+level_3y_worst/100)</f>
        <v>56.21</v>
      </c>
      <c r="H43" s="22" t="n">
        <f aca="false">G43-B43</f>
        <v>12.5186894820997</v>
      </c>
    </row>
    <row r="44" customFormat="false" ht="15" hidden="false" customHeight="false" outlineLevel="0" collapsed="false">
      <c r="A44" s="0" t="n">
        <v>26</v>
      </c>
      <c r="B44" s="22" t="n">
        <f aca="false">IF(A44&gt;=loan_term_months,0,(100-loan_deposit_pct)*((1+loan_apr/1200)^loan_term_months-(1+loan_apr/1200)^A44)/((1+loan_apr/1200)^loan_term_months-1))</f>
        <v>41.9107456996137</v>
      </c>
      <c r="C44" s="22" t="n">
        <f aca="false">INDEX($B$7:$G$7,MIN(4,INT(A44/12))+1)+(A44/12-MIN(4,INT(A44/12)))*(INDEX($B$7:$G$7,MIN(4,INT(A44/12))+2)-INDEX($B$7:$G$7,MIN(4,INT(A44/12))+1))</f>
        <v>76</v>
      </c>
      <c r="D44" s="22" t="n">
        <f aca="false">C44-B44</f>
        <v>34.0892543003863</v>
      </c>
      <c r="E44" s="22" t="n">
        <f aca="false">C44*(1+level_3y_p10_core/100)</f>
        <v>70.148</v>
      </c>
      <c r="F44" s="22" t="n">
        <f aca="false">E44-B44</f>
        <v>28.2372543003863</v>
      </c>
      <c r="G44" s="22" t="n">
        <f aca="false">C44*(1+level_3y_worst/100)</f>
        <v>55.48</v>
      </c>
      <c r="H44" s="22" t="n">
        <f aca="false">G44-B44</f>
        <v>13.5692543003863</v>
      </c>
    </row>
    <row r="45" customFormat="false" ht="15" hidden="false" customHeight="false" outlineLevel="0" collapsed="false">
      <c r="A45" s="0" t="n">
        <v>27</v>
      </c>
      <c r="B45" s="22" t="n">
        <f aca="false">IF(A45&gt;=loan_term_months,0,(100-loan_deposit_pct)*((1+loan_apr/1200)^loan_term_months-(1+loan_apr/1200)^A45)/((1+loan_apr/1200)^loan_term_months-1))</f>
        <v>40.1197942532205</v>
      </c>
      <c r="C45" s="22" t="n">
        <f aca="false">INDEX($B$7:$G$7,MIN(4,INT(A45/12))+1)+(A45/12-MIN(4,INT(A45/12)))*(INDEX($B$7:$G$7,MIN(4,INT(A45/12))+2)-INDEX($B$7:$G$7,MIN(4,INT(A45/12))+1))</f>
        <v>75</v>
      </c>
      <c r="D45" s="22" t="n">
        <f aca="false">C45-B45</f>
        <v>34.8802057467795</v>
      </c>
      <c r="E45" s="22" t="n">
        <f aca="false">C45*(1+level_3y_p10_core/100)</f>
        <v>69.225</v>
      </c>
      <c r="F45" s="22" t="n">
        <f aca="false">E45-B45</f>
        <v>29.1052057467795</v>
      </c>
      <c r="G45" s="22" t="n">
        <f aca="false">C45*(1+level_3y_worst/100)</f>
        <v>54.75</v>
      </c>
      <c r="H45" s="22" t="n">
        <f aca="false">G45-B45</f>
        <v>14.6302057467795</v>
      </c>
    </row>
    <row r="46" customFormat="false" ht="15" hidden="false" customHeight="false" outlineLevel="0" collapsed="false">
      <c r="A46" s="0" t="n">
        <v>28</v>
      </c>
      <c r="B46" s="22" t="n">
        <f aca="false">IF(A46&gt;=loan_term_months,0,(100-loan_deposit_pct)*((1+loan_apr/1200)^loan_term_months-(1+loan_apr/1200)^A46)/((1+loan_apr/1200)^loan_term_months-1))</f>
        <v>38.3183955900567</v>
      </c>
      <c r="C46" s="22" t="n">
        <f aca="false">INDEX($B$7:$G$7,MIN(4,INT(A46/12))+1)+(A46/12-MIN(4,INT(A46/12)))*(INDEX($B$7:$G$7,MIN(4,INT(A46/12))+2)-INDEX($B$7:$G$7,MIN(4,INT(A46/12))+1))</f>
        <v>74</v>
      </c>
      <c r="D46" s="22" t="n">
        <f aca="false">C46-B46</f>
        <v>35.6816044099433</v>
      </c>
      <c r="E46" s="22" t="n">
        <f aca="false">C46*(1+level_3y_p10_core/100)</f>
        <v>68.302</v>
      </c>
      <c r="F46" s="22" t="n">
        <f aca="false">E46-B46</f>
        <v>29.9836044099433</v>
      </c>
      <c r="G46" s="22" t="n">
        <f aca="false">C46*(1+level_3y_worst/100)</f>
        <v>54.02</v>
      </c>
      <c r="H46" s="22" t="n">
        <f aca="false">G46-B46</f>
        <v>15.7016044099433</v>
      </c>
    </row>
    <row r="47" customFormat="false" ht="15" hidden="false" customHeight="false" outlineLevel="0" collapsed="false">
      <c r="A47" s="0" t="n">
        <v>29</v>
      </c>
      <c r="B47" s="22" t="n">
        <f aca="false">IF(A47&gt;=loan_term_months,0,(100-loan_deposit_pct)*((1+loan_apr/1200)^loan_term_months-(1+loan_apr/1200)^A47)/((1+loan_apr/1200)^loan_term_months-1))</f>
        <v>36.5064887680243</v>
      </c>
      <c r="C47" s="22" t="n">
        <f aca="false">INDEX($B$7:$G$7,MIN(4,INT(A47/12))+1)+(A47/12-MIN(4,INT(A47/12)))*(INDEX($B$7:$G$7,MIN(4,INT(A47/12))+2)-INDEX($B$7:$G$7,MIN(4,INT(A47/12))+1))</f>
        <v>73</v>
      </c>
      <c r="D47" s="22" t="n">
        <f aca="false">C47-B47</f>
        <v>36.4935112319757</v>
      </c>
      <c r="E47" s="22" t="n">
        <f aca="false">C47*(1+level_3y_p10_core/100)</f>
        <v>67.379</v>
      </c>
      <c r="F47" s="22" t="n">
        <f aca="false">E47-B47</f>
        <v>30.8725112319757</v>
      </c>
      <c r="G47" s="22" t="n">
        <f aca="false">C47*(1+level_3y_worst/100)</f>
        <v>53.29</v>
      </c>
      <c r="H47" s="22" t="n">
        <f aca="false">G47-B47</f>
        <v>16.7835112319757</v>
      </c>
    </row>
    <row r="48" customFormat="false" ht="15" hidden="false" customHeight="false" outlineLevel="0" collapsed="false">
      <c r="A48" s="0" t="n">
        <v>30</v>
      </c>
      <c r="B48" s="22" t="n">
        <f aca="false">IF(A48&gt;=loan_term_months,0,(100-loan_deposit_pct)*((1+loan_apr/1200)^loan_term_months-(1+loan_apr/1200)^A48)/((1+loan_apr/1200)^loan_term_months-1))</f>
        <v>34.6840124895302</v>
      </c>
      <c r="C48" s="22" t="n">
        <f aca="false">INDEX($B$7:$G$7,MIN(4,INT(A48/12))+1)+(A48/12-MIN(4,INT(A48/12)))*(INDEX($B$7:$G$7,MIN(4,INT(A48/12))+2)-INDEX($B$7:$G$7,MIN(4,INT(A48/12))+1))</f>
        <v>72</v>
      </c>
      <c r="D48" s="22" t="n">
        <f aca="false">C48-B48</f>
        <v>37.3159875104698</v>
      </c>
      <c r="E48" s="22" t="n">
        <f aca="false">C48*(1+level_3y_p10_core/100)</f>
        <v>66.456</v>
      </c>
      <c r="F48" s="22" t="n">
        <f aca="false">E48-B48</f>
        <v>31.7719875104698</v>
      </c>
      <c r="G48" s="22" t="n">
        <f aca="false">C48*(1+level_3y_worst/100)</f>
        <v>52.56</v>
      </c>
      <c r="H48" s="22" t="n">
        <f aca="false">G48-B48</f>
        <v>17.8759875104698</v>
      </c>
    </row>
    <row r="49" customFormat="false" ht="15" hidden="false" customHeight="false" outlineLevel="0" collapsed="false">
      <c r="A49" s="0" t="n">
        <v>31</v>
      </c>
      <c r="B49" s="22" t="n">
        <f aca="false">IF(A49&gt;=loan_term_months,0,(100-loan_deposit_pct)*((1+loan_apr/1200)^loan_term_months-(1+loan_apr/1200)^A49)/((1+loan_apr/1200)^loan_term_months-1))</f>
        <v>32.8509050994114</v>
      </c>
      <c r="C49" s="22" t="n">
        <f aca="false">INDEX($B$7:$G$7,MIN(4,INT(A49/12))+1)+(A49/12-MIN(4,INT(A49/12)))*(INDEX($B$7:$G$7,MIN(4,INT(A49/12))+2)-INDEX($B$7:$G$7,MIN(4,INT(A49/12))+1))</f>
        <v>71</v>
      </c>
      <c r="D49" s="22" t="n">
        <f aca="false">C49-B49</f>
        <v>38.1490949005886</v>
      </c>
      <c r="E49" s="22" t="n">
        <f aca="false">C49*(1+level_3y_p10_core/100)</f>
        <v>65.533</v>
      </c>
      <c r="F49" s="22" t="n">
        <f aca="false">E49-B49</f>
        <v>32.6820949005886</v>
      </c>
      <c r="G49" s="22" t="n">
        <f aca="false">C49*(1+level_3y_worst/100)</f>
        <v>51.83</v>
      </c>
      <c r="H49" s="22" t="n">
        <f aca="false">G49-B49</f>
        <v>18.9790949005886</v>
      </c>
    </row>
    <row r="50" customFormat="false" ht="15" hidden="false" customHeight="false" outlineLevel="0" collapsed="false">
      <c r="A50" s="0" t="n">
        <v>32</v>
      </c>
      <c r="B50" s="22" t="n">
        <f aca="false">IF(A50&gt;=loan_term_months,0,(100-loan_deposit_pct)*((1+loan_apr/1200)^loan_term_months-(1+loan_apr/1200)^A50)/((1+loan_apr/1200)^loan_term_months-1))</f>
        <v>31.0071045828503</v>
      </c>
      <c r="C50" s="22" t="n">
        <f aca="false">INDEX($B$7:$G$7,MIN(4,INT(A50/12))+1)+(A50/12-MIN(4,INT(A50/12)))*(INDEX($B$7:$G$7,MIN(4,INT(A50/12))+2)-INDEX($B$7:$G$7,MIN(4,INT(A50/12))+1))</f>
        <v>70</v>
      </c>
      <c r="D50" s="22" t="n">
        <f aca="false">C50-B50</f>
        <v>38.9928954171497</v>
      </c>
      <c r="E50" s="22" t="n">
        <f aca="false">C50*(1+level_3y_p10_core/100)</f>
        <v>64.61</v>
      </c>
      <c r="F50" s="22" t="n">
        <f aca="false">E50-B50</f>
        <v>33.6028954171497</v>
      </c>
      <c r="G50" s="22" t="n">
        <f aca="false">C50*(1+level_3y_worst/100)</f>
        <v>51.1</v>
      </c>
      <c r="H50" s="22" t="n">
        <f aca="false">G50-B50</f>
        <v>20.0928954171497</v>
      </c>
    </row>
    <row r="51" customFormat="false" ht="15" hidden="false" customHeight="false" outlineLevel="0" collapsed="false">
      <c r="A51" s="0" t="n">
        <v>33</v>
      </c>
      <c r="B51" s="22" t="n">
        <f aca="false">IF(A51&gt;=loan_term_months,0,(100-loan_deposit_pct)*((1+loan_apr/1200)^loan_term_months-(1+loan_apr/1200)^A51)/((1+loan_apr/1200)^loan_term_months-1))</f>
        <v>29.152548563276</v>
      </c>
      <c r="C51" s="22" t="n">
        <f aca="false">INDEX($B$7:$G$7,MIN(4,INT(A51/12))+1)+(A51/12-MIN(4,INT(A51/12)))*(INDEX($B$7:$G$7,MIN(4,INT(A51/12))+2)-INDEX($B$7:$G$7,MIN(4,INT(A51/12))+1))</f>
        <v>69</v>
      </c>
      <c r="D51" s="22" t="n">
        <f aca="false">C51-B51</f>
        <v>39.847451436724</v>
      </c>
      <c r="E51" s="22" t="n">
        <f aca="false">C51*(1+level_3y_p10_core/100)</f>
        <v>63.687</v>
      </c>
      <c r="F51" s="22" t="n">
        <f aca="false">E51-B51</f>
        <v>34.534451436724</v>
      </c>
      <c r="G51" s="22" t="n">
        <f aca="false">C51*(1+level_3y_worst/100)</f>
        <v>50.37</v>
      </c>
      <c r="H51" s="22" t="n">
        <f aca="false">G51-B51</f>
        <v>21.217451436724</v>
      </c>
    </row>
    <row r="52" customFormat="false" ht="15" hidden="false" customHeight="false" outlineLevel="0" collapsed="false">
      <c r="A52" s="0" t="n">
        <v>34</v>
      </c>
      <c r="B52" s="22" t="n">
        <f aca="false">IF(A52&gt;=loan_term_months,0,(100-loan_deposit_pct)*((1+loan_apr/1200)^loan_term_months-(1+loan_apr/1200)^A52)/((1+loan_apr/1200)^loan_term_months-1))</f>
        <v>27.2871743002541</v>
      </c>
      <c r="C52" s="22" t="n">
        <f aca="false">INDEX($B$7:$G$7,MIN(4,INT(A52/12))+1)+(A52/12-MIN(4,INT(A52/12)))*(INDEX($B$7:$G$7,MIN(4,INT(A52/12))+2)-INDEX($B$7:$G$7,MIN(4,INT(A52/12))+1))</f>
        <v>68</v>
      </c>
      <c r="D52" s="22" t="n">
        <f aca="false">C52-B52</f>
        <v>40.7128256997459</v>
      </c>
      <c r="E52" s="22" t="n">
        <f aca="false">C52*(1+level_3y_p10_core/100)</f>
        <v>62.764</v>
      </c>
      <c r="F52" s="22" t="n">
        <f aca="false">E52-B52</f>
        <v>35.4768256997459</v>
      </c>
      <c r="G52" s="22" t="n">
        <f aca="false">C52*(1+level_3y_worst/100)</f>
        <v>49.64</v>
      </c>
      <c r="H52" s="22" t="n">
        <f aca="false">G52-B52</f>
        <v>22.3528256997459</v>
      </c>
    </row>
    <row r="53" customFormat="false" ht="15" hidden="false" customHeight="false" outlineLevel="0" collapsed="false">
      <c r="A53" s="0" t="n">
        <v>35</v>
      </c>
      <c r="B53" s="22" t="n">
        <f aca="false">IF(A53&gt;=loan_term_months,0,(100-loan_deposit_pct)*((1+loan_apr/1200)^loan_term_months-(1+loan_apr/1200)^A53)/((1+loan_apr/1200)^loan_term_months-1))</f>
        <v>25.4109186873646</v>
      </c>
      <c r="C53" s="22" t="n">
        <f aca="false">INDEX($B$7:$G$7,MIN(4,INT(A53/12))+1)+(A53/12-MIN(4,INT(A53/12)))*(INDEX($B$7:$G$7,MIN(4,INT(A53/12))+2)-INDEX($B$7:$G$7,MIN(4,INT(A53/12))+1))</f>
        <v>67</v>
      </c>
      <c r="D53" s="22" t="n">
        <f aca="false">C53-B53</f>
        <v>41.5890813126354</v>
      </c>
      <c r="E53" s="22" t="n">
        <f aca="false">C53*(1+level_3y_p10_core/100)</f>
        <v>61.841</v>
      </c>
      <c r="F53" s="22" t="n">
        <f aca="false">E53-B53</f>
        <v>36.4300813126354</v>
      </c>
      <c r="G53" s="22" t="n">
        <f aca="false">C53*(1+level_3y_worst/100)</f>
        <v>48.91</v>
      </c>
      <c r="H53" s="22" t="n">
        <f aca="false">G53-B53</f>
        <v>23.4990813126354</v>
      </c>
    </row>
    <row r="54" customFormat="false" ht="15" hidden="false" customHeight="false" outlineLevel="0" collapsed="false">
      <c r="A54" s="0" t="n">
        <v>36</v>
      </c>
      <c r="B54" s="22" t="n">
        <f aca="false">IF(A54&gt;=loan_term_months,0,(100-loan_deposit_pct)*((1+loan_apr/1200)^loan_term_months-(1+loan_apr/1200)^A54)/((1+loan_apr/1200)^loan_term_months-1))</f>
        <v>23.5237182500666</v>
      </c>
      <c r="C54" s="22" t="n">
        <f aca="false">INDEX($B$7:$G$7,MIN(4,INT(A54/12))+1)+(A54/12-MIN(4,INT(A54/12)))*(INDEX($B$7:$G$7,MIN(4,INT(A54/12))+2)-INDEX($B$7:$G$7,MIN(4,INT(A54/12))+1))</f>
        <v>66</v>
      </c>
      <c r="D54" s="22" t="n">
        <f aca="false">C54-B54</f>
        <v>42.4762817499334</v>
      </c>
      <c r="E54" s="22" t="n">
        <f aca="false">C54*(1+level_3y_p10_core/100)</f>
        <v>60.918</v>
      </c>
      <c r="F54" s="22" t="n">
        <f aca="false">E54-B54</f>
        <v>37.3942817499334</v>
      </c>
      <c r="G54" s="22" t="n">
        <f aca="false">C54*(1+level_3y_worst/100)</f>
        <v>48.18</v>
      </c>
      <c r="H54" s="22" t="n">
        <f aca="false">G54-B54</f>
        <v>24.6562817499334</v>
      </c>
    </row>
    <row r="55" customFormat="false" ht="15" hidden="false" customHeight="false" outlineLevel="0" collapsed="false">
      <c r="A55" s="0" t="n">
        <v>37</v>
      </c>
      <c r="B55" s="22" t="n">
        <f aca="false">IF(A55&gt;=loan_term_months,0,(100-loan_deposit_pct)*((1+loan_apr/1200)^loan_term_months-(1+loan_apr/1200)^A55)/((1+loan_apr/1200)^loan_term_months-1))</f>
        <v>21.625509143551</v>
      </c>
      <c r="C55" s="22" t="n">
        <f aca="false">INDEX($B$7:$G$7,MIN(4,INT(A55/12))+1)+(A55/12-MIN(4,INT(A55/12)))*(INDEX($B$7:$G$7,MIN(4,INT(A55/12))+2)-INDEX($B$7:$G$7,MIN(4,INT(A55/12))+1))</f>
        <v>65.4166666666667</v>
      </c>
      <c r="D55" s="22" t="n">
        <f aca="false">C55-B55</f>
        <v>43.7911575231156</v>
      </c>
      <c r="E55" s="22" t="n">
        <f aca="false">C55*(1+level_3y_p10_core/100)</f>
        <v>60.3795833333333</v>
      </c>
      <c r="F55" s="22" t="n">
        <f aca="false">E55-B55</f>
        <v>38.7540741897823</v>
      </c>
      <c r="G55" s="22" t="n">
        <f aca="false">C55*(1+level_3y_worst/100)</f>
        <v>47.7541666666667</v>
      </c>
      <c r="H55" s="22" t="n">
        <f aca="false">G55-B55</f>
        <v>26.1286575231156</v>
      </c>
    </row>
    <row r="56" customFormat="false" ht="15" hidden="false" customHeight="false" outlineLevel="0" collapsed="false">
      <c r="A56" s="0" t="n">
        <v>38</v>
      </c>
      <c r="B56" s="22" t="n">
        <f aca="false">IF(A56&gt;=loan_term_months,0,(100-loan_deposit_pct)*((1+loan_apr/1200)^loan_term_months-(1+loan_apr/1200)^A56)/((1+loan_apr/1200)^loan_term_months-1))</f>
        <v>19.7162271505808</v>
      </c>
      <c r="C56" s="22" t="n">
        <f aca="false">INDEX($B$7:$G$7,MIN(4,INT(A56/12))+1)+(A56/12-MIN(4,INT(A56/12)))*(INDEX($B$7:$G$7,MIN(4,INT(A56/12))+2)-INDEX($B$7:$G$7,MIN(4,INT(A56/12))+1))</f>
        <v>64.8333333333333</v>
      </c>
      <c r="D56" s="22" t="n">
        <f aca="false">C56-B56</f>
        <v>45.1171061827526</v>
      </c>
      <c r="E56" s="22" t="n">
        <f aca="false">C56*(1+level_3y_p10_core/100)</f>
        <v>59.8411666666667</v>
      </c>
      <c r="F56" s="22" t="n">
        <f aca="false">E56-B56</f>
        <v>40.1249395160859</v>
      </c>
      <c r="G56" s="22" t="n">
        <f aca="false">C56*(1+level_3y_worst/100)</f>
        <v>47.3283333333333</v>
      </c>
      <c r="H56" s="22" t="n">
        <f aca="false">G56-B56</f>
        <v>27.6121061827526</v>
      </c>
    </row>
    <row r="57" customFormat="false" ht="15" hidden="false" customHeight="false" outlineLevel="0" collapsed="false">
      <c r="A57" s="0" t="n">
        <v>39</v>
      </c>
      <c r="B57" s="22" t="n">
        <f aca="false">IF(A57&gt;=loan_term_months,0,(100-loan_deposit_pct)*((1+loan_apr/1200)^loan_term_months-(1+loan_apr/1200)^A57)/((1+loan_apr/1200)^loan_term_months-1))</f>
        <v>17.7958076793182</v>
      </c>
      <c r="C57" s="22" t="n">
        <f aca="false">INDEX($B$7:$G$7,MIN(4,INT(A57/12))+1)+(A57/12-MIN(4,INT(A57/12)))*(INDEX($B$7:$G$7,MIN(4,INT(A57/12))+2)-INDEX($B$7:$G$7,MIN(4,INT(A57/12))+1))</f>
        <v>64.25</v>
      </c>
      <c r="D57" s="22" t="n">
        <f aca="false">C57-B57</f>
        <v>46.4541923206818</v>
      </c>
      <c r="E57" s="22" t="n">
        <f aca="false">C57*(1+level_3y_p10_core/100)</f>
        <v>59.30275</v>
      </c>
      <c r="F57" s="22" t="n">
        <f aca="false">E57-B57</f>
        <v>41.5069423206818</v>
      </c>
      <c r="G57" s="22" t="n">
        <f aca="false">C57*(1+level_3y_worst/100)</f>
        <v>46.9025</v>
      </c>
      <c r="H57" s="22" t="n">
        <f aca="false">G57-B57</f>
        <v>29.1066923206818</v>
      </c>
    </row>
    <row r="58" customFormat="false" ht="15" hidden="false" customHeight="false" outlineLevel="0" collapsed="false">
      <c r="A58" s="0" t="n">
        <v>40</v>
      </c>
      <c r="B58" s="22" t="n">
        <f aca="false">IF(A58&gt;=loan_term_months,0,(100-loan_deposit_pct)*((1+loan_apr/1200)^loan_term_months-(1+loan_apr/1200)^A58)/((1+loan_apr/1200)^loan_term_months-1))</f>
        <v>15.8641857611398</v>
      </c>
      <c r="C58" s="22" t="n">
        <f aca="false">INDEX($B$7:$G$7,MIN(4,INT(A58/12))+1)+(A58/12-MIN(4,INT(A58/12)))*(INDEX($B$7:$G$7,MIN(4,INT(A58/12))+2)-INDEX($B$7:$G$7,MIN(4,INT(A58/12))+1))</f>
        <v>63.6666666666667</v>
      </c>
      <c r="D58" s="22" t="n">
        <f aca="false">C58-B58</f>
        <v>47.8024809055268</v>
      </c>
      <c r="E58" s="22" t="n">
        <f aca="false">C58*(1+level_3y_p10_core/100)</f>
        <v>58.7643333333333</v>
      </c>
      <c r="F58" s="22" t="n">
        <f aca="false">E58-B58</f>
        <v>42.9001475721935</v>
      </c>
      <c r="G58" s="22" t="n">
        <f aca="false">C58*(1+level_3y_worst/100)</f>
        <v>46.4766666666667</v>
      </c>
      <c r="H58" s="22" t="n">
        <f aca="false">G58-B58</f>
        <v>30.6124809055268</v>
      </c>
    </row>
    <row r="59" customFormat="false" ht="15" hidden="false" customHeight="false" outlineLevel="0" collapsed="false">
      <c r="A59" s="0" t="n">
        <v>41</v>
      </c>
      <c r="B59" s="22" t="n">
        <f aca="false">IF(A59&gt;=loan_term_months,0,(100-loan_deposit_pct)*((1+loan_apr/1200)^loan_term_months-(1+loan_apr/1200)^A59)/((1+loan_apr/1200)^loan_term_months-1))</f>
        <v>13.9212960484389</v>
      </c>
      <c r="C59" s="22" t="n">
        <f aca="false">INDEX($B$7:$G$7,MIN(4,INT(A59/12))+1)+(A59/12-MIN(4,INT(A59/12)))*(INDEX($B$7:$G$7,MIN(4,INT(A59/12))+2)-INDEX($B$7:$G$7,MIN(4,INT(A59/12))+1))</f>
        <v>63.0833333333333</v>
      </c>
      <c r="D59" s="22" t="n">
        <f aca="false">C59-B59</f>
        <v>49.1620372848945</v>
      </c>
      <c r="E59" s="22" t="n">
        <f aca="false">C59*(1+level_3y_p10_core/100)</f>
        <v>58.2259166666667</v>
      </c>
      <c r="F59" s="22" t="n">
        <f aca="false">E59-B59</f>
        <v>44.3046206182278</v>
      </c>
      <c r="G59" s="22" t="n">
        <f aca="false">C59*(1+level_3y_worst/100)</f>
        <v>46.0508333333333</v>
      </c>
      <c r="H59" s="22" t="n">
        <f aca="false">G59-B59</f>
        <v>32.1295372848945</v>
      </c>
    </row>
    <row r="60" customFormat="false" ht="15" hidden="false" customHeight="false" outlineLevel="0" collapsed="false">
      <c r="A60" s="0" t="n">
        <v>42</v>
      </c>
      <c r="B60" s="22" t="n">
        <f aca="false">IF(A60&gt;=loan_term_months,0,(100-loan_deposit_pct)*((1+loan_apr/1200)^loan_term_months-(1+loan_apr/1200)^A60)/((1+loan_apr/1200)^loan_term_months-1))</f>
        <v>11.9670728124138</v>
      </c>
      <c r="C60" s="22" t="n">
        <f aca="false">INDEX($B$7:$G$7,MIN(4,INT(A60/12))+1)+(A60/12-MIN(4,INT(A60/12)))*(INDEX($B$7:$G$7,MIN(4,INT(A60/12))+2)-INDEX($B$7:$G$7,MIN(4,INT(A60/12))+1))</f>
        <v>62.5</v>
      </c>
      <c r="D60" s="22" t="n">
        <f aca="false">C60-B60</f>
        <v>50.5329271875862</v>
      </c>
      <c r="E60" s="22" t="n">
        <f aca="false">C60*(1+level_3y_p10_core/100)</f>
        <v>57.6875</v>
      </c>
      <c r="F60" s="22" t="n">
        <f aca="false">E60-B60</f>
        <v>45.7204271875862</v>
      </c>
      <c r="G60" s="22" t="n">
        <f aca="false">C60*(1+level_3y_worst/100)</f>
        <v>45.625</v>
      </c>
      <c r="H60" s="22" t="n">
        <f aca="false">G60-B60</f>
        <v>33.6579271875862</v>
      </c>
    </row>
    <row r="61" customFormat="false" ht="15" hidden="false" customHeight="false" outlineLevel="0" collapsed="false">
      <c r="A61" s="0" t="n">
        <v>43</v>
      </c>
      <c r="B61" s="22" t="n">
        <f aca="false">IF(A61&gt;=loan_term_months,0,(100-loan_deposit_pct)*((1+loan_apr/1200)^loan_term_months-(1+loan_apr/1200)^A61)/((1+loan_apr/1200)^loan_term_months-1))</f>
        <v>10.0014499408452</v>
      </c>
      <c r="C61" s="22" t="n">
        <f aca="false">INDEX($B$7:$G$7,MIN(4,INT(A61/12))+1)+(A61/12-MIN(4,INT(A61/12)))*(INDEX($B$7:$G$7,MIN(4,INT(A61/12))+2)-INDEX($B$7:$G$7,MIN(4,INT(A61/12))+1))</f>
        <v>61.9166666666667</v>
      </c>
      <c r="D61" s="22" t="n">
        <f aca="false">C61-B61</f>
        <v>51.9152167258215</v>
      </c>
      <c r="E61" s="22" t="n">
        <f aca="false">C61*(1+level_3y_p10_core/100)</f>
        <v>57.1490833333333</v>
      </c>
      <c r="F61" s="22" t="n">
        <f aca="false">E61-B61</f>
        <v>47.1476333924881</v>
      </c>
      <c r="G61" s="22" t="n">
        <f aca="false">C61*(1+level_3y_worst/100)</f>
        <v>45.1991666666667</v>
      </c>
      <c r="H61" s="22" t="n">
        <f aca="false">G61-B61</f>
        <v>35.1977167258215</v>
      </c>
    </row>
    <row r="62" customFormat="false" ht="15" hidden="false" customHeight="false" outlineLevel="0" collapsed="false">
      <c r="A62" s="0" t="n">
        <v>44</v>
      </c>
      <c r="B62" s="22" t="n">
        <f aca="false">IF(A62&gt;=loan_term_months,0,(100-loan_deposit_pct)*((1+loan_apr/1200)^loan_term_months-(1+loan_apr/1200)^A62)/((1+loan_apr/1200)^loan_term_months-1))</f>
        <v>8.02436093585918</v>
      </c>
      <c r="C62" s="22" t="n">
        <f aca="false">INDEX($B$7:$G$7,MIN(4,INT(A62/12))+1)+(A62/12-MIN(4,INT(A62/12)))*(INDEX($B$7:$G$7,MIN(4,INT(A62/12))+2)-INDEX($B$7:$G$7,MIN(4,INT(A62/12))+1))</f>
        <v>61.3333333333333</v>
      </c>
      <c r="D62" s="22" t="n">
        <f aca="false">C62-B62</f>
        <v>53.3089723974742</v>
      </c>
      <c r="E62" s="22" t="n">
        <f aca="false">C62*(1+level_3y_p10_core/100)</f>
        <v>56.6106666666667</v>
      </c>
      <c r="F62" s="22" t="n">
        <f aca="false">E62-B62</f>
        <v>48.5863057308075</v>
      </c>
      <c r="G62" s="22" t="n">
        <f aca="false">C62*(1+level_3y_worst/100)</f>
        <v>44.7733333333333</v>
      </c>
      <c r="H62" s="22" t="n">
        <f aca="false">G62-B62</f>
        <v>36.7489723974742</v>
      </c>
    </row>
    <row r="63" customFormat="false" ht="15" hidden="false" customHeight="false" outlineLevel="0" collapsed="false">
      <c r="A63" s="0" t="n">
        <v>45</v>
      </c>
      <c r="B63" s="22" t="n">
        <f aca="false">IF(A63&gt;=loan_term_months,0,(100-loan_deposit_pct)*((1+loan_apr/1200)^loan_term_months-(1+loan_apr/1200)^A63)/((1+loan_apr/1200)^loan_term_months-1))</f>
        <v>6.03573891167736</v>
      </c>
      <c r="C63" s="22" t="n">
        <f aca="false">INDEX($B$7:$G$7,MIN(4,INT(A63/12))+1)+(A63/12-MIN(4,INT(A63/12)))*(INDEX($B$7:$G$7,MIN(4,INT(A63/12))+2)-INDEX($B$7:$G$7,MIN(4,INT(A63/12))+1))</f>
        <v>60.75</v>
      </c>
      <c r="D63" s="22" t="n">
        <f aca="false">C63-B63</f>
        <v>54.7142610883226</v>
      </c>
      <c r="E63" s="22" t="n">
        <f aca="false">C63*(1+level_3y_p10_core/100)</f>
        <v>56.07225</v>
      </c>
      <c r="F63" s="22" t="n">
        <f aca="false">E63-B63</f>
        <v>50.0365110883227</v>
      </c>
      <c r="G63" s="22" t="n">
        <f aca="false">C63*(1+level_3y_worst/100)</f>
        <v>44.3475</v>
      </c>
      <c r="H63" s="22" t="n">
        <f aca="false">G63-B63</f>
        <v>38.3117610883226</v>
      </c>
    </row>
    <row r="64" customFormat="false" ht="15" hidden="false" customHeight="false" outlineLevel="0" collapsed="false">
      <c r="A64" s="0" t="n">
        <v>46</v>
      </c>
      <c r="B64" s="22" t="n">
        <f aca="false">IF(A64&gt;=loan_term_months,0,(100-loan_deposit_pct)*((1+loan_apr/1200)^loan_term_months-(1+loan_apr/1200)^A64)/((1+loan_apr/1200)^loan_term_months-1))</f>
        <v>4.03551659235451</v>
      </c>
      <c r="C64" s="22" t="n">
        <f aca="false">INDEX($B$7:$G$7,MIN(4,INT(A64/12))+1)+(A64/12-MIN(4,INT(A64/12)))*(INDEX($B$7:$G$7,MIN(4,INT(A64/12))+2)-INDEX($B$7:$G$7,MIN(4,INT(A64/12))+1))</f>
        <v>60.1666666666667</v>
      </c>
      <c r="D64" s="22" t="n">
        <f aca="false">C64-B64</f>
        <v>56.1311500743122</v>
      </c>
      <c r="E64" s="22" t="n">
        <f aca="false">C64*(1+level_3y_p10_core/100)</f>
        <v>55.5338333333333</v>
      </c>
      <c r="F64" s="22" t="n">
        <f aca="false">E64-B64</f>
        <v>51.4983167409788</v>
      </c>
      <c r="G64" s="22" t="n">
        <f aca="false">C64*(1+level_3y_worst/100)</f>
        <v>43.9216666666667</v>
      </c>
      <c r="H64" s="22" t="n">
        <f aca="false">G64-B64</f>
        <v>39.8861500743122</v>
      </c>
    </row>
    <row r="65" customFormat="false" ht="15" hidden="false" customHeight="false" outlineLevel="0" collapsed="false">
      <c r="A65" s="0" t="n">
        <v>47</v>
      </c>
      <c r="B65" s="22" t="n">
        <f aca="false">IF(A65&gt;=loan_term_months,0,(100-loan_deposit_pct)*((1+loan_apr/1200)^loan_term_months-(1+loan_apr/1200)^A65)/((1+loan_apr/1200)^loan_term_months-1))</f>
        <v>2.02362630950222</v>
      </c>
      <c r="C65" s="22" t="n">
        <f aca="false">INDEX($B$7:$G$7,MIN(4,INT(A65/12))+1)+(A65/12-MIN(4,INT(A65/12)))*(INDEX($B$7:$G$7,MIN(4,INT(A65/12))+2)-INDEX($B$7:$G$7,MIN(4,INT(A65/12))+1))</f>
        <v>59.5833333333333</v>
      </c>
      <c r="D65" s="22" t="n">
        <f aca="false">C65-B65</f>
        <v>57.5597070238311</v>
      </c>
      <c r="E65" s="22" t="n">
        <f aca="false">C65*(1+level_3y_p10_core/100)</f>
        <v>54.9954166666667</v>
      </c>
      <c r="F65" s="22" t="n">
        <f aca="false">E65-B65</f>
        <v>52.9717903571645</v>
      </c>
      <c r="G65" s="22" t="n">
        <f aca="false">C65*(1+level_3y_worst/100)</f>
        <v>43.4958333333333</v>
      </c>
      <c r="H65" s="22" t="n">
        <f aca="false">G65-B65</f>
        <v>41.4722070238311</v>
      </c>
    </row>
    <row r="66" customFormat="false" ht="15" hidden="false" customHeight="false" outlineLevel="0" collapsed="false">
      <c r="A66" s="0" t="n">
        <v>48</v>
      </c>
      <c r="B66" s="22" t="n">
        <f aca="false">IF(A66&gt;=loan_term_months,0,(100-loan_deposit_pct)*((1+loan_apr/1200)^loan_term_months-(1+loan_apr/1200)^A66)/((1+loan_apr/1200)^loan_term_months-1))</f>
        <v>0</v>
      </c>
      <c r="C66" s="22" t="n">
        <f aca="false">INDEX($B$7:$G$7,MIN(4,INT(A66/12))+1)+(A66/12-MIN(4,INT(A66/12)))*(INDEX($B$7:$G$7,MIN(4,INT(A66/12))+2)-INDEX($B$7:$G$7,MIN(4,INT(A66/12))+1))</f>
        <v>59</v>
      </c>
      <c r="D66" s="22" t="n">
        <f aca="false">C66-B66</f>
        <v>59</v>
      </c>
      <c r="E66" s="22" t="n">
        <f aca="false">C66*(1+level_3y_p10_core/100)</f>
        <v>54.457</v>
      </c>
      <c r="F66" s="22" t="n">
        <f aca="false">E66-B66</f>
        <v>54.457</v>
      </c>
      <c r="G66" s="22" t="n">
        <f aca="false">C66*(1+level_3y_worst/100)</f>
        <v>43.07</v>
      </c>
      <c r="H66" s="22" t="n">
        <f aca="false">G66-B66</f>
        <v>43.07</v>
      </c>
    </row>
    <row r="67" customFormat="false" ht="15" hidden="false" customHeight="false" outlineLevel="0" collapsed="false">
      <c r="A67" s="0" t="n">
        <v>49</v>
      </c>
      <c r="B67" s="22" t="n">
        <f aca="false">IF(A67&gt;=loan_term_months,0,(100-loan_deposit_pct)*((1+loan_apr/1200)^loan_term_months-(1+loan_apr/1200)^A67)/((1+loan_apr/1200)^loan_term_months-1))</f>
        <v>0</v>
      </c>
      <c r="C67" s="22" t="n">
        <f aca="false">INDEX($B$7:$G$7,MIN(4,INT(A67/12))+1)+(A67/12-MIN(4,INT(A67/12)))*(INDEX($B$7:$G$7,MIN(4,INT(A67/12))+2)-INDEX($B$7:$G$7,MIN(4,INT(A67/12))+1))</f>
        <v>58.4166666666667</v>
      </c>
      <c r="D67" s="22" t="n">
        <f aca="false">C67-B67</f>
        <v>58.4166666666667</v>
      </c>
      <c r="E67" s="22" t="n">
        <f aca="false">C67*(1+level_3y_p10_core/100)</f>
        <v>53.9185833333333</v>
      </c>
      <c r="F67" s="22" t="n">
        <f aca="false">E67-B67</f>
        <v>53.9185833333333</v>
      </c>
      <c r="G67" s="22" t="n">
        <f aca="false">C67*(1+level_3y_worst/100)</f>
        <v>42.6441666666667</v>
      </c>
      <c r="H67" s="22" t="n">
        <f aca="false">G67-B67</f>
        <v>42.6441666666667</v>
      </c>
    </row>
    <row r="68" customFormat="false" ht="15" hidden="false" customHeight="false" outlineLevel="0" collapsed="false">
      <c r="A68" s="0" t="n">
        <v>50</v>
      </c>
      <c r="B68" s="22" t="n">
        <f aca="false">IF(A68&gt;=loan_term_months,0,(100-loan_deposit_pct)*((1+loan_apr/1200)^loan_term_months-(1+loan_apr/1200)^A68)/((1+loan_apr/1200)^loan_term_months-1))</f>
        <v>0</v>
      </c>
      <c r="C68" s="22" t="n">
        <f aca="false">INDEX($B$7:$G$7,MIN(4,INT(A68/12))+1)+(A68/12-MIN(4,INT(A68/12)))*(INDEX($B$7:$G$7,MIN(4,INT(A68/12))+2)-INDEX($B$7:$G$7,MIN(4,INT(A68/12))+1))</f>
        <v>57.8333333333333</v>
      </c>
      <c r="D68" s="22" t="n">
        <f aca="false">C68-B68</f>
        <v>57.8333333333333</v>
      </c>
      <c r="E68" s="22" t="n">
        <f aca="false">C68*(1+level_3y_p10_core/100)</f>
        <v>53.3801666666667</v>
      </c>
      <c r="F68" s="22" t="n">
        <f aca="false">E68-B68</f>
        <v>53.3801666666667</v>
      </c>
      <c r="G68" s="22" t="n">
        <f aca="false">C68*(1+level_3y_worst/100)</f>
        <v>42.2183333333333</v>
      </c>
      <c r="H68" s="22" t="n">
        <f aca="false">G68-B68</f>
        <v>42.2183333333333</v>
      </c>
    </row>
    <row r="69" customFormat="false" ht="15" hidden="false" customHeight="false" outlineLevel="0" collapsed="false">
      <c r="A69" s="0" t="n">
        <v>51</v>
      </c>
      <c r="B69" s="22" t="n">
        <f aca="false">IF(A69&gt;=loan_term_months,0,(100-loan_deposit_pct)*((1+loan_apr/1200)^loan_term_months-(1+loan_apr/1200)^A69)/((1+loan_apr/1200)^loan_term_months-1))</f>
        <v>0</v>
      </c>
      <c r="C69" s="22" t="n">
        <f aca="false">INDEX($B$7:$G$7,MIN(4,INT(A69/12))+1)+(A69/12-MIN(4,INT(A69/12)))*(INDEX($B$7:$G$7,MIN(4,INT(A69/12))+2)-INDEX($B$7:$G$7,MIN(4,INT(A69/12))+1))</f>
        <v>57.25</v>
      </c>
      <c r="D69" s="22" t="n">
        <f aca="false">C69-B69</f>
        <v>57.25</v>
      </c>
      <c r="E69" s="22" t="n">
        <f aca="false">C69*(1+level_3y_p10_core/100)</f>
        <v>52.84175</v>
      </c>
      <c r="F69" s="22" t="n">
        <f aca="false">E69-B69</f>
        <v>52.84175</v>
      </c>
      <c r="G69" s="22" t="n">
        <f aca="false">C69*(1+level_3y_worst/100)</f>
        <v>41.7925</v>
      </c>
      <c r="H69" s="22" t="n">
        <f aca="false">G69-B69</f>
        <v>41.7925</v>
      </c>
    </row>
    <row r="70" customFormat="false" ht="15" hidden="false" customHeight="false" outlineLevel="0" collapsed="false">
      <c r="A70" s="0" t="n">
        <v>52</v>
      </c>
      <c r="B70" s="22" t="n">
        <f aca="false">IF(A70&gt;=loan_term_months,0,(100-loan_deposit_pct)*((1+loan_apr/1200)^loan_term_months-(1+loan_apr/1200)^A70)/((1+loan_apr/1200)^loan_term_months-1))</f>
        <v>0</v>
      </c>
      <c r="C70" s="22" t="n">
        <f aca="false">INDEX($B$7:$G$7,MIN(4,INT(A70/12))+1)+(A70/12-MIN(4,INT(A70/12)))*(INDEX($B$7:$G$7,MIN(4,INT(A70/12))+2)-INDEX($B$7:$G$7,MIN(4,INT(A70/12))+1))</f>
        <v>56.6666666666667</v>
      </c>
      <c r="D70" s="22" t="n">
        <f aca="false">C70-B70</f>
        <v>56.6666666666667</v>
      </c>
      <c r="E70" s="22" t="n">
        <f aca="false">C70*(1+level_3y_p10_core/100)</f>
        <v>52.3033333333333</v>
      </c>
      <c r="F70" s="22" t="n">
        <f aca="false">E70-B70</f>
        <v>52.3033333333333</v>
      </c>
      <c r="G70" s="22" t="n">
        <f aca="false">C70*(1+level_3y_worst/100)</f>
        <v>41.3666666666667</v>
      </c>
      <c r="H70" s="22" t="n">
        <f aca="false">G70-B70</f>
        <v>41.3666666666667</v>
      </c>
    </row>
    <row r="71" customFormat="false" ht="15" hidden="false" customHeight="false" outlineLevel="0" collapsed="false">
      <c r="A71" s="0" t="n">
        <v>53</v>
      </c>
      <c r="B71" s="22" t="n">
        <f aca="false">IF(A71&gt;=loan_term_months,0,(100-loan_deposit_pct)*((1+loan_apr/1200)^loan_term_months-(1+loan_apr/1200)^A71)/((1+loan_apr/1200)^loan_term_months-1))</f>
        <v>0</v>
      </c>
      <c r="C71" s="22" t="n">
        <f aca="false">INDEX($B$7:$G$7,MIN(4,INT(A71/12))+1)+(A71/12-MIN(4,INT(A71/12)))*(INDEX($B$7:$G$7,MIN(4,INT(A71/12))+2)-INDEX($B$7:$G$7,MIN(4,INT(A71/12))+1))</f>
        <v>56.0833333333333</v>
      </c>
      <c r="D71" s="22" t="n">
        <f aca="false">C71-B71</f>
        <v>56.0833333333333</v>
      </c>
      <c r="E71" s="22" t="n">
        <f aca="false">C71*(1+level_3y_p10_core/100)</f>
        <v>51.7649166666667</v>
      </c>
      <c r="F71" s="22" t="n">
        <f aca="false">E71-B71</f>
        <v>51.7649166666667</v>
      </c>
      <c r="G71" s="22" t="n">
        <f aca="false">C71*(1+level_3y_worst/100)</f>
        <v>40.9408333333333</v>
      </c>
      <c r="H71" s="22" t="n">
        <f aca="false">G71-B71</f>
        <v>40.9408333333333</v>
      </c>
    </row>
    <row r="72" customFormat="false" ht="15" hidden="false" customHeight="false" outlineLevel="0" collapsed="false">
      <c r="A72" s="0" t="n">
        <v>54</v>
      </c>
      <c r="B72" s="22" t="n">
        <f aca="false">IF(A72&gt;=loan_term_months,0,(100-loan_deposit_pct)*((1+loan_apr/1200)^loan_term_months-(1+loan_apr/1200)^A72)/((1+loan_apr/1200)^loan_term_months-1))</f>
        <v>0</v>
      </c>
      <c r="C72" s="22" t="n">
        <f aca="false">INDEX($B$7:$G$7,MIN(4,INT(A72/12))+1)+(A72/12-MIN(4,INT(A72/12)))*(INDEX($B$7:$G$7,MIN(4,INT(A72/12))+2)-INDEX($B$7:$G$7,MIN(4,INT(A72/12))+1))</f>
        <v>55.5</v>
      </c>
      <c r="D72" s="22" t="n">
        <f aca="false">C72-B72</f>
        <v>55.5</v>
      </c>
      <c r="E72" s="22" t="n">
        <f aca="false">C72*(1+level_3y_p10_core/100)</f>
        <v>51.2265</v>
      </c>
      <c r="F72" s="22" t="n">
        <f aca="false">E72-B72</f>
        <v>51.2265</v>
      </c>
      <c r="G72" s="22" t="n">
        <f aca="false">C72*(1+level_3y_worst/100)</f>
        <v>40.515</v>
      </c>
      <c r="H72" s="22" t="n">
        <f aca="false">G72-B72</f>
        <v>40.515</v>
      </c>
    </row>
    <row r="73" customFormat="false" ht="15" hidden="false" customHeight="false" outlineLevel="0" collapsed="false">
      <c r="A73" s="0" t="n">
        <v>55</v>
      </c>
      <c r="B73" s="22" t="n">
        <f aca="false">IF(A73&gt;=loan_term_months,0,(100-loan_deposit_pct)*((1+loan_apr/1200)^loan_term_months-(1+loan_apr/1200)^A73)/((1+loan_apr/1200)^loan_term_months-1))</f>
        <v>0</v>
      </c>
      <c r="C73" s="22" t="n">
        <f aca="false">INDEX($B$7:$G$7,MIN(4,INT(A73/12))+1)+(A73/12-MIN(4,INT(A73/12)))*(INDEX($B$7:$G$7,MIN(4,INT(A73/12))+2)-INDEX($B$7:$G$7,MIN(4,INT(A73/12))+1))</f>
        <v>54.9166666666667</v>
      </c>
      <c r="D73" s="22" t="n">
        <f aca="false">C73-B73</f>
        <v>54.9166666666667</v>
      </c>
      <c r="E73" s="22" t="n">
        <f aca="false">C73*(1+level_3y_p10_core/100)</f>
        <v>50.6880833333333</v>
      </c>
      <c r="F73" s="22" t="n">
        <f aca="false">E73-B73</f>
        <v>50.6880833333333</v>
      </c>
      <c r="G73" s="22" t="n">
        <f aca="false">C73*(1+level_3y_worst/100)</f>
        <v>40.0891666666667</v>
      </c>
      <c r="H73" s="22" t="n">
        <f aca="false">G73-B73</f>
        <v>40.0891666666667</v>
      </c>
    </row>
    <row r="74" customFormat="false" ht="15" hidden="false" customHeight="false" outlineLevel="0" collapsed="false">
      <c r="A74" s="0" t="n">
        <v>56</v>
      </c>
      <c r="B74" s="22" t="n">
        <f aca="false">IF(A74&gt;=loan_term_months,0,(100-loan_deposit_pct)*((1+loan_apr/1200)^loan_term_months-(1+loan_apr/1200)^A74)/((1+loan_apr/1200)^loan_term_months-1))</f>
        <v>0</v>
      </c>
      <c r="C74" s="22" t="n">
        <f aca="false">INDEX($B$7:$G$7,MIN(4,INT(A74/12))+1)+(A74/12-MIN(4,INT(A74/12)))*(INDEX($B$7:$G$7,MIN(4,INT(A74/12))+2)-INDEX($B$7:$G$7,MIN(4,INT(A74/12))+1))</f>
        <v>54.3333333333333</v>
      </c>
      <c r="D74" s="22" t="n">
        <f aca="false">C74-B74</f>
        <v>54.3333333333333</v>
      </c>
      <c r="E74" s="22" t="n">
        <f aca="false">C74*(1+level_3y_p10_core/100)</f>
        <v>50.1496666666667</v>
      </c>
      <c r="F74" s="22" t="n">
        <f aca="false">E74-B74</f>
        <v>50.1496666666667</v>
      </c>
      <c r="G74" s="22" t="n">
        <f aca="false">C74*(1+level_3y_worst/100)</f>
        <v>39.6633333333333</v>
      </c>
      <c r="H74" s="22" t="n">
        <f aca="false">G74-B74</f>
        <v>39.6633333333333</v>
      </c>
    </row>
    <row r="75" customFormat="false" ht="15" hidden="false" customHeight="false" outlineLevel="0" collapsed="false">
      <c r="A75" s="0" t="n">
        <v>57</v>
      </c>
      <c r="B75" s="22" t="n">
        <f aca="false">IF(A75&gt;=loan_term_months,0,(100-loan_deposit_pct)*((1+loan_apr/1200)^loan_term_months-(1+loan_apr/1200)^A75)/((1+loan_apr/1200)^loan_term_months-1))</f>
        <v>0</v>
      </c>
      <c r="C75" s="22" t="n">
        <f aca="false">INDEX($B$7:$G$7,MIN(4,INT(A75/12))+1)+(A75/12-MIN(4,INT(A75/12)))*(INDEX($B$7:$G$7,MIN(4,INT(A75/12))+2)-INDEX($B$7:$G$7,MIN(4,INT(A75/12))+1))</f>
        <v>53.75</v>
      </c>
      <c r="D75" s="22" t="n">
        <f aca="false">C75-B75</f>
        <v>53.75</v>
      </c>
      <c r="E75" s="22" t="n">
        <f aca="false">C75*(1+level_3y_p10_core/100)</f>
        <v>49.61125</v>
      </c>
      <c r="F75" s="22" t="n">
        <f aca="false">E75-B75</f>
        <v>49.61125</v>
      </c>
      <c r="G75" s="22" t="n">
        <f aca="false">C75*(1+level_3y_worst/100)</f>
        <v>39.2375</v>
      </c>
      <c r="H75" s="22" t="n">
        <f aca="false">G75-B75</f>
        <v>39.2375</v>
      </c>
    </row>
    <row r="76" customFormat="false" ht="15" hidden="false" customHeight="false" outlineLevel="0" collapsed="false">
      <c r="A76" s="0" t="n">
        <v>58</v>
      </c>
      <c r="B76" s="22" t="n">
        <f aca="false">IF(A76&gt;=loan_term_months,0,(100-loan_deposit_pct)*((1+loan_apr/1200)^loan_term_months-(1+loan_apr/1200)^A76)/((1+loan_apr/1200)^loan_term_months-1))</f>
        <v>0</v>
      </c>
      <c r="C76" s="22" t="n">
        <f aca="false">INDEX($B$7:$G$7,MIN(4,INT(A76/12))+1)+(A76/12-MIN(4,INT(A76/12)))*(INDEX($B$7:$G$7,MIN(4,INT(A76/12))+2)-INDEX($B$7:$G$7,MIN(4,INT(A76/12))+1))</f>
        <v>53.1666666666667</v>
      </c>
      <c r="D76" s="22" t="n">
        <f aca="false">C76-B76</f>
        <v>53.1666666666667</v>
      </c>
      <c r="E76" s="22" t="n">
        <f aca="false">C76*(1+level_3y_p10_core/100)</f>
        <v>49.0728333333333</v>
      </c>
      <c r="F76" s="22" t="n">
        <f aca="false">E76-B76</f>
        <v>49.0728333333333</v>
      </c>
      <c r="G76" s="22" t="n">
        <f aca="false">C76*(1+level_3y_worst/100)</f>
        <v>38.8116666666667</v>
      </c>
      <c r="H76" s="22" t="n">
        <f aca="false">G76-B76</f>
        <v>38.8116666666667</v>
      </c>
    </row>
    <row r="77" customFormat="false" ht="15" hidden="false" customHeight="false" outlineLevel="0" collapsed="false">
      <c r="A77" s="0" t="n">
        <v>59</v>
      </c>
      <c r="B77" s="22" t="n">
        <f aca="false">IF(A77&gt;=loan_term_months,0,(100-loan_deposit_pct)*((1+loan_apr/1200)^loan_term_months-(1+loan_apr/1200)^A77)/((1+loan_apr/1200)^loan_term_months-1))</f>
        <v>0</v>
      </c>
      <c r="C77" s="22" t="n">
        <f aca="false">INDEX($B$7:$G$7,MIN(4,INT(A77/12))+1)+(A77/12-MIN(4,INT(A77/12)))*(INDEX($B$7:$G$7,MIN(4,INT(A77/12))+2)-INDEX($B$7:$G$7,MIN(4,INT(A77/12))+1))</f>
        <v>52.5833333333333</v>
      </c>
      <c r="D77" s="22" t="n">
        <f aca="false">C77-B77</f>
        <v>52.5833333333333</v>
      </c>
      <c r="E77" s="22" t="n">
        <f aca="false">C77*(1+level_3y_p10_core/100)</f>
        <v>48.5344166666667</v>
      </c>
      <c r="F77" s="22" t="n">
        <f aca="false">E77-B77</f>
        <v>48.5344166666667</v>
      </c>
      <c r="G77" s="22" t="n">
        <f aca="false">C77*(1+level_3y_worst/100)</f>
        <v>38.3858333333333</v>
      </c>
      <c r="H77" s="22" t="n">
        <f aca="false">G77-B77</f>
        <v>38.3858333333333</v>
      </c>
    </row>
    <row r="78" customFormat="false" ht="15" hidden="false" customHeight="false" outlineLevel="0" collapsed="false">
      <c r="A78" s="0" t="n">
        <v>60</v>
      </c>
      <c r="B78" s="22" t="n">
        <f aca="false">IF(A78&gt;=loan_term_months,0,(100-loan_deposit_pct)*((1+loan_apr/1200)^loan_term_months-(1+loan_apr/1200)^A78)/((1+loan_apr/1200)^loan_term_months-1))</f>
        <v>0</v>
      </c>
      <c r="C78" s="22" t="n">
        <f aca="false">INDEX($B$7:$G$7,MIN(4,INT(A78/12))+1)+(A78/12-MIN(4,INT(A78/12)))*(INDEX($B$7:$G$7,MIN(4,INT(A78/12))+2)-INDEX($B$7:$G$7,MIN(4,INT(A78/12))+1))</f>
        <v>52</v>
      </c>
      <c r="D78" s="22" t="n">
        <f aca="false">C78-B78</f>
        <v>52</v>
      </c>
      <c r="E78" s="22" t="n">
        <f aca="false">C78*(1+level_3y_p10_core/100)</f>
        <v>47.996</v>
      </c>
      <c r="F78" s="22" t="n">
        <f aca="false">E78-B78</f>
        <v>47.996</v>
      </c>
      <c r="G78" s="22" t="n">
        <f aca="false">C78*(1+level_3y_worst/100)</f>
        <v>37.96</v>
      </c>
      <c r="H78" s="22" t="n">
        <f aca="false">G78-B78</f>
        <v>37.96</v>
      </c>
    </row>
    <row r="80" customFormat="false" ht="15" hidden="false" customHeight="false" outlineLevel="0" collapsed="false">
      <c r="A80" s="3" t="s">
        <v>3318</v>
      </c>
      <c r="B80" s="0" t="n">
        <f aca="false">IFERROR(MATCH(TRUE(),INDEX($D$30:$D$78&gt;=loan_deposit_pct,0),0)+11,"not within the term")</f>
        <v>12</v>
      </c>
      <c r="C80" s="0" t="n">
        <f aca="false">IFERROR(MATCH(TRUE(),INDEX($F$30:$F$78&gt;=loan_deposit_pct,0),0)+11,"not within the term")</f>
        <v>12</v>
      </c>
      <c r="D80" s="0" t="n">
        <f aca="false">IFERROR(MATCH(TRUE(),INDEX($H$30:$H$78&gt;=loan_deposit_pct,0),0)+11,"not within the term")</f>
        <v>28</v>
      </c>
    </row>
    <row r="81" customFormat="false" ht="15" hidden="false" customHeight="false" outlineLevel="0" collapsed="false">
      <c r="B81" s="14" t="s">
        <v>3319</v>
      </c>
      <c r="C81" s="14" t="s">
        <v>3320</v>
      </c>
      <c r="D81" s="14" t="s">
        <v>3321</v>
      </c>
    </row>
    <row r="82" customFormat="false" ht="15" hidden="false" customHeight="false" outlineLevel="0" collapsed="false">
      <c r="A82" s="3" t="s">
        <v>3322</v>
      </c>
      <c r="B82" s="0" t="n">
        <f aca="false">window_nl_measured_m</f>
        <v>18</v>
      </c>
      <c r="C82" s="0" t="n">
        <f aca="false">window_nl_p10_m</f>
        <v>21</v>
      </c>
      <c r="D82" s="0" t="n">
        <f aca="false">window_nl_worst_m</f>
        <v>33</v>
      </c>
    </row>
    <row r="84" customFormat="false" ht="61.5" hidden="false" customHeight="true" outlineLevel="0" collapsed="false">
      <c r="A84" s="12" t="s">
        <v>3323</v>
      </c>
    </row>
    <row r="86" customFormat="false" ht="15" hidden="false" customHeight="false" outlineLevel="0" collapsed="false">
      <c r="A86" s="3" t="s">
        <v>3324</v>
      </c>
    </row>
    <row r="87" customFormat="false" ht="15" hidden="false" customHeight="false" outlineLevel="0" collapsed="false">
      <c r="A87" s="16" t="s">
        <v>3325</v>
      </c>
      <c r="B87" s="23" t="n">
        <f aca="false">sfse_eu_nv_contracts_2025</f>
        <v>646138</v>
      </c>
      <c r="C87" s="14" t="s">
        <v>3326</v>
      </c>
    </row>
    <row r="88" customFormat="false" ht="15" hidden="false" customHeight="false" outlineLevel="0" collapsed="false">
      <c r="A88" s="16" t="s">
        <v>3327</v>
      </c>
      <c r="B88" s="23" t="n">
        <f aca="false">sfse_eu_nv_contracts_2025 * upgrade_capture_uplift/100</f>
        <v>19384.14</v>
      </c>
      <c r="C88" s="14" t="s">
        <v>596</v>
      </c>
    </row>
    <row r="89" customFormat="false" ht="15" hidden="false" customHeight="false" outlineLevel="0" collapsed="false">
      <c r="A89" s="3" t="s">
        <v>3328</v>
      </c>
      <c r="B89" s="15" t="n">
        <f aca="false">sfse_eu_nv_contracts_2025 * upgrade_capture_uplift/100 * margin_per_repeat_sale / 1000000</f>
        <v>38.76828</v>
      </c>
      <c r="C89" s="14" t="s">
        <v>3329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62"/>
  </cols>
  <sheetData>
    <row r="1" customFormat="false" ht="17.35" hidden="false" customHeight="false" outlineLevel="0" collapsed="false">
      <c r="A1" s="1" t="s">
        <v>3330</v>
      </c>
    </row>
    <row r="3" customFormat="false" ht="31.5" hidden="false" customHeight="true" outlineLevel="0" collapsed="false">
      <c r="A3" s="12" t="s">
        <v>3331</v>
      </c>
    </row>
    <row r="5" customFormat="false" ht="15" hidden="false" customHeight="false" outlineLevel="0" collapsed="false">
      <c r="A5" s="16" t="s">
        <v>3332</v>
      </c>
      <c r="B5" s="21" t="n">
        <f aca="false">buyback_payables_eur_m</f>
        <v>7889</v>
      </c>
      <c r="C5" s="14" t="s">
        <v>3333</v>
      </c>
    </row>
    <row r="6" customFormat="false" ht="15" hidden="false" customHeight="false" outlineLevel="0" collapsed="false">
      <c r="A6" s="3" t="s">
        <v>3334</v>
      </c>
      <c r="B6" s="15" t="n">
        <f aca="false">buyback_payables_current_eur_m</f>
        <v>5313</v>
      </c>
      <c r="C6" s="14" t="s">
        <v>3335</v>
      </c>
    </row>
    <row r="8" customFormat="false" ht="15" hidden="false" customHeight="false" outlineLevel="0" collapsed="false">
      <c r="A8" s="3" t="s">
        <v>3336</v>
      </c>
    </row>
    <row r="9" customFormat="false" ht="15" hidden="false" customHeight="false" outlineLevel="0" collapsed="false">
      <c r="A9" s="16" t="s">
        <v>3337</v>
      </c>
      <c r="B9" s="21" t="n">
        <f aca="false">buyback_payables_current_eur_m * ABS(level_1y_p10_book)/100</f>
        <v>74.96643</v>
      </c>
      <c r="C9" s="14" t="s">
        <v>3338</v>
      </c>
    </row>
    <row r="10" customFormat="false" ht="15" hidden="false" customHeight="false" outlineLevel="0" collapsed="false">
      <c r="A10" s="16" t="s">
        <v>3339</v>
      </c>
      <c r="B10" s="21" t="n">
        <f aca="false">buyback_payables_current_eur_m * ABS(level_1y_p10_core)/100</f>
        <v>239.085</v>
      </c>
      <c r="C10" s="14" t="s">
        <v>3340</v>
      </c>
    </row>
    <row r="11" customFormat="false" ht="15" hidden="false" customHeight="false" outlineLevel="0" collapsed="false">
      <c r="A11" s="16" t="s">
        <v>3341</v>
      </c>
      <c r="B11" s="21" t="n">
        <f aca="false">buyback_payables_current_eur_m * ABS(level_1y_p10)/100</f>
        <v>334.719</v>
      </c>
    </row>
    <row r="12" customFormat="false" ht="15" hidden="false" customHeight="false" outlineLevel="0" collapsed="false">
      <c r="A12" s="16" t="s">
        <v>3342</v>
      </c>
      <c r="B12" s="21" t="n">
        <f aca="false">buyback_payables_current_eur_m * ABS(level_1y_worst)/100</f>
        <v>786.324</v>
      </c>
    </row>
    <row r="13" customFormat="false" ht="15" hidden="false" customHeight="false" outlineLevel="0" collapsed="false">
      <c r="A13" s="16" t="s">
        <v>3343</v>
      </c>
      <c r="B13" s="21" t="n">
        <f aca="false">buyback_payables_current_eur_m * x9_group_bev_share_2024/100 * ABS(x9_pl_ev_slump_gap)/100</f>
        <v>103.507866</v>
      </c>
      <c r="C13" s="14" t="s">
        <v>3344</v>
      </c>
    </row>
    <row r="15" customFormat="false" ht="15" hidden="false" customHeight="false" outlineLevel="0" collapsed="false">
      <c r="A15" s="3" t="s">
        <v>3345</v>
      </c>
    </row>
    <row r="16" customFormat="false" ht="15" hidden="false" customHeight="false" outlineLevel="0" collapsed="false">
      <c r="A16" s="16" t="s">
        <v>3346</v>
      </c>
      <c r="B16" s="21" t="n">
        <f aca="false">buyback_payables_current_eur_m * curve_1y_p80_known/2/retained_1y_pooled * (1 - thin_share_of_book/100)</f>
        <v>21.9424559471366</v>
      </c>
      <c r="C16" s="14" t="s">
        <v>3347</v>
      </c>
    </row>
    <row r="17" customFormat="false" ht="15" hidden="false" customHeight="false" outlineLevel="0" collapsed="false">
      <c r="A17" s="16" t="s">
        <v>3348</v>
      </c>
      <c r="B17" s="21" t="n">
        <f aca="false">buyback_payables_current_eur_m * curve_1y_p80_unknown/2/retained_1y_pooled * thin_share_of_book/100</f>
        <v>37.3021751101322</v>
      </c>
      <c r="C17" s="14" t="s">
        <v>3349</v>
      </c>
    </row>
    <row r="19" customFormat="false" ht="15" hidden="false" customHeight="false" outlineLevel="0" collapsed="false">
      <c r="A19" s="3" t="s">
        <v>3350</v>
      </c>
    </row>
    <row r="20" customFormat="false" ht="15" hidden="false" customHeight="false" outlineLevel="0" collapsed="false">
      <c r="A20" s="16" t="s">
        <v>3351</v>
      </c>
      <c r="B20" s="21" t="n">
        <f aca="false">buyback_payables_current_eur_m * x17_days_cut * x17_day_cost_central/10000</f>
        <v>16.31091</v>
      </c>
      <c r="C20" s="14" t="s">
        <v>3352</v>
      </c>
    </row>
    <row r="21" customFormat="false" ht="15" hidden="false" customHeight="false" outlineLevel="0" collapsed="false">
      <c r="A21" s="16" t="s">
        <v>3353</v>
      </c>
      <c r="B21" s="21" t="n">
        <f aca="false">buyback_payables_current_eur_m * x17_share_routed/100 * x17_channel_gain_after_costs/100</f>
        <v>8.5008</v>
      </c>
      <c r="C21" s="14" t="s">
        <v>3354</v>
      </c>
    </row>
    <row r="22" customFormat="false" ht="15" hidden="false" customHeight="false" outlineLevel="0" collapsed="false">
      <c r="A22" s="16" t="s">
        <v>3355</v>
      </c>
      <c r="B22" s="21" t="n">
        <f aca="false">buyback_payables_current_eur_m * ABS(level_1y_p10_book)/100</f>
        <v>74.96643</v>
      </c>
      <c r="C22" s="14" t="s">
        <v>3356</v>
      </c>
    </row>
    <row r="23" customFormat="false" ht="15" hidden="false" customHeight="false" outlineLevel="0" collapsed="false">
      <c r="A23" s="16" t="s">
        <v>3357</v>
      </c>
      <c r="B23" s="21" t="n">
        <f aca="false">buyback_payables_current_eur_m * (curve_1y_p80_known/2/retained_1y_pooled * (1 - thin_share_of_book/100) + curve_1y_p80_unknown/2/retained_1y_pooled * thin_share_of_book/100) + buyback_payables_current_eur_m * (x17_days_cut * x17_day_cost_central/10000 + x17_share_routed/100 * x17_channel_gain_after_costs/100)</f>
        <v>84.0563410572687</v>
      </c>
      <c r="C23" s="14" t="s">
        <v>3358</v>
      </c>
    </row>
    <row r="25" customFormat="false" ht="15" hidden="false" customHeight="false" outlineLevel="0" collapsed="false">
      <c r="A25" s="3" t="s">
        <v>3359</v>
      </c>
    </row>
    <row r="26" customFormat="false" ht="15" hidden="false" customHeight="false" outlineLevel="0" collapsed="false">
      <c r="A26" s="16" t="s">
        <v>3360</v>
      </c>
      <c r="B26" s="21" t="n">
        <f aca="false">buyback_payables_current_eur_m * MAX(0, x18_exp_twosided_book)/100</f>
        <v>0</v>
      </c>
      <c r="C26" s="14" t="s">
        <v>3361</v>
      </c>
    </row>
    <row r="27" customFormat="false" ht="15" hidden="false" customHeight="false" outlineLevel="0" collapsed="false">
      <c r="A27" s="16" t="s">
        <v>3362</v>
      </c>
      <c r="B27" s="21" t="n">
        <f aca="false">buyback_payables_current_eur_m * x18_exp_twosided_uk_long/100</f>
        <v>15.88587</v>
      </c>
      <c r="C27" s="14" t="s">
        <v>3363</v>
      </c>
    </row>
    <row r="28" customFormat="false" ht="15" hidden="false" customHeight="false" outlineLevel="0" collapsed="false">
      <c r="A28" s="16" t="s">
        <v>3364</v>
      </c>
      <c r="B28" s="21" t="n">
        <f aca="false">buyback_payables_current_eur_m * x18_exp_onesided_book/100</f>
        <v>61.04637</v>
      </c>
      <c r="C28" s="14" t="s">
        <v>3365</v>
      </c>
    </row>
    <row r="29" customFormat="false" ht="15" hidden="false" customHeight="false" outlineLevel="0" collapsed="false">
      <c r="A29" s="3" t="s">
        <v>3366</v>
      </c>
      <c r="B29" s="15" t="n">
        <f aca="false">(buyback_payables_current_eur_m * MAX(0, x18_exp_twosided_book)/100 + buyback_payables_current_eur_m * (x17_days_cut * x17_day_cost_central/10000 + x17_share_routed/100 * x17_channel_gain_after_costs/100))</f>
        <v>24.81171</v>
      </c>
      <c r="C29" s="14" t="s">
        <v>3367</v>
      </c>
    </row>
    <row r="30" customFormat="false" ht="15" hidden="false" customHeight="false" outlineLevel="0" collapsed="false">
      <c r="A30" s="16" t="s">
        <v>3368</v>
      </c>
      <c r="B30" s="21" t="n">
        <f aca="false">(buyback_payables_current_eur_m * (ABS(level_1y_p10_book)/100 + (curve_1y_p80_known/2/retained_1y_pooled * (1 - thin_share_of_book/100) + curve_1y_p80_unknown/2/retained_1y_pooled * thin_share_of_book/100))) * x18_joint_share_book/100</f>
        <v>92.4714210684581</v>
      </c>
      <c r="C30" s="14" t="s">
        <v>3369</v>
      </c>
    </row>
    <row r="31" customFormat="false" ht="15" hidden="false" customHeight="false" outlineLevel="0" collapsed="false">
      <c r="A31" s="3" t="s">
        <v>3370</v>
      </c>
      <c r="B31" s="15" t="n">
        <f aca="false">((buyback_payables_current_eur_m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117.283131068458</v>
      </c>
      <c r="C31" s="14" t="s">
        <v>3371</v>
      </c>
    </row>
    <row r="32" customFormat="false" ht="15" hidden="false" customHeight="false" outlineLevel="0" collapsed="false">
      <c r="A32" s="16" t="s">
        <v>3372</v>
      </c>
      <c r="B32" s="21" t="n">
        <f aca="false">((buyback_payables_current_eur_m * (ABS(level_1y_p10_core)/100 + (curve_1y_p80_known/2/retained_1y_pooled * (1 - thin_share_of_book/100) + curve_1y_p80_unknown/2/retained_1y_pooled * thin_share_of_book/100))) * x18_joint_share_stress/100 + buyback_payables_current_eur_m * (x17_days_cut * x17_day_cost_central/10000 + x17_share_routed/100 * x17_channel_gain_after_costs/100))</f>
        <v>275.110270457048</v>
      </c>
      <c r="C32" s="14" t="s">
        <v>3373</v>
      </c>
    </row>
    <row r="33" customFormat="false" ht="15" hidden="false" customHeight="false" outlineLevel="0" collapsed="false">
      <c r="A33" s="16" t="s">
        <v>3374</v>
      </c>
      <c r="B33" s="21" t="n">
        <f aca="false">(buyback_payables_current_eur_m * (ABS(level_1y_p10_book)/100 + (curve_1y_p80_known/2/retained_1y_pooled * (1 - thin_share_of_book/100) + curve_1y_p80_unknown/2/retained_1y_pooled * thin_share_of_book/100)) + buyback_payables_current_eur_m * (x17_days_cut * x17_day_cost_central/10000 + x17_share_routed/100 * x17_channel_gain_after_costs/100))</f>
        <v>159.022771057269</v>
      </c>
      <c r="C33" s="14" t="s">
        <v>3375</v>
      </c>
    </row>
    <row r="34" customFormat="false" ht="15" hidden="false" customHeight="false" outlineLevel="0" collapsed="false">
      <c r="A34" s="16" t="s">
        <v>3376</v>
      </c>
      <c r="B34" s="21" t="n">
        <f aca="false">(buyback_payables_current_eur_m * (ABS(level_1y_p10_core)/100 + (curve_1y_p80_known/2/retained_1y_pooled * (1 - thin_share_of_book/100) + curve_1y_p80_unknown/2/retained_1y_pooled * thin_share_of_book/100)) + buyback_payables_current_eur_m * (x17_days_cut * x17_day_cost_central/10000 + x17_share_routed/100 * x17_channel_gain_after_costs/100))</f>
        <v>323.141341057269</v>
      </c>
    </row>
    <row r="36" customFormat="false" ht="15" hidden="false" customHeight="false" outlineLevel="0" collapsed="false">
      <c r="A36" s="3" t="s">
        <v>3377</v>
      </c>
    </row>
    <row r="37" customFormat="false" ht="15" hidden="false" customHeight="false" outlineLevel="0" collapsed="false">
      <c r="A37" s="16" t="s">
        <v>3378</v>
      </c>
      <c r="B37" s="21" t="n">
        <f aca="false">buyback_value_decrease_2023_eur_m</f>
        <v>82</v>
      </c>
    </row>
    <row r="38" customFormat="false" ht="15" hidden="false" customHeight="false" outlineLevel="0" collapsed="false">
      <c r="A38" s="16" t="s">
        <v>3379</v>
      </c>
      <c r="B38" s="21" t="n">
        <f aca="false">buyback_value_decrease_2024_eur_m</f>
        <v>179</v>
      </c>
    </row>
    <row r="39" customFormat="false" ht="15" hidden="false" customHeight="false" outlineLevel="0" collapsed="false">
      <c r="A39" s="16" t="s">
        <v>3380</v>
      </c>
      <c r="B39" s="21" t="n">
        <f aca="false">buyback_value_decrease_2025_eur_m</f>
        <v>358</v>
      </c>
      <c r="C39" s="14" t="s">
        <v>3381</v>
      </c>
    </row>
    <row r="40" customFormat="false" ht="45.75" hidden="false" customHeight="true" outlineLevel="0" collapsed="false">
      <c r="A40" s="12" t="s">
        <v>3382</v>
      </c>
    </row>
    <row r="42" customFormat="false" ht="15" hidden="false" customHeight="false" outlineLevel="0" collapsed="false">
      <c r="A42" s="3" t="s">
        <v>3383</v>
      </c>
    </row>
    <row r="43" customFormat="false" ht="15" hidden="false" customHeight="false" outlineLevel="0" collapsed="false">
      <c r="A43" s="16" t="s">
        <v>3384</v>
      </c>
      <c r="B43" s="21" t="n">
        <f aca="false">buyback_payables_eur_m * (ABS(level_3y_p10_book)/100 + (curve_p80_known/2/retained_3y_pooled * (1 - thin_share_of_book/100) + curve_p80_unknown/2/retained_3y_pooled * thin_share_of_book/100))</f>
        <v>517.5184</v>
      </c>
      <c r="C43" s="14" t="s">
        <v>3385</v>
      </c>
    </row>
    <row r="44" customFormat="false" ht="15" hidden="false" customHeight="false" outlineLevel="0" collapsed="false">
      <c r="A44" s="16" t="s">
        <v>3386</v>
      </c>
      <c r="B44" s="21" t="n">
        <f aca="false">buyback_payables_eur_m * (ABS(level_3y_p10_core)/100 + (curve_p80_known/2/retained_3y_pooled * (1 - thin_share_of_book/100) + curve_p80_unknown/2/retained_3y_pooled * thin_share_of_book/100))</f>
        <v>867.79</v>
      </c>
    </row>
    <row r="45" customFormat="false" ht="15" hidden="false" customHeight="false" outlineLevel="0" collapsed="false">
      <c r="A45" s="16" t="s">
        <v>3387</v>
      </c>
      <c r="B45" s="21" t="n">
        <f aca="false">buyback_payables_eur_m * (ABS(level_3y_worst)/100 + (curve_p80_known/2/retained_3y_pooled * (1 - thin_share_of_book/100) + curve_p80_unknown/2/retained_3y_pooled * thin_share_of_book/100))</f>
        <v>2390.367</v>
      </c>
    </row>
    <row r="47" customFormat="false" ht="15" hidden="false" customHeight="false" outlineLevel="0" collapsed="false">
      <c r="A47" s="3" t="s">
        <v>3388</v>
      </c>
    </row>
    <row r="48" customFormat="false" ht="15" hidden="false" customHeight="false" outlineLevel="0" collapsed="false">
      <c r="A48" s="16" t="s">
        <v>3389</v>
      </c>
      <c r="B48" s="21" t="n">
        <f aca="false">buyback_payables_current_eur_m * (x17_days_cut * x17_day_cost_central/10000 + x17_share_routed/100 * x17_channel_gain_after_costs/100)</f>
        <v>24.81171</v>
      </c>
      <c r="C48" s="14" t="s">
        <v>3390</v>
      </c>
    </row>
    <row r="49" customFormat="false" ht="15" hidden="false" customHeight="false" outlineLevel="0" collapsed="false">
      <c r="A49" s="16" t="s">
        <v>3391</v>
      </c>
      <c r="B49" s="21" t="n">
        <f aca="false">buyback_payables_current_eur_m * curve_1y_p80_unknown/2/retained_1y_pooled * thin_share_of_book/100 * pooling_gain_100/100</f>
        <v>1.60399352973568</v>
      </c>
      <c r="C49" s="14" t="s">
        <v>3392</v>
      </c>
    </row>
    <row r="50" customFormat="false" ht="15" hidden="false" customHeight="false" outlineLevel="0" collapsed="false">
      <c r="A50" s="16" t="s">
        <v>3393</v>
      </c>
      <c r="B50" s="21" t="n">
        <f aca="false">buyback_payables_eur_m * (ABS(level_3m_p5)-ABS(level_1m_p5))/100</f>
        <v>134.113</v>
      </c>
      <c r="C50" s="14" t="s">
        <v>3394</v>
      </c>
    </row>
    <row r="52" customFormat="false" ht="60" hidden="false" customHeight="true" outlineLevel="0" collapsed="false">
      <c r="A52" s="12" t="s">
        <v>3395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60"/>
  </cols>
  <sheetData>
    <row r="1" customFormat="false" ht="17.35" hidden="false" customHeight="false" outlineLevel="0" collapsed="false">
      <c r="A1" s="1" t="s">
        <v>3396</v>
      </c>
    </row>
    <row r="3" customFormat="false" ht="15" hidden="false" customHeight="false" outlineLevel="0" collapsed="false">
      <c r="A3" s="3" t="s">
        <v>3397</v>
      </c>
    </row>
    <row r="4" customFormat="false" ht="43.25" hidden="false" customHeight="false" outlineLevel="0" collapsed="false">
      <c r="A4" s="12" t="s">
        <v>3398</v>
      </c>
    </row>
    <row r="6" customFormat="false" ht="15" hidden="false" customHeight="false" outlineLevel="0" collapsed="false">
      <c r="A6" s="16" t="s">
        <v>3399</v>
      </c>
      <c r="B6" s="21" t="n">
        <f aca="false">new_car_price_eur</f>
        <v>11969</v>
      </c>
      <c r="C6" s="14" t="s">
        <v>3400</v>
      </c>
    </row>
    <row r="7" customFormat="false" ht="15" hidden="false" customHeight="false" outlineLevel="0" collapsed="false">
      <c r="A7" s="16" t="s">
        <v>3401</v>
      </c>
      <c r="B7" s="21" t="n">
        <f aca="false">new_car_price_eur * pl_sale_margin_pct_list/100</f>
        <v>1196.9</v>
      </c>
      <c r="C7" s="14" t="s">
        <v>3402</v>
      </c>
    </row>
    <row r="8" customFormat="false" ht="15" hidden="false" customHeight="false" outlineLevel="0" collapsed="false">
      <c r="A8" s="16" t="s">
        <v>3403</v>
      </c>
      <c r="B8" s="21" t="n">
        <f aca="false">-new_car_price_eur * pl_incentive_pct_list/100</f>
        <v>-957.52</v>
      </c>
      <c r="C8" s="14" t="s">
        <v>3404</v>
      </c>
    </row>
    <row r="9" customFormat="false" ht="15" hidden="false" customHeight="false" outlineLevel="0" collapsed="false">
      <c r="A9" s="16" t="s">
        <v>3405</v>
      </c>
      <c r="B9" s="21" t="n">
        <f aca="false">pl_finance_income_eur</f>
        <v>450</v>
      </c>
      <c r="C9" s="14" t="s">
        <v>3406</v>
      </c>
    </row>
    <row r="10" customFormat="false" ht="15" hidden="false" customHeight="false" outlineLevel="0" collapsed="false">
      <c r="A10" s="16" t="s">
        <v>3407</v>
      </c>
      <c r="B10" s="21" t="n">
        <f aca="false">pl_credit_loss_eur</f>
        <v>-66</v>
      </c>
      <c r="C10" s="14" t="s">
        <v>3408</v>
      </c>
    </row>
    <row r="11" customFormat="false" ht="15" hidden="false" customHeight="false" outlineLevel="0" collapsed="false">
      <c r="A11" s="16" t="s">
        <v>3409</v>
      </c>
      <c r="B11" s="21" t="n">
        <f aca="false">pl_service_parts_eur</f>
        <v>400</v>
      </c>
    </row>
    <row r="12" customFormat="false" ht="15" hidden="false" customHeight="false" outlineLevel="0" collapsed="false">
      <c r="A12" s="16" t="s">
        <v>3410</v>
      </c>
      <c r="B12" s="21" t="n">
        <f aca="false">-new_car_price_eur * pl_warranty_pct_list/100</f>
        <v>-299.225</v>
      </c>
      <c r="C12" s="14" t="s">
        <v>3411</v>
      </c>
    </row>
    <row r="13" customFormat="false" ht="15" hidden="false" customHeight="false" outlineLevel="0" collapsed="false">
      <c r="A13" s="16" t="s">
        <v>3412</v>
      </c>
      <c r="C13" s="14" t="s">
        <v>3413</v>
      </c>
    </row>
    <row r="14" customFormat="false" ht="15" hidden="false" customHeight="false" outlineLevel="0" collapsed="false">
      <c r="A14" s="16" t="s">
        <v>3414</v>
      </c>
      <c r="B14" s="21" t="n">
        <f aca="false">pl_recon_logistics_eur</f>
        <v>-500</v>
      </c>
    </row>
    <row r="15" customFormat="false" ht="15" hidden="false" customHeight="false" outlineLevel="0" collapsed="false">
      <c r="A15" s="16" t="s">
        <v>3415</v>
      </c>
      <c r="B15" s="21" t="n">
        <f aca="false">pl_remarketing_margin_eur</f>
        <v>300</v>
      </c>
    </row>
    <row r="16" customFormat="false" ht="15" hidden="false" customHeight="false" outlineLevel="0" collapsed="false">
      <c r="A16" s="3" t="s">
        <v>3416</v>
      </c>
      <c r="B16" s="15" t="n">
        <f aca="false">SUM(B7:B15)</f>
        <v>524.155</v>
      </c>
    </row>
    <row r="18" customFormat="false" ht="15" hidden="false" customHeight="false" outlineLevel="0" collapsed="false">
      <c r="A18" s="16" t="s">
        <v>3417</v>
      </c>
      <c r="B18" s="21" t="n">
        <f aca="false">-new_car_price_eur * retained_4y_uk/100 * ABS(level_3y_p10_core)/100</f>
        <v>-543.75167</v>
      </c>
      <c r="C18" s="14" t="s">
        <v>3418</v>
      </c>
    </row>
    <row r="19" customFormat="false" ht="15" hidden="false" customHeight="false" outlineLevel="0" collapsed="false">
      <c r="A19" s="16" t="s">
        <v>3419</v>
      </c>
      <c r="B19" s="21" t="n">
        <f aca="false">-new_car_price_eur * curve_p80_known/100</f>
        <v>-287.256</v>
      </c>
      <c r="C19" s="14" t="s">
        <v>3420</v>
      </c>
    </row>
    <row r="20" customFormat="false" ht="15" hidden="false" customHeight="false" outlineLevel="0" collapsed="false">
      <c r="A20" s="3" t="s">
        <v>3421</v>
      </c>
      <c r="B20" s="15" t="n">
        <f aca="false">B16 + SUM(B18:B19)</f>
        <v>-306.85267</v>
      </c>
    </row>
    <row r="23" customFormat="false" ht="15" hidden="false" customHeight="false" outlineLevel="0" collapsed="false">
      <c r="A23" s="3" t="s">
        <v>3422</v>
      </c>
    </row>
    <row r="24" customFormat="false" ht="31.5" hidden="false" customHeight="true" outlineLevel="0" collapsed="false">
      <c r="A24" s="12" t="s">
        <v>3423</v>
      </c>
    </row>
    <row r="25" customFormat="false" ht="15" hidden="false" customHeight="false" outlineLevel="0" collapsed="false">
      <c r="A25" s="16" t="s">
        <v>3424</v>
      </c>
      <c r="B25" s="21" t="n">
        <f aca="false">x6_loss_contract_group_48m</f>
        <v>614</v>
      </c>
      <c r="C25" s="14" t="s">
        <v>3425</v>
      </c>
    </row>
    <row r="26" customFormat="false" ht="15" hidden="false" customHeight="false" outlineLevel="0" collapsed="false">
      <c r="A26" s="16" t="s">
        <v>3426</v>
      </c>
      <c r="B26" s="24" t="n">
        <f aca="false">x6_charge_month_group_48m</f>
        <v>12.19</v>
      </c>
      <c r="C26" s="14" t="s">
        <v>170</v>
      </c>
    </row>
    <row r="27" customFormat="false" ht="15" hidden="false" customHeight="false" outlineLevel="0" collapsed="false">
      <c r="A27" s="16" t="s">
        <v>3427</v>
      </c>
      <c r="B27" s="21" t="n">
        <f aca="false">x6_capital_contract_group_48m</f>
        <v>258</v>
      </c>
      <c r="C27" s="14" t="s">
        <v>3428</v>
      </c>
    </row>
    <row r="28" customFormat="false" ht="15" hidden="false" customHeight="false" outlineLevel="0" collapsed="false">
      <c r="A28" s="3" t="s">
        <v>3429</v>
      </c>
      <c r="B28" s="15" t="n">
        <f aca="false">x6_price_contract_group_48m</f>
        <v>873</v>
      </c>
      <c r="C28" s="14" t="s">
        <v>3430</v>
      </c>
    </row>
    <row r="29" customFormat="false" ht="15" hidden="false" customHeight="false" outlineLevel="0" collapsed="false">
      <c r="A29" s="16" t="s">
        <v>3431</v>
      </c>
      <c r="B29" s="21" t="n">
        <f aca="false">x6_worst_tenth_group_48m</f>
        <v>2534</v>
      </c>
      <c r="C29" s="14" t="s">
        <v>3432</v>
      </c>
    </row>
    <row r="30" customFormat="false" ht="15" hidden="false" customHeight="false" outlineLevel="0" collapsed="false">
      <c r="A30" s="16" t="s">
        <v>3433</v>
      </c>
      <c r="B30" s="25" t="n">
        <f aca="false">x6_charge_cold_48m</f>
        <v>15.03</v>
      </c>
      <c r="C30" s="14" t="s">
        <v>3434</v>
      </c>
    </row>
    <row r="31" customFormat="false" ht="15" hidden="false" customHeight="false" outlineLevel="0" collapsed="false">
      <c r="A31" s="16" t="s">
        <v>3435</v>
      </c>
      <c r="B31" s="25" t="n">
        <f aca="false">x6_charge_middle_48m</f>
        <v>2.3</v>
      </c>
      <c r="C31" s="14" t="s">
        <v>3436</v>
      </c>
    </row>
    <row r="32" customFormat="false" ht="15" hidden="false" customHeight="false" outlineLevel="0" collapsed="false">
      <c r="A32" s="16" t="s">
        <v>3437</v>
      </c>
      <c r="B32" s="25" t="n">
        <f aca="false">x6_oos_coverage_48m</f>
        <v>0.63</v>
      </c>
      <c r="C32" s="14" t="s">
        <v>3438</v>
      </c>
    </row>
    <row r="33" customFormat="false" ht="15" hidden="false" customHeight="false" outlineLevel="0" collapsed="false">
      <c r="A33" s="16" t="s">
        <v>3439</v>
      </c>
      <c r="B33" s="21" t="n">
        <f aca="false">x6_loss_contract_group_48m * x9_us_ratio_48m_median</f>
        <v>982.4</v>
      </c>
      <c r="C33" s="14" t="s">
        <v>3440</v>
      </c>
    </row>
    <row r="36" customFormat="false" ht="15" hidden="false" customHeight="false" outlineLevel="0" collapsed="false">
      <c r="A36" s="3" t="s">
        <v>3441</v>
      </c>
    </row>
    <row r="38" customFormat="false" ht="15" hidden="false" customHeight="false" outlineLevel="0" collapsed="false">
      <c r="A38" s="16" t="s">
        <v>3442</v>
      </c>
      <c r="B38" s="21" t="n">
        <f aca="false">eu_revenue_eur_m*1000000/eu_shipments</f>
        <v>23202.0080321285</v>
      </c>
    </row>
    <row r="39" customFormat="false" ht="15" hidden="false" customHeight="false" outlineLevel="0" collapsed="false">
      <c r="A39" s="16" t="s">
        <v>3443</v>
      </c>
      <c r="B39" s="21" t="n">
        <f aca="false">eu_aoi_2024_eur_m*1000000/eu_shipments_2024</f>
        <v>939.052795031056</v>
      </c>
    </row>
    <row r="40" customFormat="false" ht="15" hidden="false" customHeight="false" outlineLevel="0" collapsed="false">
      <c r="A40" s="16" t="s">
        <v>3444</v>
      </c>
      <c r="B40" s="21" t="n">
        <f aca="false">eu_aoi_eur_m*1000000/eu_shipments</f>
        <v>-261.44578313253</v>
      </c>
    </row>
    <row r="41" customFormat="false" ht="15" hidden="false" customHeight="false" outlineLevel="0" collapsed="false">
      <c r="A41" s="16" t="s">
        <v>3445</v>
      </c>
      <c r="B41" s="21" t="n">
        <f aca="false">B39-B40</f>
        <v>1200.49857816359</v>
      </c>
      <c r="C41" s="14" t="s">
        <v>3446</v>
      </c>
    </row>
    <row r="43" customFormat="false" ht="15" hidden="false" customHeight="false" outlineLevel="0" collapsed="false">
      <c r="A43" s="16" t="s">
        <v>3447</v>
      </c>
      <c r="B43" s="21" t="n">
        <f aca="false">((eu_revenue_eur_m * x14_incentive_claims_central/100 * process_leak_pct/100 + eu_revenue_eur_m * x5_targeting_gain_central/100))*1000000/eu_shipments</f>
        <v>57.053737751004</v>
      </c>
    </row>
    <row r="44" customFormat="false" ht="15" hidden="false" customHeight="false" outlineLevel="0" collapsed="false">
      <c r="A44" s="16" t="s">
        <v>3448</v>
      </c>
      <c r="B44" s="21" t="n">
        <f aca="false">(sfse_eu_nv_contracts_2025 * upgrade_capture_uplift/100 * margin_per_repeat_sale / 1000000)*1000000/eu_shipments</f>
        <v>15.5695903614458</v>
      </c>
    </row>
    <row r="45" customFormat="false" ht="15" hidden="false" customHeight="false" outlineLevel="0" collapsed="false">
      <c r="A45" s="16" t="s">
        <v>3449</v>
      </c>
      <c r="B45" s="21" t="n">
        <f aca="false">((buyback_payables_current_eur_m * MAX(0, x18_exp_twosided_book)/100 + buyback_payables_current_eur_m * (x17_days_cut * x17_day_cost_central/10000 + x17_share_routed/100 * x17_channel_gain_after_costs/100)))*1000000/eu_shipments</f>
        <v>9.9645421686747</v>
      </c>
    </row>
    <row r="46" customFormat="false" ht="15" hidden="false" customHeight="false" outlineLevel="0" collapsed="false">
      <c r="A46" s="16" t="s">
        <v>3450</v>
      </c>
      <c r="B46" s="21" t="n">
        <f aca="false">(((buyback_payables_current_eur_m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x17_channel_gain_after_costs/100)))*1000000/eu_shipments</f>
        <v>47.1016590636378</v>
      </c>
    </row>
    <row r="47" customFormat="false" ht="15" hidden="false" customHeight="false" outlineLevel="0" collapsed="false">
      <c r="A47" s="3" t="s">
        <v>3451</v>
      </c>
      <c r="B47" s="15"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x17_channel_gain_after_costs/100)))*1000000/eu_shipments</f>
        <v>82.5878702811245</v>
      </c>
      <c r="C47" s="14" t="s">
        <v>3452</v>
      </c>
    </row>
    <row r="48" customFormat="false" ht="15" hidden="false" customHeight="false" outlineLevel="0" collapsed="false">
      <c r="A48" s="3" t="s">
        <v>3453</v>
      </c>
      <c r="B48" s="15"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x17_channel_gain_after_costs/100)))*1000000/eu_shipments</f>
        <v>119.724987176088</v>
      </c>
      <c r="C48" s="14" t="s">
        <v>3454</v>
      </c>
    </row>
    <row r="49" customFormat="false" ht="15" hidden="false" customHeight="false" outlineLevel="0" collapsed="false">
      <c r="A49" s="16" t="s">
        <v>3455</v>
      </c>
      <c r="B49" s="21" t="n">
        <f aca="false">((eu_revenue_eur_m * x14_incentive_claims_central/100 * process_leak_pct/100 + eu_revenue_eur_m * x5_targeting_gain_central/100) + sfse_eu_nv_contracts_2025 * upgrade_capture_uplift/100 * margin_per_repeat_sale / 1000000 + ((buyback_payables_current_eur_m * (ABS(level_1y_p10_core)/100 + (curve_1y_p80_known/2/retained_1y_pooled * (1 - thin_share_of_book/100) + curve_1y_p80_unknown/2/retained_1y_pooled * thin_share_of_book/100))) * x18_joint_share_stress/100 + buyback_payables_current_eur_m * (x17_days_cut * x17_day_cost_central/10000 + x17_share_routed/100 * x17_channel_gain_after_costs/100)))*1000000/eu_shipments</f>
        <v>183.109380504839</v>
      </c>
      <c r="C49" s="14" t="s">
        <v>3456</v>
      </c>
    </row>
    <row r="50" customFormat="false" ht="15" hidden="false" customHeight="false" outlineLevel="0" collapsed="false">
      <c r="A50" s="16" t="s">
        <v>3457</v>
      </c>
      <c r="B50" s="26" t="n">
        <f aca="false">-B47/B40</f>
        <v>0.315889089093702</v>
      </c>
      <c r="C50" s="14" t="s">
        <v>3458</v>
      </c>
    </row>
    <row r="51" customFormat="false" ht="15" hidden="false" customHeight="false" outlineLevel="0" collapsed="false">
      <c r="A51" s="16" t="s">
        <v>3459</v>
      </c>
      <c r="B51" s="21" t="n">
        <f aca="false">(sfse_eu_nv_contracts_2025 * upgrade_capture_uplift/100 * margin_per_repeat_sale / 1000000)*1000000/sfse_eu_nv_contracts_2025</f>
        <v>60</v>
      </c>
      <c r="C51" s="14" t="s">
        <v>3460</v>
      </c>
    </row>
    <row r="53" customFormat="false" ht="91.5" hidden="false" customHeight="true" outlineLevel="0" collapsed="false">
      <c r="A53" s="12" t="s">
        <v>3461</v>
      </c>
    </row>
    <row r="55" customFormat="false" ht="15" hidden="false" customHeight="false" outlineLevel="0" collapsed="false">
      <c r="A55" s="3" t="s">
        <v>3462</v>
      </c>
    </row>
    <row r="57" customFormat="false" ht="15" hidden="false" customHeight="false" outlineLevel="0" collapsed="false">
      <c r="A57" s="16" t="s">
        <v>3463</v>
      </c>
      <c r="B57" s="21"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205.643797</v>
      </c>
      <c r="C57" s="14" t="s">
        <v>3464</v>
      </c>
    </row>
    <row r="58" customFormat="false" ht="15" hidden="false" customHeight="false" outlineLevel="0" collapsed="false">
      <c r="A58" s="16" t="s">
        <v>3465</v>
      </c>
      <c r="B58" s="21" t="n">
        <f aca="false">'Programme cost'!$F$18</f>
        <v>15.56960296</v>
      </c>
    </row>
    <row r="59" customFormat="false" ht="15" hidden="false" customHeight="false" outlineLevel="0" collapsed="false">
      <c r="A59" s="16" t="s">
        <v>3466</v>
      </c>
      <c r="B59" s="27" t="n">
        <f aca="false">B58/B57</f>
        <v>0.0757115127571779</v>
      </c>
    </row>
    <row r="60" customFormat="false" ht="15" hidden="false" customHeight="false" outlineLevel="0" collapsed="false">
      <c r="A60" s="16" t="s">
        <v>3467</v>
      </c>
      <c r="B60" s="21" t="n">
        <f aca="false">'Programme cost'!$F$19</f>
        <v>30.8769574982246</v>
      </c>
    </row>
    <row r="61" customFormat="false" ht="15" hidden="false" customHeight="false" outlineLevel="0" collapsed="false">
      <c r="A61" s="16" t="s">
        <v>3468</v>
      </c>
      <c r="B61" s="27" t="n">
        <f aca="false">B60/B57</f>
        <v>0.150147769826603</v>
      </c>
    </row>
    <row r="62" customFormat="false" ht="15" hidden="false" customHeight="false" outlineLevel="0" collapsed="false">
      <c r="A62" s="16" t="s">
        <v>3469</v>
      </c>
      <c r="B62" s="21" t="n">
        <f aca="false">'Programme cost'!$F$20</f>
        <v>15.2452753247019</v>
      </c>
    </row>
    <row r="63" customFormat="false" ht="15" hidden="false" customHeight="false" outlineLevel="0" collapsed="false">
      <c r="A63" s="16" t="s">
        <v>3470</v>
      </c>
      <c r="B63" s="27" t="n">
        <f aca="false">B62/B57</f>
        <v>0.0741343796754632</v>
      </c>
    </row>
    <row r="64" customFormat="false" ht="15" hidden="false" customHeight="false" outlineLevel="0" collapsed="false">
      <c r="A64" s="16" t="s">
        <v>3471</v>
      </c>
      <c r="B64" s="21" t="n">
        <f aca="false">'Programme cost'!$F$23</f>
        <v>15.2452753247019</v>
      </c>
    </row>
    <row r="65" customFormat="false" ht="15" hidden="false" customHeight="false" outlineLevel="0" collapsed="false">
      <c r="A65" s="16" t="s">
        <v>3472</v>
      </c>
      <c r="B65" s="27" t="n">
        <f aca="false">B64/B57</f>
        <v>0.0741343796754632</v>
      </c>
    </row>
    <row r="66" customFormat="false" ht="15" hidden="false" customHeight="false" outlineLevel="0" collapsed="false">
      <c r="A66" s="14" t="s">
        <v>3473</v>
      </c>
    </row>
    <row r="69" customFormat="false" ht="15" hidden="false" customHeight="false" outlineLevel="0" collapsed="false">
      <c r="A69" s="3" t="s">
        <v>3474</v>
      </c>
    </row>
    <row r="70" customFormat="false" ht="32.8" hidden="false" customHeight="false" outlineLevel="0" collapsed="false">
      <c r="A70" s="12" t="s">
        <v>3475</v>
      </c>
    </row>
    <row r="72" customFormat="false" ht="26.85" hidden="false" customHeight="false" outlineLevel="0" collapsed="false">
      <c r="A72" s="4" t="s">
        <v>3476</v>
      </c>
      <c r="B72" s="4" t="s">
        <v>3477</v>
      </c>
      <c r="C72" s="4" t="s">
        <v>3478</v>
      </c>
    </row>
    <row r="73" customFormat="false" ht="15" hidden="false" customHeight="false" outlineLevel="0" collapsed="false">
      <c r="A73" s="0" t="n">
        <v>1</v>
      </c>
      <c r="B73" s="28" t="n">
        <f aca="false">engine_err_typical/SQRT(A73)</f>
        <v>10.5</v>
      </c>
      <c r="C73" s="22" t="n">
        <f aca="false">level_points</f>
        <v>26.5</v>
      </c>
    </row>
    <row r="74" customFormat="false" ht="15" hidden="false" customHeight="false" outlineLevel="0" collapsed="false">
      <c r="A74" s="0" t="n">
        <v>10</v>
      </c>
      <c r="B74" s="28" t="n">
        <f aca="false">engine_err_typical/SQRT(A74)</f>
        <v>3.3203915431768</v>
      </c>
      <c r="C74" s="22" t="n">
        <f aca="false">level_points</f>
        <v>26.5</v>
      </c>
    </row>
    <row r="75" customFormat="false" ht="15" hidden="false" customHeight="false" outlineLevel="0" collapsed="false">
      <c r="A75" s="0" t="n">
        <v>100</v>
      </c>
      <c r="B75" s="28" t="n">
        <f aca="false">engine_err_typical/SQRT(A75)</f>
        <v>1.05</v>
      </c>
      <c r="C75" s="22" t="n">
        <f aca="false">level_points</f>
        <v>26.5</v>
      </c>
    </row>
    <row r="76" customFormat="false" ht="15" hidden="false" customHeight="false" outlineLevel="0" collapsed="false">
      <c r="A76" s="0" t="n">
        <v>1000</v>
      </c>
      <c r="B76" s="28" t="n">
        <f aca="false">engine_err_typical/SQRT(A76)</f>
        <v>0.33203915431768</v>
      </c>
      <c r="C76" s="22" t="n">
        <f aca="false">level_points</f>
        <v>26.5</v>
      </c>
    </row>
    <row r="77" customFormat="false" ht="15" hidden="false" customHeight="false" outlineLevel="0" collapsed="false">
      <c r="A77" s="0" t="n">
        <v>10000</v>
      </c>
      <c r="B77" s="28" t="n">
        <f aca="false">engine_err_typical/SQRT(A77)</f>
        <v>0.105</v>
      </c>
      <c r="C77" s="22" t="n">
        <f aca="false">level_points</f>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6"/>
    <col collapsed="false" customWidth="true" hidden="false" outlineLevel="0" max="4" min="2" style="0" width="18"/>
    <col collapsed="false" customWidth="true" hidden="false" outlineLevel="0" max="5" min="5" style="0" width="60"/>
  </cols>
  <sheetData>
    <row r="1" customFormat="false" ht="17.35" hidden="false" customHeight="false" outlineLevel="0" collapsed="false">
      <c r="A1" s="1" t="s">
        <v>3479</v>
      </c>
    </row>
    <row r="2" customFormat="false" ht="31.5" hidden="false" customHeight="true" outlineLevel="0" collapsed="false">
      <c r="A2" s="12" t="s">
        <v>3480</v>
      </c>
    </row>
    <row r="4" customFormat="false" ht="15" hidden="false" customHeight="false" outlineLevel="0" collapsed="false">
      <c r="A4" s="3" t="s">
        <v>3481</v>
      </c>
    </row>
    <row r="5" customFormat="false" ht="15" hidden="false" customHeight="false" outlineLevel="0" collapsed="false">
      <c r="A5" s="4"/>
      <c r="B5" s="4" t="s">
        <v>3482</v>
      </c>
      <c r="C5" s="4" t="s">
        <v>3483</v>
      </c>
    </row>
    <row r="6" customFormat="false" ht="15" hidden="false" customHeight="false" outlineLevel="0" collapsed="false">
      <c r="A6" s="0" t="s">
        <v>3484</v>
      </c>
      <c r="B6" s="28" t="n">
        <f aca="false">new_car_price_eur * retained_4y_uk/100*(1 - (1 - pl_incentive_pct_list/100)^dpt_passthrough)/(new_car_price_eur * pl_incentive_pct_list/100)</f>
        <v>0.182193570671545</v>
      </c>
      <c r="C6" s="28" t="n">
        <f aca="false">new_car_price_eur * retained_4y_uk/100*((hk_passthrough_36m + hk_passthrough_now)/100 * pl_incentive_pct_list/10)/(new_car_price_eur * pl_incentive_pct_list/100)</f>
        <v>0.472</v>
      </c>
    </row>
    <row r="7" customFormat="false" ht="15" hidden="false" customHeight="false" outlineLevel="0" collapsed="false">
      <c r="A7" s="0" t="s">
        <v>3485</v>
      </c>
      <c r="B7" s="13" t="n">
        <f aca="false">new_car_price_eur * retained_4y_uk/100*(1 - (1 - pl_incentive_pct_list/100)^dpt_passthrough)</f>
        <v>174.453987789418</v>
      </c>
      <c r="C7" s="13" t="n">
        <f aca="false">new_car_price_eur * retained_4y_uk/100*((hk_passthrough_36m + hk_passthrough_now)/100 * pl_incentive_pct_list/10)</f>
        <v>451.94944</v>
      </c>
    </row>
    <row r="8" customFormat="false" ht="15" hidden="false" customHeight="false" outlineLevel="0" collapsed="false">
      <c r="A8" s="0" t="s">
        <v>3486</v>
      </c>
      <c r="B8" s="28" t="n">
        <f aca="false">-(1 + new_car_price_eur * retained_4y_uk/100*(1 - (1 - pl_incentive_pct_list/100)^dpt_passthrough)/(new_car_price_eur * pl_incentive_pct_list/100))</f>
        <v>-1.18219357067155</v>
      </c>
      <c r="C8" s="28" t="n">
        <f aca="false">-(1 + new_car_price_eur * retained_4y_uk/100*((hk_passthrough_36m + hk_passthrough_now)/100 * pl_incentive_pct_list/10)/(new_car_price_eur * pl_incentive_pct_list/100))</f>
        <v>-1.472</v>
      </c>
    </row>
    <row r="9" customFormat="false" ht="87.75" hidden="false" customHeight="true" outlineLevel="0" collapsed="false">
      <c r="A9" s="12" t="s">
        <v>3487</v>
      </c>
    </row>
    <row r="11" customFormat="false" ht="15" hidden="false" customHeight="false" outlineLevel="0" collapsed="false">
      <c r="A11" s="3" t="s">
        <v>3488</v>
      </c>
    </row>
    <row r="12" customFormat="false" ht="15" hidden="false" customHeight="false" outlineLevel="0" collapsed="false">
      <c r="A12" s="16" t="s">
        <v>3489</v>
      </c>
      <c r="B12" s="25" t="n">
        <f aca="false">x6_price_share_group_48m</f>
        <v>6.38</v>
      </c>
      <c r="C12" s="14" t="s">
        <v>3490</v>
      </c>
    </row>
    <row r="13" customFormat="false" ht="15" hidden="false" customHeight="false" outlineLevel="0" collapsed="false">
      <c r="A13" s="16" t="s">
        <v>3491</v>
      </c>
      <c r="B13" s="21" t="n">
        <f aca="false">new_car_price_eur * retained_4y_uk/100 * x6_price_share_group_48m/100</f>
        <v>450.537098</v>
      </c>
    </row>
    <row r="14" customFormat="false" ht="15" hidden="false" customHeight="false" outlineLevel="0" collapsed="false">
      <c r="A14" s="16" t="s">
        <v>3492</v>
      </c>
      <c r="B14" s="25" t="n">
        <f aca="false">MAX(0, x19_core_all_two_12m)</f>
        <v>0</v>
      </c>
      <c r="C14" s="14" t="s">
        <v>3493</v>
      </c>
    </row>
    <row r="15" customFormat="false" ht="15" hidden="false" customHeight="false" outlineLevel="0" collapsed="false">
      <c r="A15" s="16" t="s">
        <v>3494</v>
      </c>
      <c r="B15" s="25" t="n">
        <f aca="false">x19_core_cold_premium_12m</f>
        <v>1.01</v>
      </c>
      <c r="C15" s="14" t="s">
        <v>3495</v>
      </c>
    </row>
    <row r="16" customFormat="false" ht="15" hidden="false" customHeight="false" outlineLevel="0" collapsed="false">
      <c r="A16" s="16" t="s">
        <v>3496</v>
      </c>
      <c r="B16" s="25" t="n">
        <f aca="false">(crr_total_capital_ratio + crd_conservation_buffer)/100 * (eba_bank_coe - ecb_deposit_rate)</f>
        <v>0.7875</v>
      </c>
      <c r="C16" s="14" t="s">
        <v>3497</v>
      </c>
    </row>
    <row r="17" customFormat="false" ht="15" hidden="false" customHeight="false" outlineLevel="0" collapsed="false">
      <c r="A17" s="16" t="s">
        <v>3498</v>
      </c>
      <c r="B17" s="21" t="n">
        <f aca="false">buyback_payables_current_eur_m * (crr_total_capital_ratio + crd_conservation_buffer)/100 * (eba_bank_coe - ecb_deposit_rate)/100</f>
        <v>41.839875</v>
      </c>
    </row>
    <row r="18" customFormat="false" ht="15" hidden="false" customHeight="false" outlineLevel="0" collapsed="false">
      <c r="A18" s="16" t="s">
        <v>3499</v>
      </c>
      <c r="B18" s="21" t="n">
        <f aca="false">buyback_payables_current_eur_m * x19_core_cold_premium_12m/100</f>
        <v>53.6613</v>
      </c>
    </row>
    <row r="19" customFormat="false" ht="15" hidden="false" customHeight="false" outlineLevel="0" collapsed="false">
      <c r="A19" s="16" t="s">
        <v>3500</v>
      </c>
      <c r="B19" s="26" t="n">
        <f aca="false">x13_tied_cap_young</f>
        <v>3.4</v>
      </c>
      <c r="C19" s="14" t="s">
        <v>3501</v>
      </c>
    </row>
    <row r="20" customFormat="false" ht="15" hidden="false" customHeight="false" outlineLevel="0" collapsed="false">
      <c r="A20" s="16" t="s">
        <v>3502</v>
      </c>
      <c r="B20" s="26" t="n">
        <f aca="false">x13_tied_cap_old</f>
        <v>8.2</v>
      </c>
    </row>
    <row r="22" customFormat="false" ht="15" hidden="false" customHeight="false" outlineLevel="0" collapsed="false">
      <c r="A22" s="3" t="s">
        <v>3503</v>
      </c>
    </row>
    <row r="23" customFormat="false" ht="26.85" hidden="false" customHeight="false" outlineLevel="0" collapsed="false">
      <c r="A23" s="4"/>
      <c r="B23" s="4" t="s">
        <v>3504</v>
      </c>
      <c r="C23" s="4" t="s">
        <v>3258</v>
      </c>
      <c r="D23" s="4" t="s">
        <v>3505</v>
      </c>
    </row>
    <row r="24" customFormat="false" ht="15" hidden="false" customHeight="false" outlineLevel="0" collapsed="false">
      <c r="A24" s="0" t="s">
        <v>3506</v>
      </c>
      <c r="B24" s="29" t="n">
        <f aca="false">Assumptions!$D$719</f>
        <v>6</v>
      </c>
      <c r="C24" s="29" t="n">
        <f aca="false">x19_pull_forward_months</f>
        <v>12</v>
      </c>
      <c r="D24" s="29" t="n">
        <f aca="false">Assumptions!$E$719</f>
        <v>18</v>
      </c>
    </row>
    <row r="25" customFormat="false" ht="15" hidden="false" customHeight="false" outlineLevel="0" collapsed="false">
      <c r="A25" s="0" t="s">
        <v>3507</v>
      </c>
      <c r="B25" s="13" t="n">
        <f aca="false">INDEX('Leak 2 - Upgrade timing'!$B$18:$B$78,loan_term_months-Assumptions!$D$719+1)*new_car_price_eur/100</f>
        <v>1432.33894491781</v>
      </c>
      <c r="C25" s="13" t="n">
        <f aca="false">INDEX('Leak 2 - Upgrade timing'!$B$18:$B$78,loan_term_months-x19_pull_forward_months+1)*new_car_price_eur/100</f>
        <v>2815.55383735047</v>
      </c>
      <c r="D25" s="13" t="n">
        <f aca="false">INDEX('Leak 2 - Upgrade timing'!$B$18:$B$78,loan_term_months-Assumptions!$E$719+1)*new_car_price_eur/100</f>
        <v>4151.32945487187</v>
      </c>
    </row>
    <row r="26" customFormat="false" ht="15" hidden="false" customHeight="false" outlineLevel="0" collapsed="false">
      <c r="A26" s="0" t="s">
        <v>3508</v>
      </c>
      <c r="B26" s="13" t="n">
        <f aca="false">INDEX('Leak 2 - Upgrade timing'!$C$18:$C$78,loan_term_months-Assumptions!$D$719+1)*new_car_price_eur/100</f>
        <v>7480.625</v>
      </c>
      <c r="C26" s="13" t="n">
        <f aca="false">INDEX('Leak 2 - Upgrade timing'!$C$18:$C$78,loan_term_months-x19_pull_forward_months+1)*new_car_price_eur/100</f>
        <v>7899.54</v>
      </c>
      <c r="D26" s="13" t="n">
        <f aca="false">INDEX('Leak 2 - Upgrade timing'!$C$18:$C$78,loan_term_months-Assumptions!$E$719+1)*new_car_price_eur/100</f>
        <v>8617.68</v>
      </c>
    </row>
    <row r="27" customFormat="false" ht="15" hidden="false" customHeight="false" outlineLevel="0" collapsed="false">
      <c r="A27" s="0" t="s">
        <v>3509</v>
      </c>
      <c r="B27" s="13" t="n">
        <f aca="false">(INDEX('Leak 2 - Upgrade timing'!$C$18:$C$78,loan_term_months-Assumptions!$D$719+1)-INDEX('Leak 2 - Upgrade timing'!$B$18:$B$78,loan_term_months-Assumptions!$D$719+1)-loan_deposit_pct)*new_car_price_eur/100</f>
        <v>4252.93605508219</v>
      </c>
      <c r="C27" s="13" t="n">
        <f aca="false">(INDEX('Leak 2 - Upgrade timing'!$C$18:$C$78,loan_term_months-x19_pull_forward_months+1)-INDEX('Leak 2 - Upgrade timing'!$B$18:$B$78,loan_term_months-x19_pull_forward_months+1)-loan_deposit_pct)*new_car_price_eur/100</f>
        <v>3288.63616264953</v>
      </c>
      <c r="D27" s="13" t="n">
        <f aca="false">(INDEX('Leak 2 - Upgrade timing'!$C$18:$C$78,loan_term_months-Assumptions!$E$719+1)-INDEX('Leak 2 - Upgrade timing'!$B$18:$B$78,loan_term_months-Assumptions!$E$719+1)-loan_deposit_pct)*new_car_price_eur/100</f>
        <v>2671.00054512814</v>
      </c>
    </row>
    <row r="28" customFormat="false" ht="15" hidden="false" customHeight="false" outlineLevel="0" collapsed="false">
      <c r="A28" s="0" t="s">
        <v>3510</v>
      </c>
      <c r="B28" s="13" t="n">
        <f aca="false">(INDEX('Leak 2 - Upgrade timing'!$C$18:$C$78,loan_term_months-Assumptions!$D$719+1)-INDEX('Leak 2 - Upgrade timing'!$C$18:$C$78,loan_term_months+1))*new_car_price_eur/100</f>
        <v>418.915</v>
      </c>
      <c r="C28" s="13" t="n">
        <f aca="false">(INDEX('Leak 2 - Upgrade timing'!$C$18:$C$78,loan_term_months-x19_pull_forward_months+1)-INDEX('Leak 2 - Upgrade timing'!$C$18:$C$78,loan_term_months+1))*new_car_price_eur/100</f>
        <v>837.83</v>
      </c>
      <c r="D28" s="13" t="n">
        <f aca="false">(INDEX('Leak 2 - Upgrade timing'!$C$18:$C$78,loan_term_months-Assumptions!$E$719+1)-INDEX('Leak 2 - Upgrade timing'!$C$18:$C$78,loan_term_months+1))*new_car_price_eur/100</f>
        <v>1555.97</v>
      </c>
    </row>
    <row r="29" customFormat="false" ht="15" hidden="false" customHeight="false" outlineLevel="0" collapsed="false">
      <c r="A29" s="0" t="s">
        <v>3511</v>
      </c>
      <c r="B29" s="30" t="n">
        <f aca="false">(sfse_pnb_ifrs8_2025_eur_m - sfse_cor_ifrs8_2025_eur_m)/(sfse_cor_ifrs8_2025_eur_m/(sfse_cor_pct_outstanding_2025/100))</f>
        <v>0.0359533039647577</v>
      </c>
      <c r="C29" s="30" t="n">
        <f aca="false">(sfse_pnb_ifrs8_2025_eur_m - sfse_cor_ifrs8_2025_eur_m)/(sfse_cor_ifrs8_2025_eur_m/(sfse_cor_pct_outstanding_2025/100))</f>
        <v>0.0359533039647577</v>
      </c>
      <c r="D29" s="30" t="n">
        <f aca="false">(sfse_pnb_ifrs8_2025_eur_m - sfse_cor_ifrs8_2025_eur_m)/(sfse_cor_ifrs8_2025_eur_m/(sfse_cor_pct_outstanding_2025/100))</f>
        <v>0.0359533039647577</v>
      </c>
    </row>
    <row r="30" customFormat="false" ht="15" hidden="false" customHeight="false" outlineLevel="0" collapsed="false">
      <c r="A30" s="0" t="s">
        <v>3512</v>
      </c>
      <c r="B30" s="13" t="n">
        <f aca="false">(sfse_pnb_ifrs8_2025_eur_m - sfse_cor_ifrs8_2025_eur_m)/(sfse_cor_ifrs8_2025_eur_m/(sfse_cor_pct_outstanding_2025/100))*(AVERAGE(INDEX('Leak 2 - Upgrade timing'!$B$18:$B$78,1):INDEX('Leak 2 - Upgrade timing'!$B$18:$B$78,Assumptions!$D$719))-AVERAGE(INDEX('Leak 2 - Upgrade timing'!$B$18:$B$78,loan_term_months-Assumptions!$D$719+1):INDEX('Leak 2 - Upgrade timing'!$B$18:$B$78,loan_term_months)))/100*new_car_price_eur*Assumptions!$D$719/12</f>
        <v>159.449026367913</v>
      </c>
      <c r="C30" s="13" t="n">
        <f aca="false">(sfse_pnb_ifrs8_2025_eur_m - sfse_cor_ifrs8_2025_eur_m)/(sfse_cor_ifrs8_2025_eur_m/(sfse_cor_pct_outstanding_2025/100))*(AVERAGE(INDEX('Leak 2 - Upgrade timing'!$B$18:$B$78,1):INDEX('Leak 2 - Upgrade timing'!$B$18:$B$78,x19_pull_forward_months))-AVERAGE(INDEX('Leak 2 - Upgrade timing'!$B$18:$B$78,loan_term_months-x19_pull_forward_months+1):INDEX('Leak 2 - Upgrade timing'!$B$18:$B$78,loan_term_months)))/100*new_car_price_eur*x19_pull_forward_months/12</f>
        <v>273.202668050827</v>
      </c>
      <c r="D30" s="13" t="n">
        <f aca="false">(sfse_pnb_ifrs8_2025_eur_m - sfse_cor_ifrs8_2025_eur_m)/(sfse_cor_ifrs8_2025_eur_m/(sfse_cor_pct_outstanding_2025/100))*(AVERAGE(INDEX('Leak 2 - Upgrade timing'!$B$18:$B$78,1):INDEX('Leak 2 - Upgrade timing'!$B$18:$B$78,Assumptions!$E$719))-AVERAGE(INDEX('Leak 2 - Upgrade timing'!$B$18:$B$78,loan_term_months-Assumptions!$E$719+1):INDEX('Leak 2 - Upgrade timing'!$B$18:$B$78,loan_term_months)))/100*new_car_price_eur*Assumptions!$E$719/12</f>
        <v>341.399478779982</v>
      </c>
    </row>
    <row r="31" customFormat="false" ht="15" hidden="false" customHeight="false" outlineLevel="0" collapsed="false">
      <c r="A31" s="0" t="s">
        <v>3513</v>
      </c>
      <c r="B31" s="13" t="n">
        <f aca="false">-(sfse_pnb_ifrs8_2025_eur_m - sfse_cor_ifrs8_2025_eur_m)/(sfse_cor_ifrs8_2025_eur_m/(sfse_cor_pct_outstanding_2025/100))*AVERAGE(INDEX('Leak 2 - Upgrade timing'!$B$18:$B$78,loan_term_months-Assumptions!$D$719+1):INDEX('Leak 2 - Upgrade timing'!$B$18:$B$78,loan_term_months))/100*new_car_price_eur*Assumptions!$D$719/12</f>
        <v>-15.0928514122966</v>
      </c>
      <c r="C31" s="13" t="n">
        <f aca="false">-(sfse_pnb_ifrs8_2025_eur_m - sfse_cor_ifrs8_2025_eur_m)/(sfse_cor_ifrs8_2025_eur_m/(sfse_cor_pct_outstanding_2025/100))*AVERAGE(INDEX('Leak 2 - Upgrade timing'!$B$18:$B$78,loan_term_months-x19_pull_forward_months+1):INDEX('Leak 2 - Upgrade timing'!$B$18:$B$78,loan_term_months))/100*new_car_price_eur*x19_pull_forward_months/12</f>
        <v>-55.4167312671466</v>
      </c>
      <c r="D31" s="13" t="n">
        <f aca="false">-(sfse_pnb_ifrs8_2025_eur_m - sfse_cor_ifrs8_2025_eur_m)/(sfse_cor_ifrs8_2025_eur_m/(sfse_cor_pct_outstanding_2025/100))*AVERAGE(INDEX('Leak 2 - Upgrade timing'!$B$18:$B$78,loan_term_months-Assumptions!$E$719+1):INDEX('Leak 2 - Upgrade timing'!$B$18:$B$78,loan_term_months))/100*new_car_price_eur*Assumptions!$E$719/12</f>
        <v>-120.106306418465</v>
      </c>
    </row>
    <row r="32" customFormat="false" ht="15" hidden="false" customHeight="false" outlineLevel="0" collapsed="false">
      <c r="A32" s="0" t="s">
        <v>3514</v>
      </c>
      <c r="B32" s="13" t="n">
        <f aca="false">MIN(IF(Assumptions!$D$719&gt;12,ccd2_early_repayment_cap_pct,ccd2_early_repayment_cap_last_year_pct)/100*INDEX('Leak 2 - Upgrade timing'!$B$18:$B$78,loan_term_months-Assumptions!$D$719+1),loan_apr/100*AVERAGE(INDEX('Leak 2 - Upgrade timing'!$B$18:$B$78,loan_term_months-Assumptions!$D$719+1):INDEX('Leak 2 - Upgrade timing'!$B$18:$B$78,loan_term_months))*Assumptions!$D$719/12)*new_car_price_eur/100</f>
        <v>7.16169472458903</v>
      </c>
      <c r="C32" s="13" t="n">
        <f aca="false">MIN(IF(x19_pull_forward_months&gt;12,ccd2_early_repayment_cap_pct,ccd2_early_repayment_cap_last_year_pct)/100*INDEX('Leak 2 - Upgrade timing'!$B$18:$B$78,loan_term_months-x19_pull_forward_months+1),loan_apr/100*AVERAGE(INDEX('Leak 2 - Upgrade timing'!$B$18:$B$78,loan_term_months-x19_pull_forward_months+1):INDEX('Leak 2 - Upgrade timing'!$B$18:$B$78,loan_term_months))*x19_pull_forward_months/12)*new_car_price_eur/100</f>
        <v>14.0777691867523</v>
      </c>
      <c r="D32" s="13" t="n">
        <f aca="false">MIN(IF(Assumptions!$E$719&gt;12,ccd2_early_repayment_cap_pct,ccd2_early_repayment_cap_last_year_pct)/100*INDEX('Leak 2 - Upgrade timing'!$B$18:$B$78,loan_term_months-Assumptions!$E$719+1),loan_apr/100*AVERAGE(INDEX('Leak 2 - Upgrade timing'!$B$18:$B$78,loan_term_months-Assumptions!$E$719+1):INDEX('Leak 2 - Upgrade timing'!$B$18:$B$78,loan_term_months))*Assumptions!$E$719/12)*new_car_price_eur/100</f>
        <v>41.5132945487187</v>
      </c>
    </row>
    <row r="33" customFormat="false" ht="15" hidden="false" customHeight="false" outlineLevel="0" collapsed="false">
      <c r="A33" s="0" t="s">
        <v>3515</v>
      </c>
      <c r="B33" s="13" t="n">
        <f aca="false">margin_per_repeat_sale</f>
        <v>2000</v>
      </c>
      <c r="C33" s="13" t="n">
        <f aca="false">margin_per_repeat_sale</f>
        <v>2000</v>
      </c>
      <c r="D33" s="13" t="n">
        <f aca="false">margin_per_repeat_sale</f>
        <v>2000</v>
      </c>
    </row>
    <row r="34" customFormat="false" ht="15" hidden="false" customHeight="false" outlineLevel="0" collapsed="false">
      <c r="A34" s="0" t="s">
        <v>3516</v>
      </c>
      <c r="B34" s="13" t="n">
        <f aca="false">upgrade_capture_uplift/100*margin_per_repeat_sale</f>
        <v>60</v>
      </c>
      <c r="C34" s="13" t="n">
        <f aca="false">upgrade_capture_uplift/100*margin_per_repeat_sale</f>
        <v>60</v>
      </c>
      <c r="D34" s="13" t="n">
        <f aca="false">upgrade_capture_uplift/100*margin_per_repeat_sale</f>
        <v>60</v>
      </c>
    </row>
    <row r="35" customFormat="false" ht="117.75" hidden="false" customHeight="true" outlineLevel="0" collapsed="false">
      <c r="A35" s="12" t="s">
        <v>3517</v>
      </c>
    </row>
    <row r="37" customFormat="false" ht="15" hidden="false" customHeight="false" outlineLevel="0" collapsed="false">
      <c r="A37" s="3" t="s">
        <v>3518</v>
      </c>
    </row>
    <row r="38" customFormat="false" ht="15" hidden="false" customHeight="false" outlineLevel="0" collapsed="false">
      <c r="A38" s="4"/>
      <c r="B38" s="4" t="s">
        <v>3482</v>
      </c>
      <c r="C38" s="4" t="s">
        <v>3483</v>
      </c>
    </row>
    <row r="39" customFormat="false" ht="15" hidden="false" customHeight="false" outlineLevel="0" collapsed="false">
      <c r="A39" s="16" t="s">
        <v>3519</v>
      </c>
      <c r="B39" s="13" t="n">
        <f aca="false">new_car_price_eur*pl_sale_margin_pct_list/100 - new_car_price_eur*pl_incentive_pct_list/100 + pl_finance_income_eur + pl_credit_loss_eur + pl_service_parts_eur - new_car_price_eur*pl_warranty_pct_list/100 + pl_recon_logistics_eur + pl_remarketing_margin_eur</f>
        <v>524.155</v>
      </c>
      <c r="C39" s="13" t="n">
        <f aca="false">new_car_price_eur*pl_sale_margin_pct_list/100 - new_car_price_eur*pl_incentive_pct_list/100 + pl_finance_income_eur + pl_credit_loss_eur + pl_service_parts_eur - new_car_price_eur*pl_warranty_pct_list/100 + pl_recon_logistics_eur + pl_remarketing_margin_eur</f>
        <v>524.155</v>
      </c>
    </row>
    <row r="40" customFormat="false" ht="15" hidden="false" customHeight="false" outlineLevel="0" collapsed="false">
      <c r="A40" s="16" t="s">
        <v>3520</v>
      </c>
      <c r="B40" s="13" t="n">
        <f aca="false">-new_car_price_eur * retained_4y_uk/100*(1 - (1 - pl_incentive_pct_list/100)^dpt_passthrough)</f>
        <v>-174.453987789418</v>
      </c>
      <c r="C40" s="13" t="n">
        <f aca="false">-new_car_price_eur * retained_4y_uk/100*((hk_passthrough_36m + hk_passthrough_now)/100 * pl_incentive_pct_list/10)</f>
        <v>-451.94944</v>
      </c>
    </row>
    <row r="41" customFormat="false" ht="15" hidden="false" customHeight="false" outlineLevel="0" collapsed="false">
      <c r="A41" s="16" t="s">
        <v>3521</v>
      </c>
      <c r="B41" s="13" t="n">
        <f aca="false">-new_car_price_eur * retained_4y_uk/100*x6_price_share_group_48m/100</f>
        <v>-450.537098</v>
      </c>
      <c r="C41" s="13" t="n">
        <f aca="false">-new_car_price_eur * retained_4y_uk/100*x6_price_share_group_48m/100</f>
        <v>-450.537098</v>
      </c>
    </row>
    <row r="42" customFormat="false" ht="15" hidden="false" customHeight="false" outlineLevel="0" collapsed="false">
      <c r="A42" s="3" t="s">
        <v>3522</v>
      </c>
      <c r="B42" s="13" t="n">
        <f aca="false">new_car_price_eur*pl_sale_margin_pct_list/100 - new_car_price_eur*pl_incentive_pct_list/100 + pl_finance_income_eur + pl_credit_loss_eur + pl_service_parts_eur - new_car_price_eur*pl_warranty_pct_list/100 + pl_recon_logistics_eur + pl_remarketing_margin_eur - new_car_price_eur * retained_4y_uk/100*(1 - (1 - pl_incentive_pct_list/100)^dpt_passthrough) - new_car_price_eur * retained_4y_uk/100*x6_price_share_group_48m/100</f>
        <v>-100.836085789418</v>
      </c>
      <c r="C42" s="13" t="n">
        <f aca="false">new_car_price_eur*pl_sale_margin_pct_list/100 - new_car_price_eur*pl_incentive_pct_list/100 + pl_finance_income_eur + pl_credit_loss_eur + pl_service_parts_eur - new_car_price_eur*pl_warranty_pct_list/100 + pl_recon_logistics_eur + pl_remarketing_margin_eur - new_car_price_eur * retained_4y_uk/100*((hk_passthrough_36m + hk_passthrough_now)/100 * pl_incentive_pct_list/10) - new_car_price_eur * retained_4y_uk/100*x6_price_share_group_48m/100</f>
        <v>-378.331538</v>
      </c>
    </row>
    <row r="43" customFormat="false" ht="15" hidden="false" customHeight="false" outlineLevel="0" collapsed="false">
      <c r="A43" s="16" t="s">
        <v>3523</v>
      </c>
      <c r="B43" s="31" t="n">
        <f aca="false">buyback_payables_current_eur_m/buyback_payables_eur_m</f>
        <v>0.673469387755102</v>
      </c>
      <c r="C43" s="14" t="s">
        <v>3524</v>
      </c>
    </row>
    <row r="44" customFormat="false" ht="103.5" hidden="false" customHeight="true" outlineLevel="0" collapsed="false">
      <c r="A44" s="12" t="s">
        <v>3525</v>
      </c>
    </row>
    <row r="46" customFormat="false" ht="15" hidden="false" customHeight="false" outlineLevel="0" collapsed="false">
      <c r="A46" s="3" t="s">
        <v>3526</v>
      </c>
    </row>
    <row r="47" customFormat="false" ht="15" hidden="false" customHeight="false" outlineLevel="0" collapsed="false">
      <c r="A47" s="16" t="s">
        <v>3527</v>
      </c>
      <c r="B47" s="26" t="n">
        <f aca="false">selfreg_group_monthend_share</f>
        <v>47.73</v>
      </c>
      <c r="C47" s="14" t="s">
        <v>3528</v>
      </c>
    </row>
    <row r="48" customFormat="false" ht="15" hidden="false" customHeight="false" outlineLevel="0" collapsed="false">
      <c r="A48" s="16" t="s">
        <v>3529</v>
      </c>
      <c r="B48" s="26" t="n">
        <f aca="false">selfreg_other_monthend_share</f>
        <v>16.73</v>
      </c>
    </row>
    <row r="49" customFormat="false" ht="15" hidden="false" customHeight="false" outlineLevel="0" collapsed="false">
      <c r="A49" s="16" t="s">
        <v>3530</v>
      </c>
      <c r="B49" s="32" t="n">
        <f aca="false">misra_nair_revenue_gain_pct</f>
        <v>9</v>
      </c>
      <c r="C49" s="14" t="s">
        <v>3531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4" min="2" style="0" width="20"/>
    <col collapsed="false" customWidth="true" hidden="false" outlineLevel="0" max="5" min="5" style="0" width="80"/>
  </cols>
  <sheetData>
    <row r="1" customFormat="false" ht="17.35" hidden="false" customHeight="false" outlineLevel="0" collapsed="false">
      <c r="A1" s="1" t="s">
        <v>3532</v>
      </c>
    </row>
    <row r="2" customFormat="false" ht="31.5" hidden="false" customHeight="true" outlineLevel="0" collapsed="false">
      <c r="A2" s="12" t="s">
        <v>3533</v>
      </c>
    </row>
    <row r="4" customFormat="false" ht="26.85" hidden="false" customHeight="false" outlineLevel="0" collapsed="false">
      <c r="A4" s="4" t="s">
        <v>3534</v>
      </c>
      <c r="B4" s="4" t="s">
        <v>3535</v>
      </c>
      <c r="C4" s="4" t="s">
        <v>3536</v>
      </c>
      <c r="D4" s="4" t="s">
        <v>3537</v>
      </c>
      <c r="E4" s="4" t="s">
        <v>3538</v>
      </c>
    </row>
    <row r="5" customFormat="false" ht="15" hidden="false" customHeight="false" outlineLevel="0" collapsed="false">
      <c r="A5" s="0" t="s">
        <v>3539</v>
      </c>
      <c r="B5" s="13" t="n">
        <f aca="false">eu_revenue_eur_m * x14_incentive_claims_central/100 * process_leak_pct/100</f>
        <v>77.99355</v>
      </c>
      <c r="C5" s="13" t="n">
        <f aca="false">eu_revenue_eur_m * x14_incentive_claims_central/100 * process_leak_pct/100</f>
        <v>77.99355</v>
      </c>
      <c r="D5" s="13" t="n">
        <f aca="false">eu_revenue_eur_m * x14_incentive_claims_central/100 * process_leak_pct/100 * x20_reg_route_any_2024/100</f>
        <v>29.0136006</v>
      </c>
      <c r="E5" s="14" t="s">
        <v>3540</v>
      </c>
    </row>
    <row r="6" customFormat="false" ht="15" hidden="false" customHeight="false" outlineLevel="0" collapsed="false">
      <c r="A6" s="0" t="s">
        <v>3541</v>
      </c>
      <c r="B6" s="13" t="n">
        <f aca="false">eu_revenue_eur_m * x5_targeting_gain_central/100 * finance_penetration/100</f>
        <v>18.516304273</v>
      </c>
      <c r="C6" s="13" t="n">
        <f aca="false">eu_revenue_eur_m * x5_targeting_gain_central/100 * x14_agency_share_2025p/100</f>
        <v>4.997480046</v>
      </c>
      <c r="D6" s="13" t="n">
        <f aca="false">eu_revenue_eur_m * x5_targeting_gain_central/100 * finance_penetration/100</f>
        <v>18.516304273</v>
      </c>
      <c r="E6" s="14" t="s">
        <v>3542</v>
      </c>
    </row>
    <row r="7" customFormat="false" ht="15" hidden="false" customHeight="false" outlineLevel="0" collapsed="false">
      <c r="A7" s="0" t="s">
        <v>3543</v>
      </c>
      <c r="B7" s="13" t="n">
        <f aca="false">sfse_eu_nv_contracts_2025 * upgrade_capture_uplift/100 * margin_per_repeat_sale / 1000000</f>
        <v>38.76828</v>
      </c>
      <c r="C7" s="13" t="n">
        <v>0</v>
      </c>
      <c r="D7" s="13" t="n">
        <f aca="false">sfse_eu_nv_contracts_2025 * upgrade_capture_uplift/100 * margin_per_repeat_sale / 1000000</f>
        <v>38.76828</v>
      </c>
      <c r="E7" s="14" t="s">
        <v>3544</v>
      </c>
    </row>
    <row r="8" customFormat="false" ht="15" hidden="false" customHeight="false" outlineLevel="0" collapsed="false">
      <c r="A8" s="0" t="s">
        <v>3545</v>
      </c>
      <c r="B8" s="13" t="n">
        <f aca="false">buyback_payables_current_eur_m * (x17_days_cut * x17_day_cost_central/10000 + x17_share_routed/100 * x17_channel_gain_after_costs/100)</f>
        <v>24.81171</v>
      </c>
      <c r="C8" s="13" t="n">
        <f aca="false">buyback_payables_current_eur_m * (x17_days_cut * x17_day_cost_central/10000 + x17_share_routed/100 * x17_channel_gain_after_costs/100)</f>
        <v>24.81171</v>
      </c>
      <c r="D8" s="13" t="n">
        <f aca="false">buyback_payables_current_eur_m * (x17_days_cut * x17_day_cost_central/10000 + x17_share_routed/100 * x17_channel_gain_after_costs/100)</f>
        <v>24.81171</v>
      </c>
      <c r="E8" s="14" t="s">
        <v>3546</v>
      </c>
    </row>
    <row r="9" customFormat="false" ht="15" hidden="false" customHeight="false" outlineLevel="0" collapsed="false">
      <c r="A9" s="0" t="s">
        <v>3547</v>
      </c>
      <c r="B9" s="13" t="n">
        <f aca="false">buyback_payables_current_eur_m * MAX(0, x18_exp_twosided_book)/100</f>
        <v>0</v>
      </c>
      <c r="C9" s="13" t="n">
        <f aca="false">buyback_payables_current_eur_m * MAX(0, x18_exp_twosided_book)/100</f>
        <v>0</v>
      </c>
      <c r="D9" s="13" t="n">
        <f aca="false">buyback_payables_current_eur_m * MAX(0, x18_exp_twosided_book)/100</f>
        <v>0</v>
      </c>
      <c r="E9" s="14" t="s">
        <v>3548</v>
      </c>
    </row>
    <row r="10" customFormat="false" ht="15" hidden="false" customHeight="false" outlineLevel="0" collapsed="false">
      <c r="A10" s="3" t="s">
        <v>3549</v>
      </c>
      <c r="B10" s="15" t="n">
        <f aca="false">SUM(B5:B9)</f>
        <v>160.089844273</v>
      </c>
      <c r="C10" s="15" t="n">
        <f aca="false">SUM(C5:C9)</f>
        <v>107.802740046</v>
      </c>
      <c r="D10" s="15" t="n">
        <f aca="false">SUM(D5:D9)</f>
        <v>111.109894873</v>
      </c>
    </row>
    <row r="11" customFormat="false" ht="15" hidden="false" customHeight="false" outlineLevel="0" collapsed="false">
      <c r="A11" s="0" t="s">
        <v>3550</v>
      </c>
      <c r="B11" s="18" t="n">
        <f aca="false">B10/((eu_revenue_eur_m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0.778481270081781</v>
      </c>
      <c r="C11" s="18" t="n">
        <f aca="false">C10/((eu_revenue_eur_m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0.52422072349695</v>
      </c>
      <c r="D11" s="18" t="n">
        <f aca="false">D10/((eu_revenue_eur_m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0.540302681111262</v>
      </c>
    </row>
    <row r="13" customFormat="false" ht="103.5" hidden="false" customHeight="true" outlineLevel="0" collapsed="false">
      <c r="A13" s="12" t="s">
        <v>3551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14" min="2" style="0" width="13"/>
  </cols>
  <sheetData>
    <row r="1" customFormat="false" ht="17.35" hidden="false" customHeight="false" outlineLevel="0" collapsed="false">
      <c r="A1" s="1" t="s">
        <v>3552</v>
      </c>
    </row>
    <row r="2" customFormat="false" ht="57.75" hidden="false" customHeight="true" outlineLevel="0" collapsed="false">
      <c r="A2" s="33" t="s">
        <v>3553</v>
      </c>
      <c r="B2" s="33"/>
      <c r="C2" s="33"/>
      <c r="D2" s="33"/>
      <c r="E2" s="33"/>
      <c r="F2" s="33"/>
      <c r="G2" s="33"/>
      <c r="H2" s="33"/>
    </row>
    <row r="4" customFormat="false" ht="15" hidden="false" customHeight="false" outlineLevel="0" collapsed="false">
      <c r="A4" s="3" t="s">
        <v>3554</v>
      </c>
    </row>
    <row r="5" customFormat="false" ht="52.2" hidden="false" customHeight="false" outlineLevel="0" collapsed="false">
      <c r="A5" s="4" t="s">
        <v>3534</v>
      </c>
      <c r="B5" s="4" t="s">
        <v>3555</v>
      </c>
      <c r="C5" s="4" t="s">
        <v>3556</v>
      </c>
      <c r="D5" s="4" t="s">
        <v>3535</v>
      </c>
      <c r="E5" s="4" t="s">
        <v>3536</v>
      </c>
      <c r="F5" s="4" t="s">
        <v>3537</v>
      </c>
      <c r="G5" s="4" t="s">
        <v>3557</v>
      </c>
      <c r="H5" s="4" t="s">
        <v>3558</v>
      </c>
    </row>
    <row r="6" customFormat="false" ht="15" hidden="false" customHeight="false" outlineLevel="0" collapsed="false">
      <c r="A6" s="0" t="s">
        <v>3559</v>
      </c>
      <c r="B6" s="0" t="s">
        <v>3560</v>
      </c>
      <c r="C6" s="0" t="s">
        <v>3561</v>
      </c>
      <c r="D6" s="34" t="n">
        <f aca="false">eu_revenue_eur_m * x14_incentive_claims_central/100 * process_leak_pct/100 * recoverable_share/100</f>
        <v>23.398065</v>
      </c>
      <c r="E6" s="34" t="n">
        <f aca="false">eu_revenue_eur_m * x14_incentive_claims_central/100 * process_leak_pct/100 * recoverable_share/100</f>
        <v>23.398065</v>
      </c>
      <c r="F6" s="34" t="n">
        <f aca="false">eu_revenue_eur_m * x14_incentive_claims_central/100 * process_leak_pct/100 * recoverable_share/100 * x20_reg_route_any_2024/100</f>
        <v>8.70408018</v>
      </c>
      <c r="G6" s="34" t="n">
        <f aca="false">eu_revenue_eur_m * x14_incentive_claims_central/100 * Assumptions!$D$114/100 * Assumptions!$D$115/100</f>
        <v>1.94983875</v>
      </c>
      <c r="H6" s="14" t="s">
        <v>3562</v>
      </c>
    </row>
    <row r="7" customFormat="false" ht="15" hidden="false" customHeight="false" outlineLevel="0" collapsed="false">
      <c r="A7" s="0" t="s">
        <v>3563</v>
      </c>
      <c r="B7" s="0" t="s">
        <v>3560</v>
      </c>
      <c r="C7" s="0" t="s">
        <v>3564</v>
      </c>
      <c r="D7" s="34" t="n">
        <f aca="false">sfse_eu_nv_contracts_2025 * upgrade_capture_uplift/100 * margin_per_repeat_sale / 1000000</f>
        <v>38.76828</v>
      </c>
      <c r="E7" s="34" t="n">
        <f aca="false">0</f>
        <v>0</v>
      </c>
      <c r="F7" s="34" t="n">
        <f aca="false">sfse_eu_nv_contracts_2025 * upgrade_capture_uplift/100 * margin_per_repeat_sale / 1000000</f>
        <v>38.76828</v>
      </c>
      <c r="G7" s="34" t="n">
        <f aca="false">sfse_eu_nv_contracts_2025 * Assumptions!$D$134/100 * Assumptions!$D$135 / 1000000</f>
        <v>6.46138</v>
      </c>
      <c r="H7" s="14" t="s">
        <v>3565</v>
      </c>
    </row>
    <row r="8" customFormat="false" ht="15" hidden="false" customHeight="false" outlineLevel="0" collapsed="false">
      <c r="A8" s="0" t="s">
        <v>3566</v>
      </c>
      <c r="B8" s="0" t="s">
        <v>3560</v>
      </c>
      <c r="C8" s="0" t="s">
        <v>3564</v>
      </c>
      <c r="D8" s="34" t="n">
        <f aca="false">buyback_payables_current_eur_m * x17_days_cut * x17_day_cost_central/10000</f>
        <v>16.31091</v>
      </c>
      <c r="E8" s="34" t="n">
        <f aca="false">buyback_payables_current_eur_m * x17_days_cut * x17_day_cost_central/10000</f>
        <v>16.31091</v>
      </c>
      <c r="F8" s="34" t="n">
        <f aca="false">buyback_payables_current_eur_m * x17_days_cut * x17_day_cost_central/10000</f>
        <v>16.31091</v>
      </c>
      <c r="G8" s="34" t="n">
        <f aca="false">buyback_payables_current_eur_m * Assumptions!$D$685 * x17_day_cost_central/10000</f>
        <v>8.155455</v>
      </c>
      <c r="H8" s="14" t="s">
        <v>3567</v>
      </c>
    </row>
    <row r="9" customFormat="false" ht="15" hidden="false" customHeight="false" outlineLevel="0" collapsed="false">
      <c r="A9" s="0" t="s">
        <v>3568</v>
      </c>
      <c r="B9" s="0" t="s">
        <v>3560</v>
      </c>
      <c r="C9" s="0" t="s">
        <v>3564</v>
      </c>
      <c r="D9" s="34" t="n">
        <f aca="false">buyback_payables_current_eur_m * x17_share_routed/100 * x17_channel_gain_after_costs/100</f>
        <v>8.5008</v>
      </c>
      <c r="E9" s="34" t="n">
        <f aca="false">buyback_payables_current_eur_m * x17_share_routed/100 * x17_channel_gain_after_costs/100</f>
        <v>8.5008</v>
      </c>
      <c r="F9" s="34" t="n">
        <f aca="false">buyback_payables_current_eur_m * x17_share_routed/100 * x17_channel_gain_after_costs/100</f>
        <v>8.5008</v>
      </c>
      <c r="G9" s="34" t="n">
        <f aca="false">buyback_payables_current_eur_m * Assumptions!$D$686/100 * x17_channel_gain_after_costs/100</f>
        <v>3.40032</v>
      </c>
      <c r="H9" s="14" t="s">
        <v>3569</v>
      </c>
    </row>
    <row r="10" customFormat="false" ht="15" hidden="false" customHeight="false" outlineLevel="0" collapsed="false">
      <c r="A10" s="0" t="s">
        <v>3570</v>
      </c>
      <c r="B10" s="0" t="s">
        <v>3571</v>
      </c>
      <c r="C10" s="0" t="s">
        <v>3572</v>
      </c>
      <c r="D10" s="34" t="n">
        <f aca="false">eu_revenue_eur_m * x5_targeting_gain_central/100 * finance_penetration/100</f>
        <v>18.516304273</v>
      </c>
      <c r="E10" s="34" t="n">
        <f aca="false">eu_revenue_eur_m * x5_targeting_gain_central/100 * x14_agency_share_2025p/100</f>
        <v>4.997480046</v>
      </c>
      <c r="F10" s="34" t="n">
        <f aca="false">eu_revenue_eur_m * x5_targeting_gain_central/100 * finance_penetration/100</f>
        <v>18.516304273</v>
      </c>
      <c r="G10" s="34" t="n">
        <f aca="false">eu_revenue_eur_m * x5_targeting_gain_central/100 * finance_penetration/100</f>
        <v>18.516304273</v>
      </c>
      <c r="H10" s="14" t="s">
        <v>3573</v>
      </c>
    </row>
    <row r="11" customFormat="false" ht="15" hidden="false" customHeight="false" outlineLevel="0" collapsed="false">
      <c r="A11" s="0" t="s">
        <v>3574</v>
      </c>
      <c r="B11" s="0" t="s">
        <v>3575</v>
      </c>
      <c r="C11" s="0" t="s">
        <v>3564</v>
      </c>
      <c r="D11" s="34" t="n">
        <f aca="false">buyback_payables_current_eur_m * thin_share_of_book/100 * (curve_1y_p80_unknown - curve_1y_p80_known)/2/retained_1y_pooled * x18_joint_share_book/100</f>
        <v>20.661747935022</v>
      </c>
      <c r="E11" s="34" t="n">
        <f aca="false">buyback_payables_current_eur_m * thin_share_of_book/100 * (curve_1y_p80_unknown - curve_1y_p80_known)/2/retained_1y_pooled * x18_joint_share_book/100</f>
        <v>20.661747935022</v>
      </c>
      <c r="F11" s="34" t="n">
        <f aca="false">buyback_payables_current_eur_m * thin_share_of_book/100 * (curve_1y_p80_unknown - curve_1y_p80_known)/2/retained_1y_pooled * x18_joint_share_book/100</f>
        <v>20.661747935022</v>
      </c>
      <c r="G11" s="34" t="n">
        <f aca="false">buyback_payables_current_eur_m * thin_share_of_book/100 * (curve_1y_p80_unknown - curve_1y_p80_known)/2/retained_1y_pooled * x18_joint_share_book/100</f>
        <v>20.661747935022</v>
      </c>
      <c r="H11" s="14" t="s">
        <v>3576</v>
      </c>
    </row>
    <row r="12" customFormat="false" ht="15" hidden="false" customHeight="false" outlineLevel="0" collapsed="false">
      <c r="A12" s="3" t="s">
        <v>3577</v>
      </c>
      <c r="D12" s="35" t="n">
        <f aca="false">SUM(D6:D9)</f>
        <v>86.978055</v>
      </c>
      <c r="E12" s="35" t="n">
        <f aca="false">SUM(E6:E9)</f>
        <v>48.209775</v>
      </c>
      <c r="F12" s="35" t="n">
        <f aca="false">SUM(F6:F9)</f>
        <v>72.28407018</v>
      </c>
      <c r="G12" s="35" t="n">
        <f aca="false">SUM(G6:G9)</f>
        <v>19.96699375</v>
      </c>
    </row>
    <row r="14" customFormat="false" ht="15" hidden="false" customHeight="false" outlineLevel="0" collapsed="false">
      <c r="A14" s="3" t="s">
        <v>3578</v>
      </c>
    </row>
    <row r="15" customFormat="false" ht="26.85" hidden="false" customHeight="false" outlineLevel="0" collapsed="false">
      <c r="A15" s="4" t="s">
        <v>3579</v>
      </c>
      <c r="B15" s="4" t="s">
        <v>3580</v>
      </c>
      <c r="C15" s="4" t="s">
        <v>3561</v>
      </c>
      <c r="D15" s="4" t="s">
        <v>3564</v>
      </c>
      <c r="E15" s="4" t="s">
        <v>3572</v>
      </c>
      <c r="F15" s="4" t="s">
        <v>3581</v>
      </c>
      <c r="G15" s="4" t="s">
        <v>3582</v>
      </c>
      <c r="H15" s="4" t="s">
        <v>3583</v>
      </c>
      <c r="I15" s="4" t="s">
        <v>3584</v>
      </c>
      <c r="J15" s="4" t="s">
        <v>3585</v>
      </c>
      <c r="K15" s="4" t="s">
        <v>3586</v>
      </c>
      <c r="L15" s="4" t="s">
        <v>3587</v>
      </c>
      <c r="M15" s="4" t="s">
        <v>3588</v>
      </c>
      <c r="N15" s="4" t="s">
        <v>3589</v>
      </c>
    </row>
    <row r="16" customFormat="false" ht="15" hidden="false" customHeight="false" outlineLevel="0" collapsed="false">
      <c r="A16" s="0" t="s">
        <v>3590</v>
      </c>
      <c r="B16" s="18" t="n">
        <v>0</v>
      </c>
      <c r="C16" s="18" t="n">
        <f aca="false">x21_cov_pilot_2024/100</f>
        <v>0.281</v>
      </c>
      <c r="D16" s="18" t="n">
        <f aca="false">x21_cov_core_2024/100</f>
        <v>0.809</v>
      </c>
      <c r="E16" s="18" t="n">
        <f aca="false">x21_cov_core_2024/100</f>
        <v>0.809</v>
      </c>
      <c r="F16" s="18" t="n">
        <v>1</v>
      </c>
      <c r="G16" s="18" t="n">
        <v>1</v>
      </c>
      <c r="H16" s="18" t="n">
        <v>1</v>
      </c>
      <c r="I16" s="18" t="n">
        <v>1</v>
      </c>
      <c r="J16" s="18" t="n">
        <v>1</v>
      </c>
      <c r="K16" s="18" t="n">
        <v>1</v>
      </c>
      <c r="L16" s="18" t="n">
        <v>1</v>
      </c>
      <c r="M16" s="18" t="n">
        <v>1</v>
      </c>
      <c r="N16" s="18" t="n">
        <v>1</v>
      </c>
    </row>
    <row r="17" customFormat="false" ht="15" hidden="false" customHeight="false" outlineLevel="0" collapsed="false">
      <c r="A17" s="16" t="s">
        <v>3591</v>
      </c>
      <c r="B17" s="32" t="n">
        <f aca="false">gb_appraisal_it_example_years*12</f>
        <v>60</v>
      </c>
    </row>
    <row r="18" customFormat="false" ht="15" hidden="false" customHeight="false" outlineLevel="0" collapsed="false">
      <c r="A18" s="16" t="s">
        <v>3592</v>
      </c>
      <c r="B18" s="32" t="n">
        <f aca="false">gb_appraisal_default_years*12</f>
        <v>120</v>
      </c>
    </row>
    <row r="20" customFormat="false" ht="15" hidden="false" customHeight="false" outlineLevel="0" collapsed="false">
      <c r="A20" s="3" t="s">
        <v>3593</v>
      </c>
    </row>
    <row r="21" customFormat="false" ht="26.85" hidden="false" customHeight="false" outlineLevel="0" collapsed="false">
      <c r="A21" s="4" t="s">
        <v>3594</v>
      </c>
      <c r="B21" s="4" t="s">
        <v>3595</v>
      </c>
      <c r="C21" s="4" t="s">
        <v>3596</v>
      </c>
      <c r="D21" s="4" t="s">
        <v>3597</v>
      </c>
      <c r="E21" s="4" t="s">
        <v>34</v>
      </c>
    </row>
    <row r="22" customFormat="false" ht="15" hidden="false" customHeight="false" outlineLevel="0" collapsed="false">
      <c r="A22" s="0" t="s">
        <v>3598</v>
      </c>
      <c r="B22" s="18" t="n">
        <v>1</v>
      </c>
      <c r="C22" s="18" t="n">
        <v>1</v>
      </c>
      <c r="D22" s="22" t="n">
        <f aca="false">x21_phase_months</f>
        <v>6</v>
      </c>
      <c r="E22" s="14" t="s">
        <v>3599</v>
      </c>
    </row>
    <row r="23" customFormat="false" ht="15" hidden="false" customHeight="false" outlineLevel="0" collapsed="false">
      <c r="A23" s="0" t="s">
        <v>3600</v>
      </c>
      <c r="B23" s="18" t="n">
        <f aca="false">1-mckox_sw_benefit_shortfall_pct/100</f>
        <v>0.83</v>
      </c>
      <c r="C23" s="18" t="n">
        <f aca="false">1+mckox_sw_cost_overrun_pct/100</f>
        <v>1.66</v>
      </c>
      <c r="D23" s="22" t="n">
        <f aca="false">x21_phase_months*(1+mckox_sw_schedule_overrun_pct/100)</f>
        <v>7.98</v>
      </c>
      <c r="E23" s="14" t="s">
        <v>3601</v>
      </c>
    </row>
    <row r="24" customFormat="false" ht="15" hidden="false" customHeight="false" outlineLevel="0" collapsed="false">
      <c r="A24" s="0" t="s">
        <v>3602</v>
      </c>
      <c r="B24" s="18" t="n">
        <f aca="false">fb_stress_benefit_low_pct/100</f>
        <v>0.25</v>
      </c>
      <c r="C24" s="18" t="n">
        <f aca="false">1+fb_stress_cost_overrun_pct/100</f>
        <v>5</v>
      </c>
      <c r="D24" s="22" t="n">
        <f aca="false">D23</f>
        <v>7.98</v>
      </c>
      <c r="E24" s="14" t="s">
        <v>3603</v>
      </c>
    </row>
    <row r="25" customFormat="false" ht="15" hidden="false" customHeight="false" outlineLevel="0" collapsed="false">
      <c r="A25" s="0" t="s">
        <v>3604</v>
      </c>
      <c r="B25" s="18" t="n">
        <f aca="false">fb_stress_benefit_high_pct/100</f>
        <v>0.5</v>
      </c>
      <c r="C25" s="18" t="n">
        <f aca="false">1+fb_stress_cost_overrun_pct/100</f>
        <v>5</v>
      </c>
      <c r="D25" s="22" t="n">
        <f aca="false">D23</f>
        <v>7.98</v>
      </c>
      <c r="E25" s="14" t="s">
        <v>3605</v>
      </c>
    </row>
    <row r="26" customFormat="false" ht="15" hidden="false" customHeight="false" outlineLevel="0" collapsed="false">
      <c r="A26" s="0" t="s">
        <v>3606</v>
      </c>
      <c r="B26" s="18" t="n">
        <f aca="false">B23</f>
        <v>0.83</v>
      </c>
      <c r="C26" s="18" t="n">
        <f aca="false">C23</f>
        <v>1.66</v>
      </c>
      <c r="D26" s="22" t="n">
        <f aca="false">D23</f>
        <v>7.98</v>
      </c>
      <c r="E26" s="14" t="s">
        <v>3607</v>
      </c>
    </row>
    <row r="28" customFormat="false" ht="26.85" hidden="false" customHeight="false" outlineLevel="0" collapsed="false">
      <c r="A28" s="4" t="s">
        <v>3608</v>
      </c>
      <c r="B28" s="4" t="s">
        <v>3580</v>
      </c>
      <c r="C28" s="4" t="s">
        <v>3561</v>
      </c>
      <c r="D28" s="4" t="s">
        <v>3564</v>
      </c>
      <c r="E28" s="4" t="s">
        <v>3572</v>
      </c>
      <c r="F28" s="4" t="s">
        <v>3581</v>
      </c>
      <c r="G28" s="4" t="s">
        <v>3582</v>
      </c>
      <c r="H28" s="4" t="s">
        <v>3583</v>
      </c>
      <c r="I28" s="4" t="s">
        <v>3584</v>
      </c>
      <c r="J28" s="4" t="s">
        <v>3585</v>
      </c>
      <c r="K28" s="4" t="s">
        <v>3586</v>
      </c>
      <c r="L28" s="4" t="s">
        <v>3587</v>
      </c>
      <c r="M28" s="4" t="s">
        <v>3588</v>
      </c>
      <c r="N28" s="4" t="s">
        <v>3589</v>
      </c>
    </row>
    <row r="29" customFormat="false" ht="15" hidden="false" customHeight="false" outlineLevel="0" collapsed="false">
      <c r="A29" s="0" t="s">
        <v>3609</v>
      </c>
      <c r="B29" s="22" t="n">
        <v>0</v>
      </c>
      <c r="C29" s="22" t="n">
        <f aca="false">B29+B30</f>
        <v>6</v>
      </c>
      <c r="D29" s="22" t="n">
        <f aca="false">C29+C30</f>
        <v>12</v>
      </c>
      <c r="E29" s="22" t="n">
        <f aca="false">D29+D30</f>
        <v>18</v>
      </c>
      <c r="F29" s="22" t="n">
        <f aca="false">E29+E30</f>
        <v>24</v>
      </c>
      <c r="G29" s="22" t="n">
        <f aca="false">F29+F30</f>
        <v>36</v>
      </c>
      <c r="H29" s="22" t="n">
        <f aca="false">G29+G30</f>
        <v>48</v>
      </c>
      <c r="I29" s="22" t="n">
        <f aca="false">H29+H30</f>
        <v>60</v>
      </c>
      <c r="J29" s="22" t="n">
        <f aca="false">I29+I30</f>
        <v>72</v>
      </c>
      <c r="K29" s="22" t="n">
        <f aca="false">J29+J30</f>
        <v>84</v>
      </c>
      <c r="L29" s="22" t="n">
        <f aca="false">K29+K30</f>
        <v>96</v>
      </c>
      <c r="M29" s="22" t="n">
        <f aca="false">L29+L30</f>
        <v>108</v>
      </c>
      <c r="N29" s="22" t="n">
        <f aca="false">M29+M30</f>
        <v>120</v>
      </c>
    </row>
    <row r="30" customFormat="false" ht="15" hidden="false" customHeight="false" outlineLevel="0" collapsed="false">
      <c r="A30" s="0" t="s">
        <v>3610</v>
      </c>
      <c r="B30" s="22" t="n">
        <f aca="false">$D$22</f>
        <v>6</v>
      </c>
      <c r="C30" s="22" t="n">
        <f aca="false">$D$22</f>
        <v>6</v>
      </c>
      <c r="D30" s="22" t="n">
        <f aca="false">$D$22</f>
        <v>6</v>
      </c>
      <c r="E30" s="22" t="n">
        <f aca="false">$D$22</f>
        <v>6</v>
      </c>
      <c r="F30" s="22" t="n">
        <f aca="false">12</f>
        <v>12</v>
      </c>
      <c r="G30" s="22" t="n">
        <f aca="false">12</f>
        <v>12</v>
      </c>
      <c r="H30" s="22" t="n">
        <f aca="false">12</f>
        <v>12</v>
      </c>
      <c r="I30" s="22" t="n">
        <f aca="false">12</f>
        <v>12</v>
      </c>
      <c r="J30" s="22" t="n">
        <f aca="false">12</f>
        <v>12</v>
      </c>
      <c r="K30" s="22" t="n">
        <f aca="false">12</f>
        <v>12</v>
      </c>
      <c r="L30" s="22" t="n">
        <f aca="false">12</f>
        <v>12</v>
      </c>
      <c r="M30" s="22" t="n">
        <f aca="false">12</f>
        <v>12</v>
      </c>
      <c r="N30" s="22" t="n">
        <f aca="false">12</f>
        <v>12</v>
      </c>
    </row>
    <row r="31" customFormat="false" ht="15" hidden="false" customHeight="false" outlineLevel="0" collapsed="false">
      <c r="A31" s="0" t="s">
        <v>3559</v>
      </c>
      <c r="B31" s="34" t="n">
        <v>0</v>
      </c>
      <c r="C31" s="34" t="n">
        <f aca="false">$B$22*$D$6*C$16*C30/12</f>
        <v>3.2874281325</v>
      </c>
      <c r="D31" s="34" t="n">
        <f aca="false">$B$22*$D$6*D$16*D30/12</f>
        <v>9.4645172925</v>
      </c>
      <c r="E31" s="34" t="n">
        <f aca="false">$B$22*$D$6*E$16*E30/12</f>
        <v>9.4645172925</v>
      </c>
      <c r="F31" s="34" t="n">
        <f aca="false">$B$22*$D$6*F$16*F30/12</f>
        <v>23.398065</v>
      </c>
      <c r="G31" s="34" t="n">
        <f aca="false">$B$22*$D$6*G$16*G30/12</f>
        <v>23.398065</v>
      </c>
      <c r="H31" s="34" t="n">
        <f aca="false">$B$22*$D$6*H$16*H30/12</f>
        <v>23.398065</v>
      </c>
      <c r="I31" s="34" t="n">
        <f aca="false">$B$22*$D$6*I$16*I30/12</f>
        <v>23.398065</v>
      </c>
      <c r="J31" s="34" t="n">
        <f aca="false">$B$22*$D$6*J$16*J30/12</f>
        <v>23.398065</v>
      </c>
      <c r="K31" s="34" t="n">
        <f aca="false">$B$22*$D$6*K$16*K30/12</f>
        <v>23.398065</v>
      </c>
      <c r="L31" s="34" t="n">
        <f aca="false">$B$22*$D$6*L$16*L30/12</f>
        <v>23.398065</v>
      </c>
      <c r="M31" s="34" t="n">
        <f aca="false">$B$22*$D$6*M$16*M30/12</f>
        <v>23.398065</v>
      </c>
      <c r="N31" s="34" t="n">
        <f aca="false">$B$22*$D$6*N$16*N30/12</f>
        <v>23.398065</v>
      </c>
    </row>
    <row r="32" customFormat="false" ht="15" hidden="false" customHeight="false" outlineLevel="0" collapsed="false">
      <c r="A32" s="0" t="s">
        <v>3563</v>
      </c>
      <c r="B32" s="34" t="n">
        <v>0</v>
      </c>
      <c r="C32" s="34" t="n">
        <v>0</v>
      </c>
      <c r="D32" s="34" t="n">
        <f aca="false">$B$22*$D$7*D$16*D30/12</f>
        <v>15.68176926</v>
      </c>
      <c r="E32" s="34" t="n">
        <f aca="false">$B$22*$D$7*E$16*E30/12</f>
        <v>15.68176926</v>
      </c>
      <c r="F32" s="34" t="n">
        <f aca="false">$B$22*$D$7*F$16*F30/12</f>
        <v>38.76828</v>
      </c>
      <c r="G32" s="34" t="n">
        <f aca="false">$B$22*$D$7*G$16*G30/12</f>
        <v>38.76828</v>
      </c>
      <c r="H32" s="34" t="n">
        <f aca="false">$B$22*$D$7*H$16*H30/12</f>
        <v>38.76828</v>
      </c>
      <c r="I32" s="34" t="n">
        <f aca="false">$B$22*$D$7*I$16*I30/12</f>
        <v>38.76828</v>
      </c>
      <c r="J32" s="34" t="n">
        <f aca="false">$B$22*$D$7*J$16*J30/12</f>
        <v>38.76828</v>
      </c>
      <c r="K32" s="34" t="n">
        <f aca="false">$B$22*$D$7*K$16*K30/12</f>
        <v>38.76828</v>
      </c>
      <c r="L32" s="34" t="n">
        <f aca="false">$B$22*$D$7*L$16*L30/12</f>
        <v>38.76828</v>
      </c>
      <c r="M32" s="34" t="n">
        <f aca="false">$B$22*$D$7*M$16*M30/12</f>
        <v>38.76828</v>
      </c>
      <c r="N32" s="34" t="n">
        <f aca="false">$B$22*$D$7*N$16*N30/12</f>
        <v>38.76828</v>
      </c>
    </row>
    <row r="33" customFormat="false" ht="15" hidden="false" customHeight="false" outlineLevel="0" collapsed="false">
      <c r="A33" s="0" t="s">
        <v>3566</v>
      </c>
      <c r="B33" s="34" t="n">
        <v>0</v>
      </c>
      <c r="C33" s="34" t="n">
        <v>0</v>
      </c>
      <c r="D33" s="34" t="n">
        <f aca="false">$B$22*$D$8*D$16*D30/12</f>
        <v>6.597763095</v>
      </c>
      <c r="E33" s="34" t="n">
        <f aca="false">$B$22*$D$8*E$16*E30/12</f>
        <v>6.597763095</v>
      </c>
      <c r="F33" s="34" t="n">
        <f aca="false">$B$22*$D$8*F$16*F30/12</f>
        <v>16.31091</v>
      </c>
      <c r="G33" s="34" t="n">
        <f aca="false">$B$22*$D$8*G$16*G30/12</f>
        <v>16.31091</v>
      </c>
      <c r="H33" s="34" t="n">
        <f aca="false">$B$22*$D$8*H$16*H30/12</f>
        <v>16.31091</v>
      </c>
      <c r="I33" s="34" t="n">
        <f aca="false">$B$22*$D$8*I$16*I30/12</f>
        <v>16.31091</v>
      </c>
      <c r="J33" s="34" t="n">
        <f aca="false">$B$22*$D$8*J$16*J30/12</f>
        <v>16.31091</v>
      </c>
      <c r="K33" s="34" t="n">
        <f aca="false">$B$22*$D$8*K$16*K30/12</f>
        <v>16.31091</v>
      </c>
      <c r="L33" s="34" t="n">
        <f aca="false">$B$22*$D$8*L$16*L30/12</f>
        <v>16.31091</v>
      </c>
      <c r="M33" s="34" t="n">
        <f aca="false">$B$22*$D$8*M$16*M30/12</f>
        <v>16.31091</v>
      </c>
      <c r="N33" s="34" t="n">
        <f aca="false">$B$22*$D$8*N$16*N30/12</f>
        <v>16.31091</v>
      </c>
    </row>
    <row r="34" customFormat="false" ht="15" hidden="false" customHeight="false" outlineLevel="0" collapsed="false">
      <c r="A34" s="0" t="s">
        <v>3568</v>
      </c>
      <c r="B34" s="34" t="n">
        <v>0</v>
      </c>
      <c r="C34" s="34" t="n">
        <v>0</v>
      </c>
      <c r="D34" s="34" t="n">
        <f aca="false">$B$22*$D$9*D$16*D30/12</f>
        <v>3.4385736</v>
      </c>
      <c r="E34" s="34" t="n">
        <f aca="false">$B$22*$D$9*E$16*E30/12</f>
        <v>3.4385736</v>
      </c>
      <c r="F34" s="34" t="n">
        <f aca="false">$B$22*$D$9*F$16*F30/12</f>
        <v>8.5008</v>
      </c>
      <c r="G34" s="34" t="n">
        <f aca="false">$B$22*$D$9*G$16*G30/12</f>
        <v>8.5008</v>
      </c>
      <c r="H34" s="34" t="n">
        <f aca="false">$B$22*$D$9*H$16*H30/12</f>
        <v>8.5008</v>
      </c>
      <c r="I34" s="34" t="n">
        <f aca="false">$B$22*$D$9*I$16*I30/12</f>
        <v>8.5008</v>
      </c>
      <c r="J34" s="34" t="n">
        <f aca="false">$B$22*$D$9*J$16*J30/12</f>
        <v>8.5008</v>
      </c>
      <c r="K34" s="34" t="n">
        <f aca="false">$B$22*$D$9*K$16*K30/12</f>
        <v>8.5008</v>
      </c>
      <c r="L34" s="34" t="n">
        <f aca="false">$B$22*$D$9*L$16*L30/12</f>
        <v>8.5008</v>
      </c>
      <c r="M34" s="34" t="n">
        <f aca="false">$B$22*$D$9*M$16*M30/12</f>
        <v>8.5008</v>
      </c>
      <c r="N34" s="34" t="n">
        <f aca="false">$B$22*$D$9*N$16*N30/12</f>
        <v>8.5008</v>
      </c>
    </row>
    <row r="35" customFormat="false" ht="15" hidden="false" customHeight="false" outlineLevel="0" collapsed="false">
      <c r="A35" s="0" t="s">
        <v>3611</v>
      </c>
      <c r="B35" s="34" t="n">
        <f aca="false">SUM(B31:B34)</f>
        <v>0</v>
      </c>
      <c r="C35" s="34" t="n">
        <f aca="false">SUM(C31:C34)</f>
        <v>3.2874281325</v>
      </c>
      <c r="D35" s="34" t="n">
        <f aca="false">SUM(D31:D34)</f>
        <v>35.1826232475</v>
      </c>
      <c r="E35" s="34" t="n">
        <f aca="false">SUM(E31:E34)</f>
        <v>35.1826232475</v>
      </c>
      <c r="F35" s="34" t="n">
        <f aca="false">SUM(F31:F34)</f>
        <v>86.978055</v>
      </c>
      <c r="G35" s="34" t="n">
        <f aca="false">SUM(G31:G34)</f>
        <v>86.978055</v>
      </c>
      <c r="H35" s="34" t="n">
        <f aca="false">SUM(H31:H34)</f>
        <v>86.978055</v>
      </c>
      <c r="I35" s="34" t="n">
        <f aca="false">SUM(I31:I34)</f>
        <v>86.978055</v>
      </c>
      <c r="J35" s="34" t="n">
        <f aca="false">SUM(J31:J34)</f>
        <v>86.978055</v>
      </c>
      <c r="K35" s="34" t="n">
        <f aca="false">SUM(K31:K34)</f>
        <v>86.978055</v>
      </c>
      <c r="L35" s="34" t="n">
        <f aca="false">SUM(L31:L34)</f>
        <v>86.978055</v>
      </c>
      <c r="M35" s="34" t="n">
        <f aca="false">SUM(M31:M34)</f>
        <v>86.978055</v>
      </c>
      <c r="N35" s="34" t="n">
        <f aca="false">SUM(N31:N34)</f>
        <v>86.978055</v>
      </c>
    </row>
    <row r="36" customFormat="false" ht="15" hidden="false" customHeight="false" outlineLevel="0" collapsed="false">
      <c r="A36" s="0" t="s">
        <v>3612</v>
      </c>
      <c r="B36" s="34" t="n">
        <f aca="false">$C$22*'Programme cost'!$B$49</f>
        <v>4.03138564</v>
      </c>
      <c r="C36" s="34" t="n">
        <f aca="false">$C$22*'Programme cost'!$C$49</f>
        <v>4.01197384</v>
      </c>
      <c r="D36" s="34" t="n">
        <f aca="false">$C$22*'Programme cost'!$D$49</f>
        <v>4.35494878</v>
      </c>
      <c r="E36" s="34" t="n">
        <f aca="false">$C$22*'Programme cost'!$E$49</f>
        <v>3.1712947</v>
      </c>
      <c r="F36" s="34" t="n">
        <v>0</v>
      </c>
      <c r="G36" s="34" t="n">
        <v>0</v>
      </c>
      <c r="H36" s="34" t="n">
        <v>0</v>
      </c>
      <c r="I36" s="34" t="n">
        <v>0</v>
      </c>
      <c r="J36" s="34" t="n">
        <v>0</v>
      </c>
      <c r="K36" s="34" t="n">
        <v>0</v>
      </c>
      <c r="L36" s="34" t="n">
        <v>0</v>
      </c>
      <c r="M36" s="34" t="n">
        <v>0</v>
      </c>
      <c r="N36" s="34" t="n">
        <v>0</v>
      </c>
    </row>
    <row r="37" customFormat="false" ht="15" hidden="false" customHeight="false" outlineLevel="0" collapsed="false">
      <c r="A37" s="0" t="s">
        <v>3613</v>
      </c>
      <c r="B37" s="34" t="n">
        <v>0</v>
      </c>
      <c r="C37" s="34" t="n">
        <v>0</v>
      </c>
      <c r="D37" s="34" t="n">
        <v>0</v>
      </c>
      <c r="E37" s="34" t="n">
        <v>0</v>
      </c>
      <c r="F37" s="34" t="n">
        <f aca="false">run_cost_eur_m_year*F30/12</f>
        <v>5</v>
      </c>
      <c r="G37" s="34" t="n">
        <f aca="false">run_cost_eur_m_year*G30/12</f>
        <v>5</v>
      </c>
      <c r="H37" s="34" t="n">
        <f aca="false">run_cost_eur_m_year*H30/12</f>
        <v>5</v>
      </c>
      <c r="I37" s="34" t="n">
        <f aca="false">run_cost_eur_m_year*I30/12</f>
        <v>5</v>
      </c>
      <c r="J37" s="34" t="n">
        <f aca="false">run_cost_eur_m_year*J30/12</f>
        <v>5</v>
      </c>
      <c r="K37" s="34" t="n">
        <f aca="false">run_cost_eur_m_year*K30/12</f>
        <v>5</v>
      </c>
      <c r="L37" s="34" t="n">
        <f aca="false">run_cost_eur_m_year*L30/12</f>
        <v>5</v>
      </c>
      <c r="M37" s="34" t="n">
        <f aca="false">run_cost_eur_m_year*M30/12</f>
        <v>5</v>
      </c>
      <c r="N37" s="34" t="n">
        <f aca="false">run_cost_eur_m_year*N30/12</f>
        <v>5</v>
      </c>
    </row>
    <row r="38" customFormat="false" ht="15" hidden="false" customHeight="false" outlineLevel="0" collapsed="false">
      <c r="A38" s="0" t="s">
        <v>3614</v>
      </c>
      <c r="B38" s="18" t="n">
        <f aca="false">MAX(0,MIN(1,($B$18-B29)/B30))</f>
        <v>1</v>
      </c>
      <c r="C38" s="18" t="n">
        <f aca="false">MAX(0,MIN(1,($B$18-C29)/C30))</f>
        <v>1</v>
      </c>
      <c r="D38" s="18" t="n">
        <f aca="false">MAX(0,MIN(1,($B$18-D29)/D30))</f>
        <v>1</v>
      </c>
      <c r="E38" s="18" t="n">
        <f aca="false">MAX(0,MIN(1,($B$18-E29)/E30))</f>
        <v>1</v>
      </c>
      <c r="F38" s="18" t="n">
        <f aca="false">MAX(0,MIN(1,($B$18-F29)/F30))</f>
        <v>1</v>
      </c>
      <c r="G38" s="18" t="n">
        <f aca="false">MAX(0,MIN(1,($B$18-G29)/G30))</f>
        <v>1</v>
      </c>
      <c r="H38" s="18" t="n">
        <f aca="false">MAX(0,MIN(1,($B$18-H29)/H30))</f>
        <v>1</v>
      </c>
      <c r="I38" s="18" t="n">
        <f aca="false">MAX(0,MIN(1,($B$18-I29)/I30))</f>
        <v>1</v>
      </c>
      <c r="J38" s="18" t="n">
        <f aca="false">MAX(0,MIN(1,($B$18-J29)/J30))</f>
        <v>1</v>
      </c>
      <c r="K38" s="18" t="n">
        <f aca="false">MAX(0,MIN(1,($B$18-K29)/K30))</f>
        <v>1</v>
      </c>
      <c r="L38" s="18" t="n">
        <f aca="false">MAX(0,MIN(1,($B$18-L29)/L30))</f>
        <v>1</v>
      </c>
      <c r="M38" s="18" t="n">
        <f aca="false">MAX(0,MIN(1,($B$18-M29)/M30))</f>
        <v>1</v>
      </c>
      <c r="N38" s="18" t="n">
        <f aca="false">MAX(0,MIN(1,($B$18-N29)/N30))</f>
        <v>0</v>
      </c>
    </row>
    <row r="39" customFormat="false" ht="15" hidden="false" customHeight="false" outlineLevel="0" collapsed="false">
      <c r="A39" s="0" t="s">
        <v>3615</v>
      </c>
      <c r="B39" s="18" t="n">
        <f aca="false">MAX(0,MIN(1,($B$17-B29)/B30))</f>
        <v>1</v>
      </c>
      <c r="C39" s="18" t="n">
        <f aca="false">MAX(0,MIN(1,($B$17-C29)/C30))</f>
        <v>1</v>
      </c>
      <c r="D39" s="18" t="n">
        <f aca="false">MAX(0,MIN(1,($B$17-D29)/D30))</f>
        <v>1</v>
      </c>
      <c r="E39" s="18" t="n">
        <f aca="false">MAX(0,MIN(1,($B$17-E29)/E30))</f>
        <v>1</v>
      </c>
      <c r="F39" s="18" t="n">
        <f aca="false">MAX(0,MIN(1,($B$17-F29)/F30))</f>
        <v>1</v>
      </c>
      <c r="G39" s="18" t="n">
        <f aca="false">MAX(0,MIN(1,($B$17-G29)/G30))</f>
        <v>1</v>
      </c>
      <c r="H39" s="18" t="n">
        <f aca="false">MAX(0,MIN(1,($B$17-H29)/H30))</f>
        <v>1</v>
      </c>
      <c r="I39" s="18" t="n">
        <f aca="false">MAX(0,MIN(1,($B$17-I29)/I30))</f>
        <v>0</v>
      </c>
      <c r="J39" s="18" t="n">
        <f aca="false">MAX(0,MIN(1,($B$17-J29)/J30))</f>
        <v>0</v>
      </c>
      <c r="K39" s="18" t="n">
        <f aca="false">MAX(0,MIN(1,($B$17-K29)/K30))</f>
        <v>0</v>
      </c>
      <c r="L39" s="18" t="n">
        <f aca="false">MAX(0,MIN(1,($B$17-L29)/L30))</f>
        <v>0</v>
      </c>
      <c r="M39" s="18" t="n">
        <f aca="false">MAX(0,MIN(1,($B$17-M29)/M30))</f>
        <v>0</v>
      </c>
      <c r="N39" s="18" t="n">
        <f aca="false">MAX(0,MIN(1,($B$17-N29)/N30))</f>
        <v>0</v>
      </c>
    </row>
    <row r="40" customFormat="false" ht="15" hidden="false" customHeight="false" outlineLevel="0" collapsed="false">
      <c r="A40" s="0" t="s">
        <v>3616</v>
      </c>
      <c r="B40" s="22" t="n">
        <f aca="false">B29+B30*B38/2</f>
        <v>3</v>
      </c>
      <c r="C40" s="22" t="n">
        <f aca="false">C29+C30*C38/2</f>
        <v>9</v>
      </c>
      <c r="D40" s="22" t="n">
        <f aca="false">D29+D30*D38/2</f>
        <v>15</v>
      </c>
      <c r="E40" s="22" t="n">
        <f aca="false">E29+E30*E38/2</f>
        <v>21</v>
      </c>
      <c r="F40" s="22" t="n">
        <f aca="false">F29+F30*F38/2</f>
        <v>30</v>
      </c>
      <c r="G40" s="22" t="n">
        <f aca="false">G29+G30*G38/2</f>
        <v>42</v>
      </c>
      <c r="H40" s="22" t="n">
        <f aca="false">H29+H30*H38/2</f>
        <v>54</v>
      </c>
      <c r="I40" s="22" t="n">
        <f aca="false">I29+I30*I38/2</f>
        <v>66</v>
      </c>
      <c r="J40" s="22" t="n">
        <f aca="false">J29+J30*J38/2</f>
        <v>78</v>
      </c>
      <c r="K40" s="22" t="n">
        <f aca="false">K29+K30*K38/2</f>
        <v>90</v>
      </c>
      <c r="L40" s="22" t="n">
        <f aca="false">L29+L30*L38/2</f>
        <v>102</v>
      </c>
      <c r="M40" s="22" t="n">
        <f aca="false">M29+M30*M38/2</f>
        <v>114</v>
      </c>
      <c r="N40" s="22" t="n">
        <f aca="false">N29+N30*N38/2</f>
        <v>120</v>
      </c>
    </row>
    <row r="41" customFormat="false" ht="15" hidden="false" customHeight="false" outlineLevel="0" collapsed="false">
      <c r="A41" s="0" t="s">
        <v>3617</v>
      </c>
      <c r="B41" s="22" t="n">
        <f aca="false">B29+B30*B39/2</f>
        <v>3</v>
      </c>
      <c r="C41" s="22" t="n">
        <f aca="false">C29+C30*C39/2</f>
        <v>9</v>
      </c>
      <c r="D41" s="22" t="n">
        <f aca="false">D29+D30*D39/2</f>
        <v>15</v>
      </c>
      <c r="E41" s="22" t="n">
        <f aca="false">E29+E30*E39/2</f>
        <v>21</v>
      </c>
      <c r="F41" s="22" t="n">
        <f aca="false">F29+F30*F39/2</f>
        <v>30</v>
      </c>
      <c r="G41" s="22" t="n">
        <f aca="false">G29+G30*G39/2</f>
        <v>42</v>
      </c>
      <c r="H41" s="22" t="n">
        <f aca="false">H29+H30*H39/2</f>
        <v>54</v>
      </c>
      <c r="I41" s="22" t="n">
        <f aca="false">I29+I30*I39/2</f>
        <v>60</v>
      </c>
      <c r="J41" s="22" t="n">
        <f aca="false">J29+J30*J39/2</f>
        <v>72</v>
      </c>
      <c r="K41" s="22" t="n">
        <f aca="false">K29+K30*K39/2</f>
        <v>84</v>
      </c>
      <c r="L41" s="22" t="n">
        <f aca="false">L29+L30*L39/2</f>
        <v>96</v>
      </c>
      <c r="M41" s="22" t="n">
        <f aca="false">M29+M30*M39/2</f>
        <v>108</v>
      </c>
      <c r="N41" s="22" t="n">
        <f aca="false">N29+N30*N39/2</f>
        <v>120</v>
      </c>
    </row>
    <row r="42" customFormat="false" ht="15" hidden="false" customHeight="false" outlineLevel="0" collapsed="false">
      <c r="A42" s="0" t="s">
        <v>3618</v>
      </c>
      <c r="B42" s="34" t="n">
        <f aca="false">(B35-B37)*B38-B36*SIGN(B38)</f>
        <v>-4.03138564</v>
      </c>
      <c r="C42" s="34" t="n">
        <f aca="false">(C35-C37)*C38-C36*SIGN(C38)</f>
        <v>-0.7245457075</v>
      </c>
      <c r="D42" s="34" t="n">
        <f aca="false">(D35-D37)*D38-D36*SIGN(D38)</f>
        <v>30.8276744675</v>
      </c>
      <c r="E42" s="34" t="n">
        <f aca="false">(E35-E37)*E38-E36*SIGN(E38)</f>
        <v>32.0113285475</v>
      </c>
      <c r="F42" s="34" t="n">
        <f aca="false">(F35-F37)*F38-F36*SIGN(F38)</f>
        <v>81.978055</v>
      </c>
      <c r="G42" s="34" t="n">
        <f aca="false">(G35-G37)*G38-G36*SIGN(G38)</f>
        <v>81.978055</v>
      </c>
      <c r="H42" s="34" t="n">
        <f aca="false">(H35-H37)*H38-H36*SIGN(H38)</f>
        <v>81.978055</v>
      </c>
      <c r="I42" s="34" t="n">
        <f aca="false">(I35-I37)*I38-I36*SIGN(I38)</f>
        <v>81.978055</v>
      </c>
      <c r="J42" s="34" t="n">
        <f aca="false">(J35-J37)*J38-J36*SIGN(J38)</f>
        <v>81.978055</v>
      </c>
      <c r="K42" s="34" t="n">
        <f aca="false">(K35-K37)*K38-K36*SIGN(K38)</f>
        <v>81.978055</v>
      </c>
      <c r="L42" s="34" t="n">
        <f aca="false">(L35-L37)*L38-L36*SIGN(L38)</f>
        <v>81.978055</v>
      </c>
      <c r="M42" s="34" t="n">
        <f aca="false">(M35-M37)*M38-M36*SIGN(M38)</f>
        <v>81.978055</v>
      </c>
      <c r="N42" s="34" t="n">
        <f aca="false">(N35-N37)*N38-N36*SIGN(N38)</f>
        <v>0</v>
      </c>
    </row>
    <row r="43" customFormat="false" ht="15" hidden="false" customHeight="false" outlineLevel="0" collapsed="false">
      <c r="A43" s="0" t="s">
        <v>3619</v>
      </c>
      <c r="B43" s="34" t="n">
        <f aca="false">B42</f>
        <v>-4.03138564</v>
      </c>
      <c r="C43" s="34" t="n">
        <f aca="false">B43+C42</f>
        <v>-4.7559313475</v>
      </c>
      <c r="D43" s="34" t="n">
        <f aca="false">C43+D42</f>
        <v>26.07174312</v>
      </c>
      <c r="E43" s="34" t="n">
        <f aca="false">D43+E42</f>
        <v>58.0830716675</v>
      </c>
      <c r="F43" s="34" t="n">
        <f aca="false">E43+F42</f>
        <v>140.0611266675</v>
      </c>
      <c r="G43" s="34" t="n">
        <f aca="false">F43+G42</f>
        <v>222.0391816675</v>
      </c>
      <c r="H43" s="34" t="n">
        <f aca="false">G43+H42</f>
        <v>304.0172366675</v>
      </c>
      <c r="I43" s="34" t="n">
        <f aca="false">H43+I42</f>
        <v>385.9952916675</v>
      </c>
      <c r="J43" s="34" t="n">
        <f aca="false">I43+J42</f>
        <v>467.9733466675</v>
      </c>
      <c r="K43" s="34" t="n">
        <f aca="false">J43+K42</f>
        <v>549.9514016675</v>
      </c>
      <c r="L43" s="34" t="n">
        <f aca="false">K43+L42</f>
        <v>631.9294566675</v>
      </c>
      <c r="M43" s="34" t="n">
        <f aca="false">L43+M42</f>
        <v>713.9075116675</v>
      </c>
      <c r="N43" s="34" t="n">
        <f aca="false">M43+N42</f>
        <v>713.9075116675</v>
      </c>
    </row>
    <row r="44" customFormat="false" ht="15" hidden="false" customHeight="false" outlineLevel="0" collapsed="false">
      <c r="A44" s="0" t="s">
        <v>3620</v>
      </c>
      <c r="B44" s="22" t="str">
        <f aca="false">IF(AND((-B36*SIGN(B38))&lt;0,(-B36*SIGN(B38))+((B35-B37)*B38)&gt;=0,((B35-B37)*B38)&gt;0),B29+B30*B38*(-(-B36*SIGN(B38)))/((B35-B37)*B38),"-")</f>
        <v>-</v>
      </c>
      <c r="C44" s="22" t="str">
        <f aca="false">IF(AND((B43-C36*SIGN(C38))&lt;0,(B43-C36*SIGN(C38))+((C35-C37)*C38)&gt;=0,((C35-C37)*C38)&gt;0),C29+C30*C38*(-(B43-C36*SIGN(C38)))/((C35-C37)*C38),"-")</f>
        <v>-</v>
      </c>
      <c r="D44" s="22" t="n">
        <f aca="false">IF(AND((C43-D36*SIGN(D38))&lt;0,(C43-D36*SIGN(D38))+((D35-D37)*D38)&gt;=0,((D35-D37)*D38)&gt;0),D29+D30*D38*(-(C43-D36*SIGN(D38)))/((D35-D37)*D38),"-")</f>
        <v>13.553757955467</v>
      </c>
      <c r="E44" s="22" t="str">
        <f aca="false">IF(AND((D43-E36*SIGN(E38))&lt;0,(D43-E36*SIGN(E38))+((E35-E37)*E38)&gt;=0,((E35-E37)*E38)&gt;0),E29+E30*E38*(-(D43-E36*SIGN(E38)))/((E35-E37)*E38),"-")</f>
        <v>-</v>
      </c>
      <c r="F44" s="22" t="str">
        <f aca="false">IF(AND((E43-F36*SIGN(F38))&lt;0,(E43-F36*SIGN(F38))+((F35-F37)*F38)&gt;=0,((F35-F37)*F38)&gt;0),F29+F30*F38*(-(E43-F36*SIGN(F38)))/((F35-F37)*F38),"-")</f>
        <v>-</v>
      </c>
      <c r="G44" s="22" t="str">
        <f aca="false">IF(AND((F43-G36*SIGN(G38))&lt;0,(F43-G36*SIGN(G38))+((G35-G37)*G38)&gt;=0,((G35-G37)*G38)&gt;0),G29+G30*G38*(-(F43-G36*SIGN(G38)))/((G35-G37)*G38),"-")</f>
        <v>-</v>
      </c>
      <c r="H44" s="22" t="str">
        <f aca="false">IF(AND((G43-H36*SIGN(H38))&lt;0,(G43-H36*SIGN(H38))+((H35-H37)*H38)&gt;=0,((H35-H37)*H38)&gt;0),H29+H30*H38*(-(G43-H36*SIGN(H38)))/((H35-H37)*H38),"-")</f>
        <v>-</v>
      </c>
      <c r="I44" s="22" t="str">
        <f aca="false">IF(AND((H43-I36*SIGN(I38))&lt;0,(H43-I36*SIGN(I38))+((I35-I37)*I38)&gt;=0,((I35-I37)*I38)&gt;0),I29+I30*I38*(-(H43-I36*SIGN(I38)))/((I35-I37)*I38),"-")</f>
        <v>-</v>
      </c>
      <c r="J44" s="22" t="str">
        <f aca="false">IF(AND((I43-J36*SIGN(J38))&lt;0,(I43-J36*SIGN(J38))+((J35-J37)*J38)&gt;=0,((J35-J37)*J38)&gt;0),J29+J30*J38*(-(I43-J36*SIGN(J38)))/((J35-J37)*J38),"-")</f>
        <v>-</v>
      </c>
      <c r="K44" s="22" t="str">
        <f aca="false">IF(AND((J43-K36*SIGN(K38))&lt;0,(J43-K36*SIGN(K38))+((K35-K37)*K38)&gt;=0,((K35-K37)*K38)&gt;0),K29+K30*K38*(-(J43-K36*SIGN(K38)))/((K35-K37)*K38),"-")</f>
        <v>-</v>
      </c>
      <c r="L44" s="22" t="str">
        <f aca="false">IF(AND((K43-L36*SIGN(L38))&lt;0,(K43-L36*SIGN(L38))+((L35-L37)*L38)&gt;=0,((L35-L37)*L38)&gt;0),L29+L30*L38*(-(K43-L36*SIGN(L38)))/((L35-L37)*L38),"-")</f>
        <v>-</v>
      </c>
      <c r="M44" s="22" t="str">
        <f aca="false">IF(AND((L43-M36*SIGN(M38))&lt;0,(L43-M36*SIGN(M38))+((M35-M37)*M38)&gt;=0,((M35-M37)*M38)&gt;0),M29+M30*M38*(-(L43-M36*SIGN(M38)))/((M35-M37)*M38),"-")</f>
        <v>-</v>
      </c>
      <c r="N44" s="22" t="str">
        <f aca="false">IF(AND((M43-N36*SIGN(N38))&lt;0,(M43-N36*SIGN(N38))+((N35-N37)*N38)&gt;=0,((N35-N37)*N38)&gt;0),N29+N30*N38*(-(M43-N36*SIGN(N38)))/((N35-N37)*N38),"-")</f>
        <v>-</v>
      </c>
    </row>
    <row r="45" customFormat="false" ht="15" hidden="false" customHeight="false" outlineLevel="0" collapsed="false">
      <c r="A45" s="3" t="s">
        <v>3621</v>
      </c>
      <c r="B45" s="36" t="n">
        <f aca="false">IF(COUNT($B$44:$N$44)=0,"none within ten years",MIN($B$44:$N$44))</f>
        <v>13.553757955467</v>
      </c>
    </row>
    <row r="46" customFormat="false" ht="15" hidden="false" customHeight="false" outlineLevel="0" collapsed="false">
      <c r="A46" s="16" t="s">
        <v>3622</v>
      </c>
      <c r="B46" s="37" t="n">
        <f aca="false">-B43</f>
        <v>4.03138564</v>
      </c>
    </row>
    <row r="47" customFormat="false" ht="15" hidden="false" customHeight="false" outlineLevel="0" collapsed="false">
      <c r="A47" s="16" t="s">
        <v>3623</v>
      </c>
      <c r="B47" s="37" t="n">
        <f aca="false">-C43</f>
        <v>4.7559313475</v>
      </c>
    </row>
    <row r="48" customFormat="false" ht="15" hidden="false" customHeight="false" outlineLevel="0" collapsed="false">
      <c r="A48" s="16" t="s">
        <v>3624</v>
      </c>
      <c r="B48" s="37" t="n">
        <f aca="false">-D43</f>
        <v>-26.07174312</v>
      </c>
    </row>
    <row r="49" customFormat="false" ht="15" hidden="false" customHeight="false" outlineLevel="0" collapsed="false">
      <c r="A49" s="16" t="s">
        <v>3625</v>
      </c>
      <c r="B49" s="37" t="n">
        <f aca="false">-E43</f>
        <v>-58.0830716675</v>
      </c>
    </row>
    <row r="50" customFormat="false" ht="15" hidden="false" customHeight="false" outlineLevel="0" collapsed="false">
      <c r="A50" s="16" t="s">
        <v>3626</v>
      </c>
      <c r="B50" s="37" t="n">
        <f aca="false">SUMPRODUCT(($B$35:$N$35-$B$37:$N$37)*$B$39:$N$39/(1+stla_wacc_pretax_high_pct/100)^($B$41:$N$41/12))-SUMPRODUCT($B$36:$N$36*SIGN($B$39:$N$39)/(1+stla_wacc_pretax_high_pct/100)^($B$29:$N$29/12))</f>
        <v>178.466596496684</v>
      </c>
    </row>
    <row r="51" customFormat="false" ht="15" hidden="false" customHeight="false" outlineLevel="0" collapsed="false">
      <c r="A51" s="16" t="s">
        <v>3627</v>
      </c>
      <c r="B51" s="37" t="n">
        <f aca="false">SUMPRODUCT(($B$35:$N$35-$B$37:$N$37)*$B$39:$N$39/(1+stla_wacc_pretax_low_pct/100)^($B$41:$N$41/12))-SUMPRODUCT($B$36:$N$36*SIGN($B$39:$N$39)/(1+stla_wacc_pretax_low_pct/100)^($B$29:$N$29/12))</f>
        <v>229.385010018294</v>
      </c>
    </row>
    <row r="52" customFormat="false" ht="15" hidden="false" customHeight="false" outlineLevel="0" collapsed="false">
      <c r="A52" s="16" t="s">
        <v>3628</v>
      </c>
      <c r="B52" s="37" t="n">
        <f aca="false">SUMPRODUCT(($B$35:$N$35-$B$37:$N$37)*$B$38:$N$38/(1+stla_wacc_pretax_high_pct/100)^($B$40:$N$40/12))-SUMPRODUCT($B$36:$N$36*SIGN($B$38:$N$38)/(1+stla_wacc_pretax_high_pct/100)^($B$29:$N$29/12))</f>
        <v>293.050050420292</v>
      </c>
    </row>
    <row r="53" customFormat="false" ht="15" hidden="false" customHeight="false" outlineLevel="0" collapsed="false">
      <c r="A53" s="16" t="s">
        <v>3629</v>
      </c>
      <c r="B53" s="37" t="n">
        <f aca="false">SUMPRODUCT(($B$35:$N$35-$B$37:$N$37)*$B$38:$N$38/(1+stla_wacc_pretax_low_pct/100)^($B$40:$N$40/12))-SUMPRODUCT($B$36:$N$36*SIGN($B$38:$N$38)/(1+stla_wacc_pretax_low_pct/100)^($B$29:$N$29/12))</f>
        <v>438.619059978924</v>
      </c>
    </row>
    <row r="55" customFormat="false" ht="26.85" hidden="false" customHeight="false" outlineLevel="0" collapsed="false">
      <c r="A55" s="4" t="s">
        <v>3630</v>
      </c>
      <c r="B55" s="4" t="s">
        <v>3580</v>
      </c>
      <c r="C55" s="4" t="s">
        <v>3561</v>
      </c>
      <c r="D55" s="4" t="s">
        <v>3564</v>
      </c>
      <c r="E55" s="4" t="s">
        <v>3572</v>
      </c>
      <c r="F55" s="4" t="s">
        <v>3581</v>
      </c>
      <c r="G55" s="4" t="s">
        <v>3582</v>
      </c>
      <c r="H55" s="4" t="s">
        <v>3583</v>
      </c>
      <c r="I55" s="4" t="s">
        <v>3584</v>
      </c>
      <c r="J55" s="4" t="s">
        <v>3585</v>
      </c>
      <c r="K55" s="4" t="s">
        <v>3586</v>
      </c>
      <c r="L55" s="4" t="s">
        <v>3587</v>
      </c>
      <c r="M55" s="4" t="s">
        <v>3588</v>
      </c>
      <c r="N55" s="4" t="s">
        <v>3589</v>
      </c>
    </row>
    <row r="56" customFormat="false" ht="15" hidden="false" customHeight="false" outlineLevel="0" collapsed="false">
      <c r="A56" s="0" t="s">
        <v>3609</v>
      </c>
      <c r="B56" s="22" t="n">
        <v>0</v>
      </c>
      <c r="C56" s="22" t="n">
        <f aca="false">B56+B57</f>
        <v>7.98</v>
      </c>
      <c r="D56" s="22" t="n">
        <f aca="false">C56+C57</f>
        <v>15.96</v>
      </c>
      <c r="E56" s="22" t="n">
        <f aca="false">D56+D57</f>
        <v>23.94</v>
      </c>
      <c r="F56" s="22" t="n">
        <f aca="false">E56+E57</f>
        <v>31.92</v>
      </c>
      <c r="G56" s="22" t="n">
        <f aca="false">F56+F57</f>
        <v>43.92</v>
      </c>
      <c r="H56" s="22" t="n">
        <f aca="false">G56+G57</f>
        <v>55.92</v>
      </c>
      <c r="I56" s="22" t="n">
        <f aca="false">H56+H57</f>
        <v>67.92</v>
      </c>
      <c r="J56" s="22" t="n">
        <f aca="false">I56+I57</f>
        <v>79.92</v>
      </c>
      <c r="K56" s="22" t="n">
        <f aca="false">J56+J57</f>
        <v>91.92</v>
      </c>
      <c r="L56" s="22" t="n">
        <f aca="false">K56+K57</f>
        <v>103.92</v>
      </c>
      <c r="M56" s="22" t="n">
        <f aca="false">L56+L57</f>
        <v>115.92</v>
      </c>
      <c r="N56" s="22" t="n">
        <f aca="false">M56+M57</f>
        <v>127.92</v>
      </c>
    </row>
    <row r="57" customFormat="false" ht="15" hidden="false" customHeight="false" outlineLevel="0" collapsed="false">
      <c r="A57" s="0" t="s">
        <v>3610</v>
      </c>
      <c r="B57" s="22" t="n">
        <f aca="false">$D$23</f>
        <v>7.98</v>
      </c>
      <c r="C57" s="22" t="n">
        <f aca="false">$D$23</f>
        <v>7.98</v>
      </c>
      <c r="D57" s="22" t="n">
        <f aca="false">$D$23</f>
        <v>7.98</v>
      </c>
      <c r="E57" s="22" t="n">
        <f aca="false">$D$23</f>
        <v>7.98</v>
      </c>
      <c r="F57" s="22" t="n">
        <f aca="false">12</f>
        <v>12</v>
      </c>
      <c r="G57" s="22" t="n">
        <f aca="false">12</f>
        <v>12</v>
      </c>
      <c r="H57" s="22" t="n">
        <f aca="false">12</f>
        <v>12</v>
      </c>
      <c r="I57" s="22" t="n">
        <f aca="false">12</f>
        <v>12</v>
      </c>
      <c r="J57" s="22" t="n">
        <f aca="false">12</f>
        <v>12</v>
      </c>
      <c r="K57" s="22" t="n">
        <f aca="false">12</f>
        <v>12</v>
      </c>
      <c r="L57" s="22" t="n">
        <f aca="false">12</f>
        <v>12</v>
      </c>
      <c r="M57" s="22" t="n">
        <f aca="false">12</f>
        <v>12</v>
      </c>
      <c r="N57" s="22" t="n">
        <f aca="false">12</f>
        <v>12</v>
      </c>
    </row>
    <row r="58" customFormat="false" ht="15" hidden="false" customHeight="false" outlineLevel="0" collapsed="false">
      <c r="A58" s="0" t="s">
        <v>3559</v>
      </c>
      <c r="B58" s="34" t="n">
        <v>0</v>
      </c>
      <c r="C58" s="34" t="n">
        <f aca="false">$B$23*$D$6*C$16*C57/12</f>
        <v>3.62899191546675</v>
      </c>
      <c r="D58" s="34" t="n">
        <f aca="false">$B$23*$D$6*D$16*D57/12</f>
        <v>10.4478806391908</v>
      </c>
      <c r="E58" s="34" t="n">
        <f aca="false">$B$23*$D$6*E$16*E57/12</f>
        <v>10.4478806391908</v>
      </c>
      <c r="F58" s="34" t="n">
        <f aca="false">$B$23*$D$6*F$16*F57/12</f>
        <v>19.42039395</v>
      </c>
      <c r="G58" s="34" t="n">
        <f aca="false">$B$23*$D$6*G$16*G57/12</f>
        <v>19.42039395</v>
      </c>
      <c r="H58" s="34" t="n">
        <f aca="false">$B$23*$D$6*H$16*H57/12</f>
        <v>19.42039395</v>
      </c>
      <c r="I58" s="34" t="n">
        <f aca="false">$B$23*$D$6*I$16*I57/12</f>
        <v>19.42039395</v>
      </c>
      <c r="J58" s="34" t="n">
        <f aca="false">$B$23*$D$6*J$16*J57/12</f>
        <v>19.42039395</v>
      </c>
      <c r="K58" s="34" t="n">
        <f aca="false">$B$23*$D$6*K$16*K57/12</f>
        <v>19.42039395</v>
      </c>
      <c r="L58" s="34" t="n">
        <f aca="false">$B$23*$D$6*L$16*L57/12</f>
        <v>19.42039395</v>
      </c>
      <c r="M58" s="34" t="n">
        <f aca="false">$B$23*$D$6*M$16*M57/12</f>
        <v>19.42039395</v>
      </c>
      <c r="N58" s="34" t="n">
        <f aca="false">$B$23*$D$6*N$16*N57/12</f>
        <v>19.42039395</v>
      </c>
    </row>
    <row r="59" customFormat="false" ht="15" hidden="false" customHeight="false" outlineLevel="0" collapsed="false">
      <c r="A59" s="0" t="s">
        <v>3563</v>
      </c>
      <c r="B59" s="34" t="n">
        <v>0</v>
      </c>
      <c r="C59" s="34" t="n">
        <v>0</v>
      </c>
      <c r="D59" s="34" t="n">
        <f aca="false">$B$23*$D$7*D$16*D57/12</f>
        <v>17.311105086114</v>
      </c>
      <c r="E59" s="34" t="n">
        <f aca="false">$B$23*$D$7*E$16*E57/12</f>
        <v>17.311105086114</v>
      </c>
      <c r="F59" s="34" t="n">
        <f aca="false">$B$23*$D$7*F$16*F57/12</f>
        <v>32.1776724</v>
      </c>
      <c r="G59" s="34" t="n">
        <f aca="false">$B$23*$D$7*G$16*G57/12</f>
        <v>32.1776724</v>
      </c>
      <c r="H59" s="34" t="n">
        <f aca="false">$B$23*$D$7*H$16*H57/12</f>
        <v>32.1776724</v>
      </c>
      <c r="I59" s="34" t="n">
        <f aca="false">$B$23*$D$7*I$16*I57/12</f>
        <v>32.1776724</v>
      </c>
      <c r="J59" s="34" t="n">
        <f aca="false">$B$23*$D$7*J$16*J57/12</f>
        <v>32.1776724</v>
      </c>
      <c r="K59" s="34" t="n">
        <f aca="false">$B$23*$D$7*K$16*K57/12</f>
        <v>32.1776724</v>
      </c>
      <c r="L59" s="34" t="n">
        <f aca="false">$B$23*$D$7*L$16*L57/12</f>
        <v>32.1776724</v>
      </c>
      <c r="M59" s="34" t="n">
        <f aca="false">$B$23*$D$7*M$16*M57/12</f>
        <v>32.1776724</v>
      </c>
      <c r="N59" s="34" t="n">
        <f aca="false">$B$23*$D$7*N$16*N57/12</f>
        <v>32.1776724</v>
      </c>
    </row>
    <row r="60" customFormat="false" ht="15" hidden="false" customHeight="false" outlineLevel="0" collapsed="false">
      <c r="A60" s="0" t="s">
        <v>3566</v>
      </c>
      <c r="B60" s="34" t="n">
        <v>0</v>
      </c>
      <c r="C60" s="34" t="n">
        <v>0</v>
      </c>
      <c r="D60" s="34" t="n">
        <f aca="false">$B$23*$D$8*D$16*D57/12</f>
        <v>7.2832706805705</v>
      </c>
      <c r="E60" s="34" t="n">
        <f aca="false">$B$23*$D$8*E$16*E57/12</f>
        <v>7.2832706805705</v>
      </c>
      <c r="F60" s="34" t="n">
        <f aca="false">$B$23*$D$8*F$16*F57/12</f>
        <v>13.5380553</v>
      </c>
      <c r="G60" s="34" t="n">
        <f aca="false">$B$23*$D$8*G$16*G57/12</f>
        <v>13.5380553</v>
      </c>
      <c r="H60" s="34" t="n">
        <f aca="false">$B$23*$D$8*H$16*H57/12</f>
        <v>13.5380553</v>
      </c>
      <c r="I60" s="34" t="n">
        <f aca="false">$B$23*$D$8*I$16*I57/12</f>
        <v>13.5380553</v>
      </c>
      <c r="J60" s="34" t="n">
        <f aca="false">$B$23*$D$8*J$16*J57/12</f>
        <v>13.5380553</v>
      </c>
      <c r="K60" s="34" t="n">
        <f aca="false">$B$23*$D$8*K$16*K57/12</f>
        <v>13.5380553</v>
      </c>
      <c r="L60" s="34" t="n">
        <f aca="false">$B$23*$D$8*L$16*L57/12</f>
        <v>13.5380553</v>
      </c>
      <c r="M60" s="34" t="n">
        <f aca="false">$B$23*$D$8*M$16*M57/12</f>
        <v>13.5380553</v>
      </c>
      <c r="N60" s="34" t="n">
        <f aca="false">$B$23*$D$8*N$16*N57/12</f>
        <v>13.5380553</v>
      </c>
    </row>
    <row r="61" customFormat="false" ht="15" hidden="false" customHeight="false" outlineLevel="0" collapsed="false">
      <c r="A61" s="0" t="s">
        <v>3568</v>
      </c>
      <c r="B61" s="34" t="n">
        <v>0</v>
      </c>
      <c r="C61" s="34" t="n">
        <v>0</v>
      </c>
      <c r="D61" s="34" t="n">
        <f aca="false">$B$23*$D$9*D$16*D57/12</f>
        <v>3.79584139704</v>
      </c>
      <c r="E61" s="34" t="n">
        <f aca="false">$B$23*$D$9*E$16*E57/12</f>
        <v>3.79584139704</v>
      </c>
      <c r="F61" s="34" t="n">
        <f aca="false">$B$23*$D$9*F$16*F57/12</f>
        <v>7.055664</v>
      </c>
      <c r="G61" s="34" t="n">
        <f aca="false">$B$23*$D$9*G$16*G57/12</f>
        <v>7.055664</v>
      </c>
      <c r="H61" s="34" t="n">
        <f aca="false">$B$23*$D$9*H$16*H57/12</f>
        <v>7.055664</v>
      </c>
      <c r="I61" s="34" t="n">
        <f aca="false">$B$23*$D$9*I$16*I57/12</f>
        <v>7.055664</v>
      </c>
      <c r="J61" s="34" t="n">
        <f aca="false">$B$23*$D$9*J$16*J57/12</f>
        <v>7.055664</v>
      </c>
      <c r="K61" s="34" t="n">
        <f aca="false">$B$23*$D$9*K$16*K57/12</f>
        <v>7.055664</v>
      </c>
      <c r="L61" s="34" t="n">
        <f aca="false">$B$23*$D$9*L$16*L57/12</f>
        <v>7.055664</v>
      </c>
      <c r="M61" s="34" t="n">
        <f aca="false">$B$23*$D$9*M$16*M57/12</f>
        <v>7.055664</v>
      </c>
      <c r="N61" s="34" t="n">
        <f aca="false">$B$23*$D$9*N$16*N57/12</f>
        <v>7.055664</v>
      </c>
    </row>
    <row r="62" customFormat="false" ht="15" hidden="false" customHeight="false" outlineLevel="0" collapsed="false">
      <c r="A62" s="0" t="s">
        <v>3611</v>
      </c>
      <c r="B62" s="34" t="n">
        <f aca="false">SUM(B58:B61)</f>
        <v>0</v>
      </c>
      <c r="C62" s="34" t="n">
        <f aca="false">SUM(C58:C61)</f>
        <v>3.62899191546675</v>
      </c>
      <c r="D62" s="34" t="n">
        <f aca="false">SUM(D58:D61)</f>
        <v>38.8380978029153</v>
      </c>
      <c r="E62" s="34" t="n">
        <f aca="false">SUM(E58:E61)</f>
        <v>38.8380978029153</v>
      </c>
      <c r="F62" s="34" t="n">
        <f aca="false">SUM(F58:F61)</f>
        <v>72.19178565</v>
      </c>
      <c r="G62" s="34" t="n">
        <f aca="false">SUM(G58:G61)</f>
        <v>72.19178565</v>
      </c>
      <c r="H62" s="34" t="n">
        <f aca="false">SUM(H58:H61)</f>
        <v>72.19178565</v>
      </c>
      <c r="I62" s="34" t="n">
        <f aca="false">SUM(I58:I61)</f>
        <v>72.19178565</v>
      </c>
      <c r="J62" s="34" t="n">
        <f aca="false">SUM(J58:J61)</f>
        <v>72.19178565</v>
      </c>
      <c r="K62" s="34" t="n">
        <f aca="false">SUM(K58:K61)</f>
        <v>72.19178565</v>
      </c>
      <c r="L62" s="34" t="n">
        <f aca="false">SUM(L58:L61)</f>
        <v>72.19178565</v>
      </c>
      <c r="M62" s="34" t="n">
        <f aca="false">SUM(M58:M61)</f>
        <v>72.19178565</v>
      </c>
      <c r="N62" s="34" t="n">
        <f aca="false">SUM(N58:N61)</f>
        <v>72.19178565</v>
      </c>
    </row>
    <row r="63" customFormat="false" ht="15" hidden="false" customHeight="false" outlineLevel="0" collapsed="false">
      <c r="A63" s="0" t="s">
        <v>3612</v>
      </c>
      <c r="B63" s="34" t="n">
        <f aca="false">$C$23*'Programme cost'!$B$49</f>
        <v>6.6921001624</v>
      </c>
      <c r="C63" s="34" t="n">
        <f aca="false">$C$23*'Programme cost'!$C$49</f>
        <v>6.6598765744</v>
      </c>
      <c r="D63" s="34" t="n">
        <f aca="false">$C$23*'Programme cost'!$D$49</f>
        <v>7.2292149748</v>
      </c>
      <c r="E63" s="34" t="n">
        <f aca="false">$C$23*'Programme cost'!$E$49</f>
        <v>5.264349202</v>
      </c>
      <c r="F63" s="34" t="n">
        <v>0</v>
      </c>
      <c r="G63" s="34" t="n">
        <v>0</v>
      </c>
      <c r="H63" s="34" t="n">
        <v>0</v>
      </c>
      <c r="I63" s="34" t="n">
        <v>0</v>
      </c>
      <c r="J63" s="34" t="n">
        <v>0</v>
      </c>
      <c r="K63" s="34" t="n">
        <v>0</v>
      </c>
      <c r="L63" s="34" t="n">
        <v>0</v>
      </c>
      <c r="M63" s="34" t="n">
        <v>0</v>
      </c>
      <c r="N63" s="34" t="n">
        <v>0</v>
      </c>
    </row>
    <row r="64" customFormat="false" ht="15" hidden="false" customHeight="false" outlineLevel="0" collapsed="false">
      <c r="A64" s="0" t="s">
        <v>3613</v>
      </c>
      <c r="B64" s="34" t="n">
        <v>0</v>
      </c>
      <c r="C64" s="34" t="n">
        <v>0</v>
      </c>
      <c r="D64" s="34" t="n">
        <v>0</v>
      </c>
      <c r="E64" s="34" t="n">
        <v>0</v>
      </c>
      <c r="F64" s="34" t="n">
        <f aca="false">run_cost_eur_m_year*F57/12</f>
        <v>5</v>
      </c>
      <c r="G64" s="34" t="n">
        <f aca="false">run_cost_eur_m_year*G57/12</f>
        <v>5</v>
      </c>
      <c r="H64" s="34" t="n">
        <f aca="false">run_cost_eur_m_year*H57/12</f>
        <v>5</v>
      </c>
      <c r="I64" s="34" t="n">
        <f aca="false">run_cost_eur_m_year*I57/12</f>
        <v>5</v>
      </c>
      <c r="J64" s="34" t="n">
        <f aca="false">run_cost_eur_m_year*J57/12</f>
        <v>5</v>
      </c>
      <c r="K64" s="34" t="n">
        <f aca="false">run_cost_eur_m_year*K57/12</f>
        <v>5</v>
      </c>
      <c r="L64" s="34" t="n">
        <f aca="false">run_cost_eur_m_year*L57/12</f>
        <v>5</v>
      </c>
      <c r="M64" s="34" t="n">
        <f aca="false">run_cost_eur_m_year*M57/12</f>
        <v>5</v>
      </c>
      <c r="N64" s="34" t="n">
        <f aca="false">run_cost_eur_m_year*N57/12</f>
        <v>5</v>
      </c>
    </row>
    <row r="65" customFormat="false" ht="15" hidden="false" customHeight="false" outlineLevel="0" collapsed="false">
      <c r="A65" s="0" t="s">
        <v>3614</v>
      </c>
      <c r="B65" s="18" t="n">
        <f aca="false">MAX(0,MIN(1,($B$18-B56)/B57))</f>
        <v>1</v>
      </c>
      <c r="C65" s="18" t="n">
        <f aca="false">MAX(0,MIN(1,($B$18-C56)/C57))</f>
        <v>1</v>
      </c>
      <c r="D65" s="18" t="n">
        <f aca="false">MAX(0,MIN(1,($B$18-D56)/D57))</f>
        <v>1</v>
      </c>
      <c r="E65" s="18" t="n">
        <f aca="false">MAX(0,MIN(1,($B$18-E56)/E57))</f>
        <v>1</v>
      </c>
      <c r="F65" s="18" t="n">
        <f aca="false">MAX(0,MIN(1,($B$18-F56)/F57))</f>
        <v>1</v>
      </c>
      <c r="G65" s="18" t="n">
        <f aca="false">MAX(0,MIN(1,($B$18-G56)/G57))</f>
        <v>1</v>
      </c>
      <c r="H65" s="18" t="n">
        <f aca="false">MAX(0,MIN(1,($B$18-H56)/H57))</f>
        <v>1</v>
      </c>
      <c r="I65" s="18" t="n">
        <f aca="false">MAX(0,MIN(1,($B$18-I56)/I57))</f>
        <v>1</v>
      </c>
      <c r="J65" s="18" t="n">
        <f aca="false">MAX(0,MIN(1,($B$18-J56)/J57))</f>
        <v>1</v>
      </c>
      <c r="K65" s="18" t="n">
        <f aca="false">MAX(0,MIN(1,($B$18-K56)/K57))</f>
        <v>1</v>
      </c>
      <c r="L65" s="18" t="n">
        <f aca="false">MAX(0,MIN(1,($B$18-L56)/L57))</f>
        <v>1</v>
      </c>
      <c r="M65" s="18" t="n">
        <f aca="false">MAX(0,MIN(1,($B$18-M56)/M57))</f>
        <v>0.34</v>
      </c>
      <c r="N65" s="18" t="n">
        <f aca="false">MAX(0,MIN(1,($B$18-N56)/N57))</f>
        <v>0</v>
      </c>
    </row>
    <row r="66" customFormat="false" ht="15" hidden="false" customHeight="false" outlineLevel="0" collapsed="false">
      <c r="A66" s="0" t="s">
        <v>3615</v>
      </c>
      <c r="B66" s="18" t="n">
        <f aca="false">MAX(0,MIN(1,($B$17-B56)/B57))</f>
        <v>1</v>
      </c>
      <c r="C66" s="18" t="n">
        <f aca="false">MAX(0,MIN(1,($B$17-C56)/C57))</f>
        <v>1</v>
      </c>
      <c r="D66" s="18" t="n">
        <f aca="false">MAX(0,MIN(1,($B$17-D56)/D57))</f>
        <v>1</v>
      </c>
      <c r="E66" s="18" t="n">
        <f aca="false">MAX(0,MIN(1,($B$17-E56)/E57))</f>
        <v>1</v>
      </c>
      <c r="F66" s="18" t="n">
        <f aca="false">MAX(0,MIN(1,($B$17-F56)/F57))</f>
        <v>1</v>
      </c>
      <c r="G66" s="18" t="n">
        <f aca="false">MAX(0,MIN(1,($B$17-G56)/G57))</f>
        <v>1</v>
      </c>
      <c r="H66" s="18" t="n">
        <f aca="false">MAX(0,MIN(1,($B$17-H56)/H57))</f>
        <v>0.34</v>
      </c>
      <c r="I66" s="18" t="n">
        <f aca="false">MAX(0,MIN(1,($B$17-I56)/I57))</f>
        <v>0</v>
      </c>
      <c r="J66" s="18" t="n">
        <f aca="false">MAX(0,MIN(1,($B$17-J56)/J57))</f>
        <v>0</v>
      </c>
      <c r="K66" s="18" t="n">
        <f aca="false">MAX(0,MIN(1,($B$17-K56)/K57))</f>
        <v>0</v>
      </c>
      <c r="L66" s="18" t="n">
        <f aca="false">MAX(0,MIN(1,($B$17-L56)/L57))</f>
        <v>0</v>
      </c>
      <c r="M66" s="18" t="n">
        <f aca="false">MAX(0,MIN(1,($B$17-M56)/M57))</f>
        <v>0</v>
      </c>
      <c r="N66" s="18" t="n">
        <f aca="false">MAX(0,MIN(1,($B$17-N56)/N57))</f>
        <v>0</v>
      </c>
    </row>
    <row r="67" customFormat="false" ht="15" hidden="false" customHeight="false" outlineLevel="0" collapsed="false">
      <c r="A67" s="0" t="s">
        <v>3616</v>
      </c>
      <c r="B67" s="22" t="n">
        <f aca="false">B56+B57*B65/2</f>
        <v>3.99</v>
      </c>
      <c r="C67" s="22" t="n">
        <f aca="false">C56+C57*C65/2</f>
        <v>11.97</v>
      </c>
      <c r="D67" s="22" t="n">
        <f aca="false">D56+D57*D65/2</f>
        <v>19.95</v>
      </c>
      <c r="E67" s="22" t="n">
        <f aca="false">E56+E57*E65/2</f>
        <v>27.93</v>
      </c>
      <c r="F67" s="22" t="n">
        <f aca="false">F56+F57*F65/2</f>
        <v>37.92</v>
      </c>
      <c r="G67" s="22" t="n">
        <f aca="false">G56+G57*G65/2</f>
        <v>49.92</v>
      </c>
      <c r="H67" s="22" t="n">
        <f aca="false">H56+H57*H65/2</f>
        <v>61.92</v>
      </c>
      <c r="I67" s="22" t="n">
        <f aca="false">I56+I57*I65/2</f>
        <v>73.92</v>
      </c>
      <c r="J67" s="22" t="n">
        <f aca="false">J56+J57*J65/2</f>
        <v>85.92</v>
      </c>
      <c r="K67" s="22" t="n">
        <f aca="false">K56+K57*K65/2</f>
        <v>97.92</v>
      </c>
      <c r="L67" s="22" t="n">
        <f aca="false">L56+L57*L65/2</f>
        <v>109.92</v>
      </c>
      <c r="M67" s="22" t="n">
        <f aca="false">M56+M57*M65/2</f>
        <v>117.96</v>
      </c>
      <c r="N67" s="22" t="n">
        <f aca="false">N56+N57*N65/2</f>
        <v>127.92</v>
      </c>
    </row>
    <row r="68" customFormat="false" ht="15" hidden="false" customHeight="false" outlineLevel="0" collapsed="false">
      <c r="A68" s="0" t="s">
        <v>3617</v>
      </c>
      <c r="B68" s="22" t="n">
        <f aca="false">B56+B57*B66/2</f>
        <v>3.99</v>
      </c>
      <c r="C68" s="22" t="n">
        <f aca="false">C56+C57*C66/2</f>
        <v>11.97</v>
      </c>
      <c r="D68" s="22" t="n">
        <f aca="false">D56+D57*D66/2</f>
        <v>19.95</v>
      </c>
      <c r="E68" s="22" t="n">
        <f aca="false">E56+E57*E66/2</f>
        <v>27.93</v>
      </c>
      <c r="F68" s="22" t="n">
        <f aca="false">F56+F57*F66/2</f>
        <v>37.92</v>
      </c>
      <c r="G68" s="22" t="n">
        <f aca="false">G56+G57*G66/2</f>
        <v>49.92</v>
      </c>
      <c r="H68" s="22" t="n">
        <f aca="false">H56+H57*H66/2</f>
        <v>57.96</v>
      </c>
      <c r="I68" s="22" t="n">
        <f aca="false">I56+I57*I66/2</f>
        <v>67.92</v>
      </c>
      <c r="J68" s="22" t="n">
        <f aca="false">J56+J57*J66/2</f>
        <v>79.92</v>
      </c>
      <c r="K68" s="22" t="n">
        <f aca="false">K56+K57*K66/2</f>
        <v>91.92</v>
      </c>
      <c r="L68" s="22" t="n">
        <f aca="false">L56+L57*L66/2</f>
        <v>103.92</v>
      </c>
      <c r="M68" s="22" t="n">
        <f aca="false">M56+M57*M66/2</f>
        <v>115.92</v>
      </c>
      <c r="N68" s="22" t="n">
        <f aca="false">N56+N57*N66/2</f>
        <v>127.92</v>
      </c>
    </row>
    <row r="69" customFormat="false" ht="15" hidden="false" customHeight="false" outlineLevel="0" collapsed="false">
      <c r="A69" s="0" t="s">
        <v>3618</v>
      </c>
      <c r="B69" s="34" t="n">
        <f aca="false">(B62-B64)*B65-B63*SIGN(B65)</f>
        <v>-6.6921001624</v>
      </c>
      <c r="C69" s="34" t="n">
        <f aca="false">(C62-C64)*C65-C63*SIGN(C65)</f>
        <v>-3.03088465893325</v>
      </c>
      <c r="D69" s="34" t="n">
        <f aca="false">(D62-D64)*D65-D63*SIGN(D65)</f>
        <v>31.6088828281153</v>
      </c>
      <c r="E69" s="34" t="n">
        <f aca="false">(E62-E64)*E65-E63*SIGN(E65)</f>
        <v>33.5737486009153</v>
      </c>
      <c r="F69" s="34" t="n">
        <f aca="false">(F62-F64)*F65-F63*SIGN(F65)</f>
        <v>67.19178565</v>
      </c>
      <c r="G69" s="34" t="n">
        <f aca="false">(G62-G64)*G65-G63*SIGN(G65)</f>
        <v>67.19178565</v>
      </c>
      <c r="H69" s="34" t="n">
        <f aca="false">(H62-H64)*H65-H63*SIGN(H65)</f>
        <v>67.19178565</v>
      </c>
      <c r="I69" s="34" t="n">
        <f aca="false">(I62-I64)*I65-I63*SIGN(I65)</f>
        <v>67.19178565</v>
      </c>
      <c r="J69" s="34" t="n">
        <f aca="false">(J62-J64)*J65-J63*SIGN(J65)</f>
        <v>67.19178565</v>
      </c>
      <c r="K69" s="34" t="n">
        <f aca="false">(K62-K64)*K65-K63*SIGN(K65)</f>
        <v>67.19178565</v>
      </c>
      <c r="L69" s="34" t="n">
        <f aca="false">(L62-L64)*L65-L63*SIGN(L65)</f>
        <v>67.19178565</v>
      </c>
      <c r="M69" s="34" t="n">
        <f aca="false">(M62-M64)*M65-M63*SIGN(M65)</f>
        <v>22.845207121</v>
      </c>
      <c r="N69" s="34" t="n">
        <f aca="false">(N62-N64)*N65-N63*SIGN(N65)</f>
        <v>0</v>
      </c>
    </row>
    <row r="70" customFormat="false" ht="15" hidden="false" customHeight="false" outlineLevel="0" collapsed="false">
      <c r="A70" s="0" t="s">
        <v>3619</v>
      </c>
      <c r="B70" s="34" t="n">
        <f aca="false">B69</f>
        <v>-6.6921001624</v>
      </c>
      <c r="C70" s="34" t="n">
        <f aca="false">B70+C69</f>
        <v>-9.72298482133325</v>
      </c>
      <c r="D70" s="34" t="n">
        <f aca="false">C70+D69</f>
        <v>21.885898006782</v>
      </c>
      <c r="E70" s="34" t="n">
        <f aca="false">D70+E69</f>
        <v>55.4596466076973</v>
      </c>
      <c r="F70" s="34" t="n">
        <f aca="false">E70+F69</f>
        <v>122.651432257697</v>
      </c>
      <c r="G70" s="34" t="n">
        <f aca="false">F70+G69</f>
        <v>189.843217907697</v>
      </c>
      <c r="H70" s="34" t="n">
        <f aca="false">G70+H69</f>
        <v>257.035003557697</v>
      </c>
      <c r="I70" s="34" t="n">
        <f aca="false">H70+I69</f>
        <v>324.226789207697</v>
      </c>
      <c r="J70" s="34" t="n">
        <f aca="false">I70+J69</f>
        <v>391.418574857697</v>
      </c>
      <c r="K70" s="34" t="n">
        <f aca="false">J70+K69</f>
        <v>458.610360507697</v>
      </c>
      <c r="L70" s="34" t="n">
        <f aca="false">K70+L69</f>
        <v>525.802146157697</v>
      </c>
      <c r="M70" s="34" t="n">
        <f aca="false">L70+M69</f>
        <v>548.647353278697</v>
      </c>
      <c r="N70" s="34" t="n">
        <f aca="false">M70+N69</f>
        <v>548.647353278697</v>
      </c>
    </row>
    <row r="71" customFormat="false" ht="15" hidden="false" customHeight="false" outlineLevel="0" collapsed="false">
      <c r="A71" s="0" t="s">
        <v>3620</v>
      </c>
      <c r="B71" s="22" t="str">
        <f aca="false">IF(AND((-B63*SIGN(B65))&lt;0,(-B63*SIGN(B65))+((B62-B64)*B65)&gt;=0,((B62-B64)*B65)&gt;0),B56+B57*B65*(-(-B63*SIGN(B65)))/((B62-B64)*B65),"-")</f>
        <v>-</v>
      </c>
      <c r="C71" s="22" t="str">
        <f aca="false">IF(AND((B70-C63*SIGN(C65))&lt;0,(B70-C63*SIGN(C65))+((C62-C64)*C65)&gt;=0,((C62-C64)*C65)&gt;0),C56+C57*C65*(-(B70-C63*SIGN(C65)))/((C62-C64)*C65),"-")</f>
        <v>-</v>
      </c>
      <c r="D71" s="22" t="n">
        <f aca="false">IF(AND((C70-D63*SIGN(D65))&lt;0,(C70-D63*SIGN(D65))+((D62-D64)*D65)&gt;=0,((D62-D64)*D65)&gt;0),D56+D57*D65*(-(C70-D63*SIGN(D65)))/((D62-D64)*D65),"-")</f>
        <v>19.4431405765446</v>
      </c>
      <c r="E71" s="22" t="str">
        <f aca="false">IF(AND((D70-E63*SIGN(E65))&lt;0,(D70-E63*SIGN(E65))+((E62-E64)*E65)&gt;=0,((E62-E64)*E65)&gt;0),E56+E57*E65*(-(D70-E63*SIGN(E65)))/((E62-E64)*E65),"-")</f>
        <v>-</v>
      </c>
      <c r="F71" s="22" t="str">
        <f aca="false">IF(AND((E70-F63*SIGN(F65))&lt;0,(E70-F63*SIGN(F65))+((F62-F64)*F65)&gt;=0,((F62-F64)*F65)&gt;0),F56+F57*F65*(-(E70-F63*SIGN(F65)))/((F62-F64)*F65),"-")</f>
        <v>-</v>
      </c>
      <c r="G71" s="22" t="str">
        <f aca="false">IF(AND((F70-G63*SIGN(G65))&lt;0,(F70-G63*SIGN(G65))+((G62-G64)*G65)&gt;=0,((G62-G64)*G65)&gt;0),G56+G57*G65*(-(F70-G63*SIGN(G65)))/((G62-G64)*G65),"-")</f>
        <v>-</v>
      </c>
      <c r="H71" s="22" t="str">
        <f aca="false">IF(AND((G70-H63*SIGN(H65))&lt;0,(G70-H63*SIGN(H65))+((H62-H64)*H65)&gt;=0,((H62-H64)*H65)&gt;0),H56+H57*H65*(-(G70-H63*SIGN(H65)))/((H62-H64)*H65),"-")</f>
        <v>-</v>
      </c>
      <c r="I71" s="22" t="str">
        <f aca="false">IF(AND((H70-I63*SIGN(I65))&lt;0,(H70-I63*SIGN(I65))+((I62-I64)*I65)&gt;=0,((I62-I64)*I65)&gt;0),I56+I57*I65*(-(H70-I63*SIGN(I65)))/((I62-I64)*I65),"-")</f>
        <v>-</v>
      </c>
      <c r="J71" s="22" t="str">
        <f aca="false">IF(AND((I70-J63*SIGN(J65))&lt;0,(I70-J63*SIGN(J65))+((J62-J64)*J65)&gt;=0,((J62-J64)*J65)&gt;0),J56+J57*J65*(-(I70-J63*SIGN(J65)))/((J62-J64)*J65),"-")</f>
        <v>-</v>
      </c>
      <c r="K71" s="22" t="str">
        <f aca="false">IF(AND((J70-K63*SIGN(K65))&lt;0,(J70-K63*SIGN(K65))+((K62-K64)*K65)&gt;=0,((K62-K64)*K65)&gt;0),K56+K57*K65*(-(J70-K63*SIGN(K65)))/((K62-K64)*K65),"-")</f>
        <v>-</v>
      </c>
      <c r="L71" s="22" t="str">
        <f aca="false">IF(AND((K70-L63*SIGN(L65))&lt;0,(K70-L63*SIGN(L65))+((L62-L64)*L65)&gt;=0,((L62-L64)*L65)&gt;0),L56+L57*L65*(-(K70-L63*SIGN(L65)))/((L62-L64)*L65),"-")</f>
        <v>-</v>
      </c>
      <c r="M71" s="22" t="str">
        <f aca="false">IF(AND((L70-M63*SIGN(M65))&lt;0,(L70-M63*SIGN(M65))+((M62-M64)*M65)&gt;=0,((M62-M64)*M65)&gt;0),M56+M57*M65*(-(L70-M63*SIGN(M65)))/((M62-M64)*M65),"-")</f>
        <v>-</v>
      </c>
      <c r="N71" s="22" t="str">
        <f aca="false">IF(AND((M70-N63*SIGN(N65))&lt;0,(M70-N63*SIGN(N65))+((N62-N64)*N65)&gt;=0,((N62-N64)*N65)&gt;0),N56+N57*N65*(-(M70-N63*SIGN(N65)))/((N62-N64)*N65),"-")</f>
        <v>-</v>
      </c>
    </row>
    <row r="72" customFormat="false" ht="15" hidden="false" customHeight="false" outlineLevel="0" collapsed="false">
      <c r="A72" s="3" t="s">
        <v>3621</v>
      </c>
      <c r="B72" s="36" t="n">
        <f aca="false">IF(COUNT($B$71:$N$71)=0,"none within ten years",MIN($B$71:$N$71))</f>
        <v>19.4431405765446</v>
      </c>
    </row>
    <row r="73" customFormat="false" ht="15" hidden="false" customHeight="false" outlineLevel="0" collapsed="false">
      <c r="A73" s="16" t="s">
        <v>3622</v>
      </c>
      <c r="B73" s="37" t="n">
        <f aca="false">-B70</f>
        <v>6.6921001624</v>
      </c>
    </row>
    <row r="74" customFormat="false" ht="15" hidden="false" customHeight="false" outlineLevel="0" collapsed="false">
      <c r="A74" s="16" t="s">
        <v>3623</v>
      </c>
      <c r="B74" s="37" t="n">
        <f aca="false">-C70</f>
        <v>9.72298482133325</v>
      </c>
    </row>
    <row r="75" customFormat="false" ht="15" hidden="false" customHeight="false" outlineLevel="0" collapsed="false">
      <c r="A75" s="16" t="s">
        <v>3624</v>
      </c>
      <c r="B75" s="37" t="n">
        <f aca="false">-D70</f>
        <v>-21.885898006782</v>
      </c>
    </row>
    <row r="76" customFormat="false" ht="15" hidden="false" customHeight="false" outlineLevel="0" collapsed="false">
      <c r="A76" s="16" t="s">
        <v>3625</v>
      </c>
      <c r="B76" s="37" t="n">
        <f aca="false">-E70</f>
        <v>-55.4596466076973</v>
      </c>
    </row>
    <row r="77" customFormat="false" ht="15" hidden="false" customHeight="false" outlineLevel="0" collapsed="false">
      <c r="A77" s="16" t="s">
        <v>3626</v>
      </c>
      <c r="B77" s="37" t="n">
        <f aca="false">SUMPRODUCT(($B$62:$N$62-$B$64:$N$64)*$B$66:$N$66/(1+stla_wacc_pretax_high_pct/100)^($B$68:$N$68/12))-SUMPRODUCT($B$63:$N$63*SIGN($B$66:$N$66)/(1+stla_wacc_pretax_high_pct/100)^($B$56:$N$56/12))</f>
        <v>117.186973887052</v>
      </c>
    </row>
    <row r="78" customFormat="false" ht="15" hidden="false" customHeight="false" outlineLevel="0" collapsed="false">
      <c r="A78" s="16" t="s">
        <v>3627</v>
      </c>
      <c r="B78" s="37" t="n">
        <f aca="false">SUMPRODUCT(($B$62:$N$62-$B$64:$N$64)*$B$66:$N$66/(1+stla_wacc_pretax_low_pct/100)^($B$68:$N$68/12))-SUMPRODUCT($B$63:$N$63*SIGN($B$66:$N$66)/(1+stla_wacc_pretax_low_pct/100)^($B$56:$N$56/12))</f>
        <v>155.634728500573</v>
      </c>
    </row>
    <row r="79" customFormat="false" ht="15" hidden="false" customHeight="false" outlineLevel="0" collapsed="false">
      <c r="A79" s="16" t="s">
        <v>3628</v>
      </c>
      <c r="B79" s="37" t="n">
        <f aca="false">SUMPRODUCT(($B$62:$N$62-$B$64:$N$64)*$B$65:$N$65/(1+stla_wacc_pretax_high_pct/100)^($B$67:$N$67/12))-SUMPRODUCT($B$63:$N$63*SIGN($B$65:$N$65)/(1+stla_wacc_pretax_high_pct/100)^($B$56:$N$56/12))</f>
        <v>211.096785015543</v>
      </c>
    </row>
    <row r="80" customFormat="false" ht="15" hidden="false" customHeight="false" outlineLevel="0" collapsed="false">
      <c r="A80" s="16" t="s">
        <v>3629</v>
      </c>
      <c r="B80" s="37" t="n">
        <f aca="false">SUMPRODUCT(($B$62:$N$62-$B$64:$N$64)*$B$65:$N$65/(1+stla_wacc_pretax_low_pct/100)^($B$67:$N$67/12))-SUMPRODUCT($B$63:$N$63*SIGN($B$65:$N$65)/(1+stla_wacc_pretax_low_pct/100)^($B$56:$N$56/12))</f>
        <v>327.127888579132</v>
      </c>
    </row>
    <row r="81" customFormat="false" ht="15" hidden="false" customHeight="false" outlineLevel="0" collapsed="false">
      <c r="A81" s="16" t="s">
        <v>3631</v>
      </c>
      <c r="B81" s="37" t="n">
        <f aca="false">SUMPRODUCT($B$58:$N$58*$B$66:$N$66/(1+stla_wacc_pretax_high_pct/100)^($B$68:$N$68/12))</f>
        <v>41.3208623792171</v>
      </c>
    </row>
    <row r="82" customFormat="false" ht="15" hidden="false" customHeight="false" outlineLevel="0" collapsed="false">
      <c r="A82" s="16" t="s">
        <v>3632</v>
      </c>
      <c r="B82" s="37" t="n">
        <f aca="false">SUMPRODUCT($B$59:$N$59*$B$66:$N$66/(1+stla_wacc_pretax_high_pct/100)^($B$68:$N$68/12))</f>
        <v>63.4095441284432</v>
      </c>
    </row>
    <row r="83" customFormat="false" ht="15" hidden="false" customHeight="false" outlineLevel="0" collapsed="false">
      <c r="A83" s="16" t="s">
        <v>3633</v>
      </c>
      <c r="B83" s="37" t="n">
        <f aca="false">SUMPRODUCT($B$60:$N$60*$B$66:$N$66/(1+stla_wacc_pretax_high_pct/100)^($B$68:$N$68/12))</f>
        <v>26.6781855532426</v>
      </c>
    </row>
    <row r="84" customFormat="false" ht="15" hidden="false" customHeight="false" outlineLevel="0" collapsed="false">
      <c r="A84" s="16" t="s">
        <v>3634</v>
      </c>
      <c r="B84" s="37" t="n">
        <f aca="false">SUMPRODUCT($B$61:$N$61*$B$66:$N$66/(1+stla_wacc_pretax_high_pct/100)^($B$68:$N$68/12))</f>
        <v>13.9039403534815</v>
      </c>
    </row>
    <row r="85" customFormat="false" ht="15" hidden="false" customHeight="false" outlineLevel="0" collapsed="false">
      <c r="A85" s="16" t="s">
        <v>3635</v>
      </c>
      <c r="B85" s="37" t="n">
        <f aca="false">SUMPRODUCT($B$63:$N$63*SIGN($B$66:$N$66)/(1+stla_wacc_pretax_high_pct/100)^($B$56:$N$56/12))</f>
        <v>22.0812524271209</v>
      </c>
    </row>
    <row r="86" customFormat="false" ht="15" hidden="false" customHeight="false" outlineLevel="0" collapsed="false">
      <c r="A86" s="16" t="s">
        <v>3636</v>
      </c>
      <c r="B86" s="37" t="n">
        <f aca="false">SUMPRODUCT($B$64:$N$64*$B$66:$N$66/(1+stla_wacc_pretax_high_pct/100)^($B$68:$N$68/12))</f>
        <v>6.04430610021123</v>
      </c>
    </row>
    <row r="88" customFormat="false" ht="26.85" hidden="false" customHeight="false" outlineLevel="0" collapsed="false">
      <c r="A88" s="4" t="s">
        <v>3637</v>
      </c>
      <c r="B88" s="4" t="s">
        <v>3580</v>
      </c>
      <c r="C88" s="4" t="s">
        <v>3561</v>
      </c>
      <c r="D88" s="4" t="s">
        <v>3564</v>
      </c>
      <c r="E88" s="4" t="s">
        <v>3572</v>
      </c>
      <c r="F88" s="4" t="s">
        <v>3581</v>
      </c>
      <c r="G88" s="4" t="s">
        <v>3582</v>
      </c>
      <c r="H88" s="4" t="s">
        <v>3583</v>
      </c>
      <c r="I88" s="4" t="s">
        <v>3584</v>
      </c>
      <c r="J88" s="4" t="s">
        <v>3585</v>
      </c>
      <c r="K88" s="4" t="s">
        <v>3586</v>
      </c>
      <c r="L88" s="4" t="s">
        <v>3587</v>
      </c>
      <c r="M88" s="4" t="s">
        <v>3588</v>
      </c>
      <c r="N88" s="4" t="s">
        <v>3589</v>
      </c>
    </row>
    <row r="89" customFormat="false" ht="15" hidden="false" customHeight="false" outlineLevel="0" collapsed="false">
      <c r="A89" s="0" t="s">
        <v>3609</v>
      </c>
      <c r="B89" s="22" t="n">
        <v>0</v>
      </c>
      <c r="C89" s="22" t="n">
        <f aca="false">B89+B90</f>
        <v>7.98</v>
      </c>
      <c r="D89" s="22" t="n">
        <f aca="false">C89+C90</f>
        <v>15.96</v>
      </c>
      <c r="E89" s="22" t="n">
        <f aca="false">D89+D90</f>
        <v>23.94</v>
      </c>
      <c r="F89" s="22" t="n">
        <f aca="false">E89+E90</f>
        <v>31.92</v>
      </c>
      <c r="G89" s="22" t="n">
        <f aca="false">F89+F90</f>
        <v>43.92</v>
      </c>
      <c r="H89" s="22" t="n">
        <f aca="false">G89+G90</f>
        <v>55.92</v>
      </c>
      <c r="I89" s="22" t="n">
        <f aca="false">H89+H90</f>
        <v>67.92</v>
      </c>
      <c r="J89" s="22" t="n">
        <f aca="false">I89+I90</f>
        <v>79.92</v>
      </c>
      <c r="K89" s="22" t="n">
        <f aca="false">J89+J90</f>
        <v>91.92</v>
      </c>
      <c r="L89" s="22" t="n">
        <f aca="false">K89+K90</f>
        <v>103.92</v>
      </c>
      <c r="M89" s="22" t="n">
        <f aca="false">L89+L90</f>
        <v>115.92</v>
      </c>
      <c r="N89" s="22" t="n">
        <f aca="false">M89+M90</f>
        <v>127.92</v>
      </c>
    </row>
    <row r="90" customFormat="false" ht="15" hidden="false" customHeight="false" outlineLevel="0" collapsed="false">
      <c r="A90" s="0" t="s">
        <v>3610</v>
      </c>
      <c r="B90" s="22" t="n">
        <f aca="false">$D$24</f>
        <v>7.98</v>
      </c>
      <c r="C90" s="22" t="n">
        <f aca="false">$D$24</f>
        <v>7.98</v>
      </c>
      <c r="D90" s="22" t="n">
        <f aca="false">$D$24</f>
        <v>7.98</v>
      </c>
      <c r="E90" s="22" t="n">
        <f aca="false">$D$24</f>
        <v>7.98</v>
      </c>
      <c r="F90" s="22" t="n">
        <f aca="false">12</f>
        <v>12</v>
      </c>
      <c r="G90" s="22" t="n">
        <f aca="false">12</f>
        <v>12</v>
      </c>
      <c r="H90" s="22" t="n">
        <f aca="false">12</f>
        <v>12</v>
      </c>
      <c r="I90" s="22" t="n">
        <f aca="false">12</f>
        <v>12</v>
      </c>
      <c r="J90" s="22" t="n">
        <f aca="false">12</f>
        <v>12</v>
      </c>
      <c r="K90" s="22" t="n">
        <f aca="false">12</f>
        <v>12</v>
      </c>
      <c r="L90" s="22" t="n">
        <f aca="false">12</f>
        <v>12</v>
      </c>
      <c r="M90" s="22" t="n">
        <f aca="false">12</f>
        <v>12</v>
      </c>
      <c r="N90" s="22" t="n">
        <f aca="false">12</f>
        <v>12</v>
      </c>
    </row>
    <row r="91" customFormat="false" ht="15" hidden="false" customHeight="false" outlineLevel="0" collapsed="false">
      <c r="A91" s="0" t="s">
        <v>3559</v>
      </c>
      <c r="B91" s="34" t="n">
        <v>0</v>
      </c>
      <c r="C91" s="34" t="n">
        <f aca="false">$B$24*$D$6*C$16*C90/12</f>
        <v>1.09306985405625</v>
      </c>
      <c r="D91" s="34" t="n">
        <f aca="false">$B$24*$D$6*D$16*D90/12</f>
        <v>3.14695199975625</v>
      </c>
      <c r="E91" s="34" t="n">
        <f aca="false">$B$24*$D$6*E$16*E90/12</f>
        <v>3.14695199975625</v>
      </c>
      <c r="F91" s="34" t="n">
        <f aca="false">$B$24*$D$6*F$16*F90/12</f>
        <v>5.84951625</v>
      </c>
      <c r="G91" s="34" t="n">
        <f aca="false">$B$24*$D$6*G$16*G90/12</f>
        <v>5.84951625</v>
      </c>
      <c r="H91" s="34" t="n">
        <f aca="false">$B$24*$D$6*H$16*H90/12</f>
        <v>5.84951625</v>
      </c>
      <c r="I91" s="34" t="n">
        <f aca="false">$B$24*$D$6*I$16*I90/12</f>
        <v>5.84951625</v>
      </c>
      <c r="J91" s="34" t="n">
        <f aca="false">$B$24*$D$6*J$16*J90/12</f>
        <v>5.84951625</v>
      </c>
      <c r="K91" s="34" t="n">
        <f aca="false">$B$24*$D$6*K$16*K90/12</f>
        <v>5.84951625</v>
      </c>
      <c r="L91" s="34" t="n">
        <f aca="false">$B$24*$D$6*L$16*L90/12</f>
        <v>5.84951625</v>
      </c>
      <c r="M91" s="34" t="n">
        <f aca="false">$B$24*$D$6*M$16*M90/12</f>
        <v>5.84951625</v>
      </c>
      <c r="N91" s="34" t="n">
        <f aca="false">$B$24*$D$6*N$16*N90/12</f>
        <v>5.84951625</v>
      </c>
    </row>
    <row r="92" customFormat="false" ht="15" hidden="false" customHeight="false" outlineLevel="0" collapsed="false">
      <c r="A92" s="0" t="s">
        <v>3563</v>
      </c>
      <c r="B92" s="34" t="n">
        <v>0</v>
      </c>
      <c r="C92" s="34" t="n">
        <v>0</v>
      </c>
      <c r="D92" s="34" t="n">
        <f aca="false">$B$24*$D$7*D$16*D90/12</f>
        <v>5.21418827895</v>
      </c>
      <c r="E92" s="34" t="n">
        <f aca="false">$B$24*$D$7*E$16*E90/12</f>
        <v>5.21418827895</v>
      </c>
      <c r="F92" s="34" t="n">
        <f aca="false">$B$24*$D$7*F$16*F90/12</f>
        <v>9.69207</v>
      </c>
      <c r="G92" s="34" t="n">
        <f aca="false">$B$24*$D$7*G$16*G90/12</f>
        <v>9.69207</v>
      </c>
      <c r="H92" s="34" t="n">
        <f aca="false">$B$24*$D$7*H$16*H90/12</f>
        <v>9.69207</v>
      </c>
      <c r="I92" s="34" t="n">
        <f aca="false">$B$24*$D$7*I$16*I90/12</f>
        <v>9.69207</v>
      </c>
      <c r="J92" s="34" t="n">
        <f aca="false">$B$24*$D$7*J$16*J90/12</f>
        <v>9.69207</v>
      </c>
      <c r="K92" s="34" t="n">
        <f aca="false">$B$24*$D$7*K$16*K90/12</f>
        <v>9.69207</v>
      </c>
      <c r="L92" s="34" t="n">
        <f aca="false">$B$24*$D$7*L$16*L90/12</f>
        <v>9.69207</v>
      </c>
      <c r="M92" s="34" t="n">
        <f aca="false">$B$24*$D$7*M$16*M90/12</f>
        <v>9.69207</v>
      </c>
      <c r="N92" s="34" t="n">
        <f aca="false">$B$24*$D$7*N$16*N90/12</f>
        <v>9.69207</v>
      </c>
    </row>
    <row r="93" customFormat="false" ht="15" hidden="false" customHeight="false" outlineLevel="0" collapsed="false">
      <c r="A93" s="0" t="s">
        <v>3566</v>
      </c>
      <c r="B93" s="34" t="n">
        <v>0</v>
      </c>
      <c r="C93" s="34" t="n">
        <v>0</v>
      </c>
      <c r="D93" s="34" t="n">
        <f aca="false">$B$24*$D$8*D$16*D90/12</f>
        <v>2.1937562290875</v>
      </c>
      <c r="E93" s="34" t="n">
        <f aca="false">$B$24*$D$8*E$16*E90/12</f>
        <v>2.1937562290875</v>
      </c>
      <c r="F93" s="34" t="n">
        <f aca="false">$B$24*$D$8*F$16*F90/12</f>
        <v>4.0777275</v>
      </c>
      <c r="G93" s="34" t="n">
        <f aca="false">$B$24*$D$8*G$16*G90/12</f>
        <v>4.0777275</v>
      </c>
      <c r="H93" s="34" t="n">
        <f aca="false">$B$24*$D$8*H$16*H90/12</f>
        <v>4.0777275</v>
      </c>
      <c r="I93" s="34" t="n">
        <f aca="false">$B$24*$D$8*I$16*I90/12</f>
        <v>4.0777275</v>
      </c>
      <c r="J93" s="34" t="n">
        <f aca="false">$B$24*$D$8*J$16*J90/12</f>
        <v>4.0777275</v>
      </c>
      <c r="K93" s="34" t="n">
        <f aca="false">$B$24*$D$8*K$16*K90/12</f>
        <v>4.0777275</v>
      </c>
      <c r="L93" s="34" t="n">
        <f aca="false">$B$24*$D$8*L$16*L90/12</f>
        <v>4.0777275</v>
      </c>
      <c r="M93" s="34" t="n">
        <f aca="false">$B$24*$D$8*M$16*M90/12</f>
        <v>4.0777275</v>
      </c>
      <c r="N93" s="34" t="n">
        <f aca="false">$B$24*$D$8*N$16*N90/12</f>
        <v>4.0777275</v>
      </c>
    </row>
    <row r="94" customFormat="false" ht="15" hidden="false" customHeight="false" outlineLevel="0" collapsed="false">
      <c r="A94" s="0" t="s">
        <v>3568</v>
      </c>
      <c r="B94" s="34" t="n">
        <v>0</v>
      </c>
      <c r="C94" s="34" t="n">
        <v>0</v>
      </c>
      <c r="D94" s="34" t="n">
        <f aca="false">$B$24*$D$9*D$16*D90/12</f>
        <v>1.143325722</v>
      </c>
      <c r="E94" s="34" t="n">
        <f aca="false">$B$24*$D$9*E$16*E90/12</f>
        <v>1.143325722</v>
      </c>
      <c r="F94" s="34" t="n">
        <f aca="false">$B$24*$D$9*F$16*F90/12</f>
        <v>2.1252</v>
      </c>
      <c r="G94" s="34" t="n">
        <f aca="false">$B$24*$D$9*G$16*G90/12</f>
        <v>2.1252</v>
      </c>
      <c r="H94" s="34" t="n">
        <f aca="false">$B$24*$D$9*H$16*H90/12</f>
        <v>2.1252</v>
      </c>
      <c r="I94" s="34" t="n">
        <f aca="false">$B$24*$D$9*I$16*I90/12</f>
        <v>2.1252</v>
      </c>
      <c r="J94" s="34" t="n">
        <f aca="false">$B$24*$D$9*J$16*J90/12</f>
        <v>2.1252</v>
      </c>
      <c r="K94" s="34" t="n">
        <f aca="false">$B$24*$D$9*K$16*K90/12</f>
        <v>2.1252</v>
      </c>
      <c r="L94" s="34" t="n">
        <f aca="false">$B$24*$D$9*L$16*L90/12</f>
        <v>2.1252</v>
      </c>
      <c r="M94" s="34" t="n">
        <f aca="false">$B$24*$D$9*M$16*M90/12</f>
        <v>2.1252</v>
      </c>
      <c r="N94" s="34" t="n">
        <f aca="false">$B$24*$D$9*N$16*N90/12</f>
        <v>2.1252</v>
      </c>
    </row>
    <row r="95" customFormat="false" ht="15" hidden="false" customHeight="false" outlineLevel="0" collapsed="false">
      <c r="A95" s="0" t="s">
        <v>3611</v>
      </c>
      <c r="B95" s="34" t="n">
        <f aca="false">SUM(B91:B94)</f>
        <v>0</v>
      </c>
      <c r="C95" s="34" t="n">
        <f aca="false">SUM(C91:C94)</f>
        <v>1.09306985405625</v>
      </c>
      <c r="D95" s="34" t="n">
        <f aca="false">SUM(D91:D94)</f>
        <v>11.6982222297938</v>
      </c>
      <c r="E95" s="34" t="n">
        <f aca="false">SUM(E91:E94)</f>
        <v>11.6982222297938</v>
      </c>
      <c r="F95" s="34" t="n">
        <f aca="false">SUM(F91:F94)</f>
        <v>21.74451375</v>
      </c>
      <c r="G95" s="34" t="n">
        <f aca="false">SUM(G91:G94)</f>
        <v>21.74451375</v>
      </c>
      <c r="H95" s="34" t="n">
        <f aca="false">SUM(H91:H94)</f>
        <v>21.74451375</v>
      </c>
      <c r="I95" s="34" t="n">
        <f aca="false">SUM(I91:I94)</f>
        <v>21.74451375</v>
      </c>
      <c r="J95" s="34" t="n">
        <f aca="false">SUM(J91:J94)</f>
        <v>21.74451375</v>
      </c>
      <c r="K95" s="34" t="n">
        <f aca="false">SUM(K91:K94)</f>
        <v>21.74451375</v>
      </c>
      <c r="L95" s="34" t="n">
        <f aca="false">SUM(L91:L94)</f>
        <v>21.74451375</v>
      </c>
      <c r="M95" s="34" t="n">
        <f aca="false">SUM(M91:M94)</f>
        <v>21.74451375</v>
      </c>
      <c r="N95" s="34" t="n">
        <f aca="false">SUM(N91:N94)</f>
        <v>21.74451375</v>
      </c>
    </row>
    <row r="96" customFormat="false" ht="15" hidden="false" customHeight="false" outlineLevel="0" collapsed="false">
      <c r="A96" s="0" t="s">
        <v>3612</v>
      </c>
      <c r="B96" s="34" t="n">
        <f aca="false">$C$24*'Programme cost'!$B$49</f>
        <v>20.1569282</v>
      </c>
      <c r="C96" s="34" t="n">
        <f aca="false">$C$24*'Programme cost'!$C$49</f>
        <v>20.0598692</v>
      </c>
      <c r="D96" s="34" t="n">
        <f aca="false">$C$24*'Programme cost'!$D$49</f>
        <v>21.7747439</v>
      </c>
      <c r="E96" s="34" t="n">
        <f aca="false">$C$24*'Programme cost'!$E$49</f>
        <v>15.8564735</v>
      </c>
      <c r="F96" s="34" t="n">
        <v>0</v>
      </c>
      <c r="G96" s="34" t="n">
        <v>0</v>
      </c>
      <c r="H96" s="34" t="n">
        <v>0</v>
      </c>
      <c r="I96" s="34" t="n">
        <v>0</v>
      </c>
      <c r="J96" s="34" t="n">
        <v>0</v>
      </c>
      <c r="K96" s="34" t="n">
        <v>0</v>
      </c>
      <c r="L96" s="34" t="n">
        <v>0</v>
      </c>
      <c r="M96" s="34" t="n">
        <v>0</v>
      </c>
      <c r="N96" s="34" t="n">
        <v>0</v>
      </c>
    </row>
    <row r="97" customFormat="false" ht="15" hidden="false" customHeight="false" outlineLevel="0" collapsed="false">
      <c r="A97" s="0" t="s">
        <v>3613</v>
      </c>
      <c r="B97" s="34" t="n">
        <v>0</v>
      </c>
      <c r="C97" s="34" t="n">
        <v>0</v>
      </c>
      <c r="D97" s="34" t="n">
        <v>0</v>
      </c>
      <c r="E97" s="34" t="n">
        <v>0</v>
      </c>
      <c r="F97" s="34" t="n">
        <f aca="false">run_cost_eur_m_year*F90/12</f>
        <v>5</v>
      </c>
      <c r="G97" s="34" t="n">
        <f aca="false">run_cost_eur_m_year*G90/12</f>
        <v>5</v>
      </c>
      <c r="H97" s="34" t="n">
        <f aca="false">run_cost_eur_m_year*H90/12</f>
        <v>5</v>
      </c>
      <c r="I97" s="34" t="n">
        <f aca="false">run_cost_eur_m_year*I90/12</f>
        <v>5</v>
      </c>
      <c r="J97" s="34" t="n">
        <f aca="false">run_cost_eur_m_year*J90/12</f>
        <v>5</v>
      </c>
      <c r="K97" s="34" t="n">
        <f aca="false">run_cost_eur_m_year*K90/12</f>
        <v>5</v>
      </c>
      <c r="L97" s="34" t="n">
        <f aca="false">run_cost_eur_m_year*L90/12</f>
        <v>5</v>
      </c>
      <c r="M97" s="34" t="n">
        <f aca="false">run_cost_eur_m_year*M90/12</f>
        <v>5</v>
      </c>
      <c r="N97" s="34" t="n">
        <f aca="false">run_cost_eur_m_year*N90/12</f>
        <v>5</v>
      </c>
    </row>
    <row r="98" customFormat="false" ht="15" hidden="false" customHeight="false" outlineLevel="0" collapsed="false">
      <c r="A98" s="0" t="s">
        <v>3614</v>
      </c>
      <c r="B98" s="18" t="n">
        <f aca="false">MAX(0,MIN(1,($B$18-B89)/B90))</f>
        <v>1</v>
      </c>
      <c r="C98" s="18" t="n">
        <f aca="false">MAX(0,MIN(1,($B$18-C89)/C90))</f>
        <v>1</v>
      </c>
      <c r="D98" s="18" t="n">
        <f aca="false">MAX(0,MIN(1,($B$18-D89)/D90))</f>
        <v>1</v>
      </c>
      <c r="E98" s="18" t="n">
        <f aca="false">MAX(0,MIN(1,($B$18-E89)/E90))</f>
        <v>1</v>
      </c>
      <c r="F98" s="18" t="n">
        <f aca="false">MAX(0,MIN(1,($B$18-F89)/F90))</f>
        <v>1</v>
      </c>
      <c r="G98" s="18" t="n">
        <f aca="false">MAX(0,MIN(1,($B$18-G89)/G90))</f>
        <v>1</v>
      </c>
      <c r="H98" s="18" t="n">
        <f aca="false">MAX(0,MIN(1,($B$18-H89)/H90))</f>
        <v>1</v>
      </c>
      <c r="I98" s="18" t="n">
        <f aca="false">MAX(0,MIN(1,($B$18-I89)/I90))</f>
        <v>1</v>
      </c>
      <c r="J98" s="18" t="n">
        <f aca="false">MAX(0,MIN(1,($B$18-J89)/J90))</f>
        <v>1</v>
      </c>
      <c r="K98" s="18" t="n">
        <f aca="false">MAX(0,MIN(1,($B$18-K89)/K90))</f>
        <v>1</v>
      </c>
      <c r="L98" s="18" t="n">
        <f aca="false">MAX(0,MIN(1,($B$18-L89)/L90))</f>
        <v>1</v>
      </c>
      <c r="M98" s="18" t="n">
        <f aca="false">MAX(0,MIN(1,($B$18-M89)/M90))</f>
        <v>0.34</v>
      </c>
      <c r="N98" s="18" t="n">
        <f aca="false">MAX(0,MIN(1,($B$18-N89)/N90))</f>
        <v>0</v>
      </c>
    </row>
    <row r="99" customFormat="false" ht="15" hidden="false" customHeight="false" outlineLevel="0" collapsed="false">
      <c r="A99" s="0" t="s">
        <v>3615</v>
      </c>
      <c r="B99" s="18" t="n">
        <f aca="false">MAX(0,MIN(1,($B$17-B89)/B90))</f>
        <v>1</v>
      </c>
      <c r="C99" s="18" t="n">
        <f aca="false">MAX(0,MIN(1,($B$17-C89)/C90))</f>
        <v>1</v>
      </c>
      <c r="D99" s="18" t="n">
        <f aca="false">MAX(0,MIN(1,($B$17-D89)/D90))</f>
        <v>1</v>
      </c>
      <c r="E99" s="18" t="n">
        <f aca="false">MAX(0,MIN(1,($B$17-E89)/E90))</f>
        <v>1</v>
      </c>
      <c r="F99" s="18" t="n">
        <f aca="false">MAX(0,MIN(1,($B$17-F89)/F90))</f>
        <v>1</v>
      </c>
      <c r="G99" s="18" t="n">
        <f aca="false">MAX(0,MIN(1,($B$17-G89)/G90))</f>
        <v>1</v>
      </c>
      <c r="H99" s="18" t="n">
        <f aca="false">MAX(0,MIN(1,($B$17-H89)/H90))</f>
        <v>0.34</v>
      </c>
      <c r="I99" s="18" t="n">
        <f aca="false">MAX(0,MIN(1,($B$17-I89)/I90))</f>
        <v>0</v>
      </c>
      <c r="J99" s="18" t="n">
        <f aca="false">MAX(0,MIN(1,($B$17-J89)/J90))</f>
        <v>0</v>
      </c>
      <c r="K99" s="18" t="n">
        <f aca="false">MAX(0,MIN(1,($B$17-K89)/K90))</f>
        <v>0</v>
      </c>
      <c r="L99" s="18" t="n">
        <f aca="false">MAX(0,MIN(1,($B$17-L89)/L90))</f>
        <v>0</v>
      </c>
      <c r="M99" s="18" t="n">
        <f aca="false">MAX(0,MIN(1,($B$17-M89)/M90))</f>
        <v>0</v>
      </c>
      <c r="N99" s="18" t="n">
        <f aca="false">MAX(0,MIN(1,($B$17-N89)/N90))</f>
        <v>0</v>
      </c>
    </row>
    <row r="100" customFormat="false" ht="15" hidden="false" customHeight="false" outlineLevel="0" collapsed="false">
      <c r="A100" s="0" t="s">
        <v>3616</v>
      </c>
      <c r="B100" s="22" t="n">
        <f aca="false">B89+B90*B98/2</f>
        <v>3.99</v>
      </c>
      <c r="C100" s="22" t="n">
        <f aca="false">C89+C90*C98/2</f>
        <v>11.97</v>
      </c>
      <c r="D100" s="22" t="n">
        <f aca="false">D89+D90*D98/2</f>
        <v>19.95</v>
      </c>
      <c r="E100" s="22" t="n">
        <f aca="false">E89+E90*E98/2</f>
        <v>27.93</v>
      </c>
      <c r="F100" s="22" t="n">
        <f aca="false">F89+F90*F98/2</f>
        <v>37.92</v>
      </c>
      <c r="G100" s="22" t="n">
        <f aca="false">G89+G90*G98/2</f>
        <v>49.92</v>
      </c>
      <c r="H100" s="22" t="n">
        <f aca="false">H89+H90*H98/2</f>
        <v>61.92</v>
      </c>
      <c r="I100" s="22" t="n">
        <f aca="false">I89+I90*I98/2</f>
        <v>73.92</v>
      </c>
      <c r="J100" s="22" t="n">
        <f aca="false">J89+J90*J98/2</f>
        <v>85.92</v>
      </c>
      <c r="K100" s="22" t="n">
        <f aca="false">K89+K90*K98/2</f>
        <v>97.92</v>
      </c>
      <c r="L100" s="22" t="n">
        <f aca="false">L89+L90*L98/2</f>
        <v>109.92</v>
      </c>
      <c r="M100" s="22" t="n">
        <f aca="false">M89+M90*M98/2</f>
        <v>117.96</v>
      </c>
      <c r="N100" s="22" t="n">
        <f aca="false">N89+N90*N98/2</f>
        <v>127.92</v>
      </c>
    </row>
    <row r="101" customFormat="false" ht="15" hidden="false" customHeight="false" outlineLevel="0" collapsed="false">
      <c r="A101" s="0" t="s">
        <v>3617</v>
      </c>
      <c r="B101" s="22" t="n">
        <f aca="false">B89+B90*B99/2</f>
        <v>3.99</v>
      </c>
      <c r="C101" s="22" t="n">
        <f aca="false">C89+C90*C99/2</f>
        <v>11.97</v>
      </c>
      <c r="D101" s="22" t="n">
        <f aca="false">D89+D90*D99/2</f>
        <v>19.95</v>
      </c>
      <c r="E101" s="22" t="n">
        <f aca="false">E89+E90*E99/2</f>
        <v>27.93</v>
      </c>
      <c r="F101" s="22" t="n">
        <f aca="false">F89+F90*F99/2</f>
        <v>37.92</v>
      </c>
      <c r="G101" s="22" t="n">
        <f aca="false">G89+G90*G99/2</f>
        <v>49.92</v>
      </c>
      <c r="H101" s="22" t="n">
        <f aca="false">H89+H90*H99/2</f>
        <v>57.96</v>
      </c>
      <c r="I101" s="22" t="n">
        <f aca="false">I89+I90*I99/2</f>
        <v>67.92</v>
      </c>
      <c r="J101" s="22" t="n">
        <f aca="false">J89+J90*J99/2</f>
        <v>79.92</v>
      </c>
      <c r="K101" s="22" t="n">
        <f aca="false">K89+K90*K99/2</f>
        <v>91.92</v>
      </c>
      <c r="L101" s="22" t="n">
        <f aca="false">L89+L90*L99/2</f>
        <v>103.92</v>
      </c>
      <c r="M101" s="22" t="n">
        <f aca="false">M89+M90*M99/2</f>
        <v>115.92</v>
      </c>
      <c r="N101" s="22" t="n">
        <f aca="false">N89+N90*N99/2</f>
        <v>127.92</v>
      </c>
    </row>
    <row r="102" customFormat="false" ht="15" hidden="false" customHeight="false" outlineLevel="0" collapsed="false">
      <c r="A102" s="0" t="s">
        <v>3618</v>
      </c>
      <c r="B102" s="34" t="n">
        <f aca="false">(B95-B97)*B98-B96*SIGN(B98)</f>
        <v>-20.1569282</v>
      </c>
      <c r="C102" s="34" t="n">
        <f aca="false">(C95-C97)*C98-C96*SIGN(C98)</f>
        <v>-18.9667993459438</v>
      </c>
      <c r="D102" s="34" t="n">
        <f aca="false">(D95-D97)*D98-D96*SIGN(D98)</f>
        <v>-10.0765216702063</v>
      </c>
      <c r="E102" s="34" t="n">
        <f aca="false">(E95-E97)*E98-E96*SIGN(E98)</f>
        <v>-4.15825127020625</v>
      </c>
      <c r="F102" s="34" t="n">
        <f aca="false">(F95-F97)*F98-F96*SIGN(F98)</f>
        <v>16.74451375</v>
      </c>
      <c r="G102" s="34" t="n">
        <f aca="false">(G95-G97)*G98-G96*SIGN(G98)</f>
        <v>16.74451375</v>
      </c>
      <c r="H102" s="34" t="n">
        <f aca="false">(H95-H97)*H98-H96*SIGN(H98)</f>
        <v>16.74451375</v>
      </c>
      <c r="I102" s="34" t="n">
        <f aca="false">(I95-I97)*I98-I96*SIGN(I98)</f>
        <v>16.74451375</v>
      </c>
      <c r="J102" s="34" t="n">
        <f aca="false">(J95-J97)*J98-J96*SIGN(J98)</f>
        <v>16.74451375</v>
      </c>
      <c r="K102" s="34" t="n">
        <f aca="false">(K95-K97)*K98-K96*SIGN(K98)</f>
        <v>16.74451375</v>
      </c>
      <c r="L102" s="34" t="n">
        <f aca="false">(L95-L97)*L98-L96*SIGN(L98)</f>
        <v>16.74451375</v>
      </c>
      <c r="M102" s="34" t="n">
        <f aca="false">(M95-M97)*M98-M96*SIGN(M98)</f>
        <v>5.693134675</v>
      </c>
      <c r="N102" s="34" t="n">
        <f aca="false">(N95-N97)*N98-N96*SIGN(N98)</f>
        <v>0</v>
      </c>
    </row>
    <row r="103" customFormat="false" ht="15" hidden="false" customHeight="false" outlineLevel="0" collapsed="false">
      <c r="A103" s="0" t="s">
        <v>3619</v>
      </c>
      <c r="B103" s="34" t="n">
        <f aca="false">B102</f>
        <v>-20.1569282</v>
      </c>
      <c r="C103" s="34" t="n">
        <f aca="false">B103+C102</f>
        <v>-39.1237275459438</v>
      </c>
      <c r="D103" s="34" t="n">
        <f aca="false">C103+D102</f>
        <v>-49.20024921615</v>
      </c>
      <c r="E103" s="34" t="n">
        <f aca="false">D103+E102</f>
        <v>-53.3585004863563</v>
      </c>
      <c r="F103" s="34" t="n">
        <f aca="false">E103+F102</f>
        <v>-36.6139867363563</v>
      </c>
      <c r="G103" s="34" t="n">
        <f aca="false">F103+G102</f>
        <v>-19.8694729863563</v>
      </c>
      <c r="H103" s="34" t="n">
        <f aca="false">G103+H102</f>
        <v>-3.12495923635625</v>
      </c>
      <c r="I103" s="34" t="n">
        <f aca="false">H103+I102</f>
        <v>13.6195545136437</v>
      </c>
      <c r="J103" s="34" t="n">
        <f aca="false">I103+J102</f>
        <v>30.3640682636437</v>
      </c>
      <c r="K103" s="34" t="n">
        <f aca="false">J103+K102</f>
        <v>47.1085820136437</v>
      </c>
      <c r="L103" s="34" t="n">
        <f aca="false">K103+L102</f>
        <v>63.8530957636437</v>
      </c>
      <c r="M103" s="34" t="n">
        <f aca="false">L103+M102</f>
        <v>69.5462304386437</v>
      </c>
      <c r="N103" s="34" t="n">
        <f aca="false">M103+N102</f>
        <v>69.5462304386437</v>
      </c>
    </row>
    <row r="104" customFormat="false" ht="15" hidden="false" customHeight="false" outlineLevel="0" collapsed="false">
      <c r="A104" s="0" t="s">
        <v>3620</v>
      </c>
      <c r="B104" s="22" t="str">
        <f aca="false">IF(AND((-B96*SIGN(B98))&lt;0,(-B96*SIGN(B98))+((B95-B97)*B98)&gt;=0,((B95-B97)*B98)&gt;0),B89+B90*B98*(-(-B96*SIGN(B98)))/((B95-B97)*B98),"-")</f>
        <v>-</v>
      </c>
      <c r="C104" s="22" t="str">
        <f aca="false">IF(AND((B103-C96*SIGN(C98))&lt;0,(B103-C96*SIGN(C98))+((C95-C97)*C98)&gt;=0,((C95-C97)*C98)&gt;0),C89+C90*C98*(-(B103-C96*SIGN(C98)))/((C95-C97)*C98),"-")</f>
        <v>-</v>
      </c>
      <c r="D104" s="22" t="str">
        <f aca="false">IF(AND((C103-D96*SIGN(D98))&lt;0,(C103-D96*SIGN(D98))+((D95-D97)*D98)&gt;=0,((D95-D97)*D98)&gt;0),D89+D90*D98*(-(C103-D96*SIGN(D98)))/((D95-D97)*D98),"-")</f>
        <v>-</v>
      </c>
      <c r="E104" s="22" t="str">
        <f aca="false">IF(AND((D103-E96*SIGN(E98))&lt;0,(D103-E96*SIGN(E98))+((E95-E97)*E98)&gt;=0,((E95-E97)*E98)&gt;0),E89+E90*E98*(-(D103-E96*SIGN(E98)))/((E95-E97)*E98),"-")</f>
        <v>-</v>
      </c>
      <c r="F104" s="22" t="str">
        <f aca="false">IF(AND((E103-F96*SIGN(F98))&lt;0,(E103-F96*SIGN(F98))+((F95-F97)*F98)&gt;=0,((F95-F97)*F98)&gt;0),F89+F90*F98*(-(E103-F96*SIGN(F98)))/((F95-F97)*F98),"-")</f>
        <v>-</v>
      </c>
      <c r="G104" s="22" t="str">
        <f aca="false">IF(AND((F103-G96*SIGN(G98))&lt;0,(F103-G96*SIGN(G98))+((G95-G97)*G98)&gt;=0,((G95-G97)*G98)&gt;0),G89+G90*G98*(-(F103-G96*SIGN(G98)))/((G95-G97)*G98),"-")</f>
        <v>-</v>
      </c>
      <c r="H104" s="22" t="str">
        <f aca="false">IF(AND((G103-H96*SIGN(H98))&lt;0,(G103-H96*SIGN(H98))+((H95-H97)*H98)&gt;=0,((H95-H97)*H98)&gt;0),H89+H90*H98*(-(G103-H96*SIGN(H98)))/((H95-H97)*H98),"-")</f>
        <v>-</v>
      </c>
      <c r="I104" s="22" t="n">
        <f aca="false">IF(AND((H103-I96*SIGN(I98))&lt;0,(H103-I96*SIGN(I98))+((I95-I97)*I98)&gt;=0,((I95-I97)*I98)&gt;0),I89+I90*I98*(-(H103-I96*SIGN(I98)))/((I95-I97)*I98),"-")</f>
        <v>70.1595102895284</v>
      </c>
      <c r="J104" s="22" t="str">
        <f aca="false">IF(AND((I103-J96*SIGN(J98))&lt;0,(I103-J96*SIGN(J98))+((J95-J97)*J98)&gt;=0,((J95-J97)*J98)&gt;0),J89+J90*J98*(-(I103-J96*SIGN(J98)))/((J95-J97)*J98),"-")</f>
        <v>-</v>
      </c>
      <c r="K104" s="22" t="str">
        <f aca="false">IF(AND((J103-K96*SIGN(K98))&lt;0,(J103-K96*SIGN(K98))+((K95-K97)*K98)&gt;=0,((K95-K97)*K98)&gt;0),K89+K90*K98*(-(J103-K96*SIGN(K98)))/((K95-K97)*K98),"-")</f>
        <v>-</v>
      </c>
      <c r="L104" s="22" t="str">
        <f aca="false">IF(AND((K103-L96*SIGN(L98))&lt;0,(K103-L96*SIGN(L98))+((L95-L97)*L98)&gt;=0,((L95-L97)*L98)&gt;0),L89+L90*L98*(-(K103-L96*SIGN(L98)))/((L95-L97)*L98),"-")</f>
        <v>-</v>
      </c>
      <c r="M104" s="22" t="str">
        <f aca="false">IF(AND((L103-M96*SIGN(M98))&lt;0,(L103-M96*SIGN(M98))+((M95-M97)*M98)&gt;=0,((M95-M97)*M98)&gt;0),M89+M90*M98*(-(L103-M96*SIGN(M98)))/((M95-M97)*M98),"-")</f>
        <v>-</v>
      </c>
      <c r="N104" s="22" t="str">
        <f aca="false">IF(AND((M103-N96*SIGN(N98))&lt;0,(M103-N96*SIGN(N98))+((N95-N97)*N98)&gt;=0,((N95-N97)*N98)&gt;0),N89+N90*N98*(-(M103-N96*SIGN(N98)))/((N95-N97)*N98),"-")</f>
        <v>-</v>
      </c>
    </row>
    <row r="105" customFormat="false" ht="15" hidden="false" customHeight="false" outlineLevel="0" collapsed="false">
      <c r="A105" s="3" t="s">
        <v>3621</v>
      </c>
      <c r="B105" s="36" t="n">
        <f aca="false">IF(COUNT($B$104:$N$104)=0,"none within ten years",MIN($B$104:$N$104))</f>
        <v>70.1595102895284</v>
      </c>
    </row>
    <row r="106" customFormat="false" ht="15" hidden="false" customHeight="false" outlineLevel="0" collapsed="false">
      <c r="A106" s="16" t="s">
        <v>3622</v>
      </c>
      <c r="B106" s="37" t="n">
        <f aca="false">-B103</f>
        <v>20.1569282</v>
      </c>
    </row>
    <row r="107" customFormat="false" ht="15" hidden="false" customHeight="false" outlineLevel="0" collapsed="false">
      <c r="A107" s="16" t="s">
        <v>3623</v>
      </c>
      <c r="B107" s="37" t="n">
        <f aca="false">-C103</f>
        <v>39.1237275459438</v>
      </c>
    </row>
    <row r="108" customFormat="false" ht="15" hidden="false" customHeight="false" outlineLevel="0" collapsed="false">
      <c r="A108" s="16" t="s">
        <v>3624</v>
      </c>
      <c r="B108" s="37" t="n">
        <f aca="false">-D103</f>
        <v>49.20024921615</v>
      </c>
    </row>
    <row r="109" customFormat="false" ht="15" hidden="false" customHeight="false" outlineLevel="0" collapsed="false">
      <c r="A109" s="16" t="s">
        <v>3625</v>
      </c>
      <c r="B109" s="37" t="n">
        <f aca="false">-E103</f>
        <v>53.3585004863563</v>
      </c>
    </row>
    <row r="110" customFormat="false" ht="15" hidden="false" customHeight="false" outlineLevel="0" collapsed="false">
      <c r="A110" s="16" t="s">
        <v>3626</v>
      </c>
      <c r="B110" s="37" t="n">
        <f aca="false">SUMPRODUCT(($B$95:$N$95-$B$97:$N$97)*$B$99:$N$99/(1+stla_wacc_pretax_high_pct/100)^($B$101:$N$101/12))-SUMPRODUCT($B$96:$N$96*SIGN($B$99:$N$99)/(1+stla_wacc_pretax_high_pct/100)^($B$89:$N$89/12))</f>
        <v>-28.7852675028691</v>
      </c>
    </row>
    <row r="111" customFormat="false" ht="15" hidden="false" customHeight="false" outlineLevel="0" collapsed="false">
      <c r="A111" s="16" t="s">
        <v>3627</v>
      </c>
      <c r="B111" s="37" t="n">
        <f aca="false">SUMPRODUCT(($B$95:$N$95-$B$97:$N$97)*$B$99:$N$99/(1+stla_wacc_pretax_low_pct/100)^($B$101:$N$101/12))-SUMPRODUCT($B$96:$N$96*SIGN($B$99:$N$99)/(1+stla_wacc_pretax_low_pct/100)^($B$89:$N$89/12))</f>
        <v>-23.3207340116554</v>
      </c>
    </row>
    <row r="112" customFormat="false" ht="15" hidden="false" customHeight="false" outlineLevel="0" collapsed="false">
      <c r="A112" s="16" t="s">
        <v>3628</v>
      </c>
      <c r="B112" s="37" t="n">
        <f aca="false">SUMPRODUCT(($B$95:$N$95-$B$97:$N$97)*$B$98:$N$98/(1+stla_wacc_pretax_high_pct/100)^($B$100:$N$100/12))-SUMPRODUCT($B$96:$N$96*SIGN($B$98:$N$98)/(1+stla_wacc_pretax_high_pct/100)^($B$89:$N$89/12))</f>
        <v>-5.38249425478367</v>
      </c>
    </row>
    <row r="113" customFormat="false" ht="15" hidden="false" customHeight="false" outlineLevel="0" collapsed="false">
      <c r="A113" s="16" t="s">
        <v>3629</v>
      </c>
      <c r="B113" s="37" t="n">
        <f aca="false">SUMPRODUCT(($B$95:$N$95-$B$97:$N$97)*$B$98:$N$98/(1+stla_wacc_pretax_low_pct/100)^($B$100:$N$100/12))-SUMPRODUCT($B$96:$N$96*SIGN($B$98:$N$98)/(1+stla_wacc_pretax_low_pct/100)^($B$89:$N$89/12))</f>
        <v>19.4161801689606</v>
      </c>
    </row>
    <row r="115" customFormat="false" ht="26.85" hidden="false" customHeight="false" outlineLevel="0" collapsed="false">
      <c r="A115" s="4" t="s">
        <v>3638</v>
      </c>
      <c r="B115" s="4" t="s">
        <v>3580</v>
      </c>
      <c r="C115" s="4" t="s">
        <v>3561</v>
      </c>
      <c r="D115" s="4" t="s">
        <v>3564</v>
      </c>
      <c r="E115" s="4" t="s">
        <v>3572</v>
      </c>
      <c r="F115" s="4" t="s">
        <v>3581</v>
      </c>
      <c r="G115" s="4" t="s">
        <v>3582</v>
      </c>
      <c r="H115" s="4" t="s">
        <v>3583</v>
      </c>
      <c r="I115" s="4" t="s">
        <v>3584</v>
      </c>
      <c r="J115" s="4" t="s">
        <v>3585</v>
      </c>
      <c r="K115" s="4" t="s">
        <v>3586</v>
      </c>
      <c r="L115" s="4" t="s">
        <v>3587</v>
      </c>
      <c r="M115" s="4" t="s">
        <v>3588</v>
      </c>
      <c r="N115" s="4" t="s">
        <v>3589</v>
      </c>
    </row>
    <row r="116" customFormat="false" ht="15" hidden="false" customHeight="false" outlineLevel="0" collapsed="false">
      <c r="A116" s="0" t="s">
        <v>3609</v>
      </c>
      <c r="B116" s="22" t="n">
        <v>0</v>
      </c>
      <c r="C116" s="22" t="n">
        <f aca="false">B116+B117</f>
        <v>7.98</v>
      </c>
      <c r="D116" s="22" t="n">
        <f aca="false">C116+C117</f>
        <v>15.96</v>
      </c>
      <c r="E116" s="22" t="n">
        <f aca="false">D116+D117</f>
        <v>23.94</v>
      </c>
      <c r="F116" s="22" t="n">
        <f aca="false">E116+E117</f>
        <v>31.92</v>
      </c>
      <c r="G116" s="22" t="n">
        <f aca="false">F116+F117</f>
        <v>43.92</v>
      </c>
      <c r="H116" s="22" t="n">
        <f aca="false">G116+G117</f>
        <v>55.92</v>
      </c>
      <c r="I116" s="22" t="n">
        <f aca="false">H116+H117</f>
        <v>67.92</v>
      </c>
      <c r="J116" s="22" t="n">
        <f aca="false">I116+I117</f>
        <v>79.92</v>
      </c>
      <c r="K116" s="22" t="n">
        <f aca="false">J116+J117</f>
        <v>91.92</v>
      </c>
      <c r="L116" s="22" t="n">
        <f aca="false">K116+K117</f>
        <v>103.92</v>
      </c>
      <c r="M116" s="22" t="n">
        <f aca="false">L116+L117</f>
        <v>115.92</v>
      </c>
      <c r="N116" s="22" t="n">
        <f aca="false">M116+M117</f>
        <v>127.92</v>
      </c>
    </row>
    <row r="117" customFormat="false" ht="15" hidden="false" customHeight="false" outlineLevel="0" collapsed="false">
      <c r="A117" s="0" t="s">
        <v>3610</v>
      </c>
      <c r="B117" s="22" t="n">
        <f aca="false">$D$25</f>
        <v>7.98</v>
      </c>
      <c r="C117" s="22" t="n">
        <f aca="false">$D$25</f>
        <v>7.98</v>
      </c>
      <c r="D117" s="22" t="n">
        <f aca="false">$D$25</f>
        <v>7.98</v>
      </c>
      <c r="E117" s="22" t="n">
        <f aca="false">$D$25</f>
        <v>7.98</v>
      </c>
      <c r="F117" s="22" t="n">
        <f aca="false">12</f>
        <v>12</v>
      </c>
      <c r="G117" s="22" t="n">
        <f aca="false">12</f>
        <v>12</v>
      </c>
      <c r="H117" s="22" t="n">
        <f aca="false">12</f>
        <v>12</v>
      </c>
      <c r="I117" s="22" t="n">
        <f aca="false">12</f>
        <v>12</v>
      </c>
      <c r="J117" s="22" t="n">
        <f aca="false">12</f>
        <v>12</v>
      </c>
      <c r="K117" s="22" t="n">
        <f aca="false">12</f>
        <v>12</v>
      </c>
      <c r="L117" s="22" t="n">
        <f aca="false">12</f>
        <v>12</v>
      </c>
      <c r="M117" s="22" t="n">
        <f aca="false">12</f>
        <v>12</v>
      </c>
      <c r="N117" s="22" t="n">
        <f aca="false">12</f>
        <v>12</v>
      </c>
    </row>
    <row r="118" customFormat="false" ht="15" hidden="false" customHeight="false" outlineLevel="0" collapsed="false">
      <c r="A118" s="0" t="s">
        <v>3559</v>
      </c>
      <c r="B118" s="34" t="n">
        <v>0</v>
      </c>
      <c r="C118" s="34" t="n">
        <f aca="false">$B$25*$D$6*C$16*C117/12</f>
        <v>2.1861397081125</v>
      </c>
      <c r="D118" s="34" t="n">
        <f aca="false">$B$25*$D$6*D$16*D117/12</f>
        <v>6.2939039995125</v>
      </c>
      <c r="E118" s="34" t="n">
        <f aca="false">$B$25*$D$6*E$16*E117/12</f>
        <v>6.2939039995125</v>
      </c>
      <c r="F118" s="34" t="n">
        <f aca="false">$B$25*$D$6*F$16*F117/12</f>
        <v>11.6990325</v>
      </c>
      <c r="G118" s="34" t="n">
        <f aca="false">$B$25*$D$6*G$16*G117/12</f>
        <v>11.6990325</v>
      </c>
      <c r="H118" s="34" t="n">
        <f aca="false">$B$25*$D$6*H$16*H117/12</f>
        <v>11.6990325</v>
      </c>
      <c r="I118" s="34" t="n">
        <f aca="false">$B$25*$D$6*I$16*I117/12</f>
        <v>11.6990325</v>
      </c>
      <c r="J118" s="34" t="n">
        <f aca="false">$B$25*$D$6*J$16*J117/12</f>
        <v>11.6990325</v>
      </c>
      <c r="K118" s="34" t="n">
        <f aca="false">$B$25*$D$6*K$16*K117/12</f>
        <v>11.6990325</v>
      </c>
      <c r="L118" s="34" t="n">
        <f aca="false">$B$25*$D$6*L$16*L117/12</f>
        <v>11.6990325</v>
      </c>
      <c r="M118" s="34" t="n">
        <f aca="false">$B$25*$D$6*M$16*M117/12</f>
        <v>11.6990325</v>
      </c>
      <c r="N118" s="34" t="n">
        <f aca="false">$B$25*$D$6*N$16*N117/12</f>
        <v>11.6990325</v>
      </c>
    </row>
    <row r="119" customFormat="false" ht="15" hidden="false" customHeight="false" outlineLevel="0" collapsed="false">
      <c r="A119" s="0" t="s">
        <v>3563</v>
      </c>
      <c r="B119" s="34" t="n">
        <v>0</v>
      </c>
      <c r="C119" s="34" t="n">
        <v>0</v>
      </c>
      <c r="D119" s="34" t="n">
        <f aca="false">$B$25*$D$7*D$16*D117/12</f>
        <v>10.4283765579</v>
      </c>
      <c r="E119" s="34" t="n">
        <f aca="false">$B$25*$D$7*E$16*E117/12</f>
        <v>10.4283765579</v>
      </c>
      <c r="F119" s="34" t="n">
        <f aca="false">$B$25*$D$7*F$16*F117/12</f>
        <v>19.38414</v>
      </c>
      <c r="G119" s="34" t="n">
        <f aca="false">$B$25*$D$7*G$16*G117/12</f>
        <v>19.38414</v>
      </c>
      <c r="H119" s="34" t="n">
        <f aca="false">$B$25*$D$7*H$16*H117/12</f>
        <v>19.38414</v>
      </c>
      <c r="I119" s="34" t="n">
        <f aca="false">$B$25*$D$7*I$16*I117/12</f>
        <v>19.38414</v>
      </c>
      <c r="J119" s="34" t="n">
        <f aca="false">$B$25*$D$7*J$16*J117/12</f>
        <v>19.38414</v>
      </c>
      <c r="K119" s="34" t="n">
        <f aca="false">$B$25*$D$7*K$16*K117/12</f>
        <v>19.38414</v>
      </c>
      <c r="L119" s="34" t="n">
        <f aca="false">$B$25*$D$7*L$16*L117/12</f>
        <v>19.38414</v>
      </c>
      <c r="M119" s="34" t="n">
        <f aca="false">$B$25*$D$7*M$16*M117/12</f>
        <v>19.38414</v>
      </c>
      <c r="N119" s="34" t="n">
        <f aca="false">$B$25*$D$7*N$16*N117/12</f>
        <v>19.38414</v>
      </c>
    </row>
    <row r="120" customFormat="false" ht="15" hidden="false" customHeight="false" outlineLevel="0" collapsed="false">
      <c r="A120" s="0" t="s">
        <v>3566</v>
      </c>
      <c r="B120" s="34" t="n">
        <v>0</v>
      </c>
      <c r="C120" s="34" t="n">
        <v>0</v>
      </c>
      <c r="D120" s="34" t="n">
        <f aca="false">$B$25*$D$8*D$16*D117/12</f>
        <v>4.387512458175</v>
      </c>
      <c r="E120" s="34" t="n">
        <f aca="false">$B$25*$D$8*E$16*E117/12</f>
        <v>4.387512458175</v>
      </c>
      <c r="F120" s="34" t="n">
        <f aca="false">$B$25*$D$8*F$16*F117/12</f>
        <v>8.155455</v>
      </c>
      <c r="G120" s="34" t="n">
        <f aca="false">$B$25*$D$8*G$16*G117/12</f>
        <v>8.155455</v>
      </c>
      <c r="H120" s="34" t="n">
        <f aca="false">$B$25*$D$8*H$16*H117/12</f>
        <v>8.155455</v>
      </c>
      <c r="I120" s="34" t="n">
        <f aca="false">$B$25*$D$8*I$16*I117/12</f>
        <v>8.155455</v>
      </c>
      <c r="J120" s="34" t="n">
        <f aca="false">$B$25*$D$8*J$16*J117/12</f>
        <v>8.155455</v>
      </c>
      <c r="K120" s="34" t="n">
        <f aca="false">$B$25*$D$8*K$16*K117/12</f>
        <v>8.155455</v>
      </c>
      <c r="L120" s="34" t="n">
        <f aca="false">$B$25*$D$8*L$16*L117/12</f>
        <v>8.155455</v>
      </c>
      <c r="M120" s="34" t="n">
        <f aca="false">$B$25*$D$8*M$16*M117/12</f>
        <v>8.155455</v>
      </c>
      <c r="N120" s="34" t="n">
        <f aca="false">$B$25*$D$8*N$16*N117/12</f>
        <v>8.155455</v>
      </c>
    </row>
    <row r="121" customFormat="false" ht="15" hidden="false" customHeight="false" outlineLevel="0" collapsed="false">
      <c r="A121" s="0" t="s">
        <v>3568</v>
      </c>
      <c r="B121" s="34" t="n">
        <v>0</v>
      </c>
      <c r="C121" s="34" t="n">
        <v>0</v>
      </c>
      <c r="D121" s="34" t="n">
        <f aca="false">$B$25*$D$9*D$16*D117/12</f>
        <v>2.286651444</v>
      </c>
      <c r="E121" s="34" t="n">
        <f aca="false">$B$25*$D$9*E$16*E117/12</f>
        <v>2.286651444</v>
      </c>
      <c r="F121" s="34" t="n">
        <f aca="false">$B$25*$D$9*F$16*F117/12</f>
        <v>4.2504</v>
      </c>
      <c r="G121" s="34" t="n">
        <f aca="false">$B$25*$D$9*G$16*G117/12</f>
        <v>4.2504</v>
      </c>
      <c r="H121" s="34" t="n">
        <f aca="false">$B$25*$D$9*H$16*H117/12</f>
        <v>4.2504</v>
      </c>
      <c r="I121" s="34" t="n">
        <f aca="false">$B$25*$D$9*I$16*I117/12</f>
        <v>4.2504</v>
      </c>
      <c r="J121" s="34" t="n">
        <f aca="false">$B$25*$D$9*J$16*J117/12</f>
        <v>4.2504</v>
      </c>
      <c r="K121" s="34" t="n">
        <f aca="false">$B$25*$D$9*K$16*K117/12</f>
        <v>4.2504</v>
      </c>
      <c r="L121" s="34" t="n">
        <f aca="false">$B$25*$D$9*L$16*L117/12</f>
        <v>4.2504</v>
      </c>
      <c r="M121" s="34" t="n">
        <f aca="false">$B$25*$D$9*M$16*M117/12</f>
        <v>4.2504</v>
      </c>
      <c r="N121" s="34" t="n">
        <f aca="false">$B$25*$D$9*N$16*N117/12</f>
        <v>4.2504</v>
      </c>
    </row>
    <row r="122" customFormat="false" ht="15" hidden="false" customHeight="false" outlineLevel="0" collapsed="false">
      <c r="A122" s="0" t="s">
        <v>3611</v>
      </c>
      <c r="B122" s="34" t="n">
        <f aca="false">SUM(B118:B121)</f>
        <v>0</v>
      </c>
      <c r="C122" s="34" t="n">
        <f aca="false">SUM(C118:C121)</f>
        <v>2.1861397081125</v>
      </c>
      <c r="D122" s="34" t="n">
        <f aca="false">SUM(D118:D121)</f>
        <v>23.3964444595875</v>
      </c>
      <c r="E122" s="34" t="n">
        <f aca="false">SUM(E118:E121)</f>
        <v>23.3964444595875</v>
      </c>
      <c r="F122" s="34" t="n">
        <f aca="false">SUM(F118:F121)</f>
        <v>43.4890275</v>
      </c>
      <c r="G122" s="34" t="n">
        <f aca="false">SUM(G118:G121)</f>
        <v>43.4890275</v>
      </c>
      <c r="H122" s="34" t="n">
        <f aca="false">SUM(H118:H121)</f>
        <v>43.4890275</v>
      </c>
      <c r="I122" s="34" t="n">
        <f aca="false">SUM(I118:I121)</f>
        <v>43.4890275</v>
      </c>
      <c r="J122" s="34" t="n">
        <f aca="false">SUM(J118:J121)</f>
        <v>43.4890275</v>
      </c>
      <c r="K122" s="34" t="n">
        <f aca="false">SUM(K118:K121)</f>
        <v>43.4890275</v>
      </c>
      <c r="L122" s="34" t="n">
        <f aca="false">SUM(L118:L121)</f>
        <v>43.4890275</v>
      </c>
      <c r="M122" s="34" t="n">
        <f aca="false">SUM(M118:M121)</f>
        <v>43.4890275</v>
      </c>
      <c r="N122" s="34" t="n">
        <f aca="false">SUM(N118:N121)</f>
        <v>43.4890275</v>
      </c>
    </row>
    <row r="123" customFormat="false" ht="15" hidden="false" customHeight="false" outlineLevel="0" collapsed="false">
      <c r="A123" s="0" t="s">
        <v>3612</v>
      </c>
      <c r="B123" s="34" t="n">
        <f aca="false">$C$25*'Programme cost'!$B$49</f>
        <v>20.1569282</v>
      </c>
      <c r="C123" s="34" t="n">
        <f aca="false">$C$25*'Programme cost'!$C$49</f>
        <v>20.0598692</v>
      </c>
      <c r="D123" s="34" t="n">
        <f aca="false">$C$25*'Programme cost'!$D$49</f>
        <v>21.7747439</v>
      </c>
      <c r="E123" s="34" t="n">
        <f aca="false">$C$25*'Programme cost'!$E$49</f>
        <v>15.8564735</v>
      </c>
      <c r="F123" s="34" t="n">
        <v>0</v>
      </c>
      <c r="G123" s="34" t="n">
        <v>0</v>
      </c>
      <c r="H123" s="34" t="n">
        <v>0</v>
      </c>
      <c r="I123" s="34" t="n">
        <v>0</v>
      </c>
      <c r="J123" s="34" t="n">
        <v>0</v>
      </c>
      <c r="K123" s="34" t="n">
        <v>0</v>
      </c>
      <c r="L123" s="34" t="n">
        <v>0</v>
      </c>
      <c r="M123" s="34" t="n">
        <v>0</v>
      </c>
      <c r="N123" s="34" t="n">
        <v>0</v>
      </c>
    </row>
    <row r="124" customFormat="false" ht="15" hidden="false" customHeight="false" outlineLevel="0" collapsed="false">
      <c r="A124" s="0" t="s">
        <v>3613</v>
      </c>
      <c r="B124" s="34" t="n">
        <v>0</v>
      </c>
      <c r="C124" s="34" t="n">
        <v>0</v>
      </c>
      <c r="D124" s="34" t="n">
        <v>0</v>
      </c>
      <c r="E124" s="34" t="n">
        <v>0</v>
      </c>
      <c r="F124" s="34" t="n">
        <f aca="false">run_cost_eur_m_year*F117/12</f>
        <v>5</v>
      </c>
      <c r="G124" s="34" t="n">
        <f aca="false">run_cost_eur_m_year*G117/12</f>
        <v>5</v>
      </c>
      <c r="H124" s="34" t="n">
        <f aca="false">run_cost_eur_m_year*H117/12</f>
        <v>5</v>
      </c>
      <c r="I124" s="34" t="n">
        <f aca="false">run_cost_eur_m_year*I117/12</f>
        <v>5</v>
      </c>
      <c r="J124" s="34" t="n">
        <f aca="false">run_cost_eur_m_year*J117/12</f>
        <v>5</v>
      </c>
      <c r="K124" s="34" t="n">
        <f aca="false">run_cost_eur_m_year*K117/12</f>
        <v>5</v>
      </c>
      <c r="L124" s="34" t="n">
        <f aca="false">run_cost_eur_m_year*L117/12</f>
        <v>5</v>
      </c>
      <c r="M124" s="34" t="n">
        <f aca="false">run_cost_eur_m_year*M117/12</f>
        <v>5</v>
      </c>
      <c r="N124" s="34" t="n">
        <f aca="false">run_cost_eur_m_year*N117/12</f>
        <v>5</v>
      </c>
    </row>
    <row r="125" customFormat="false" ht="15" hidden="false" customHeight="false" outlineLevel="0" collapsed="false">
      <c r="A125" s="0" t="s">
        <v>3614</v>
      </c>
      <c r="B125" s="18" t="n">
        <f aca="false">MAX(0,MIN(1,($B$18-B116)/B117))</f>
        <v>1</v>
      </c>
      <c r="C125" s="18" t="n">
        <f aca="false">MAX(0,MIN(1,($B$18-C116)/C117))</f>
        <v>1</v>
      </c>
      <c r="D125" s="18" t="n">
        <f aca="false">MAX(0,MIN(1,($B$18-D116)/D117))</f>
        <v>1</v>
      </c>
      <c r="E125" s="18" t="n">
        <f aca="false">MAX(0,MIN(1,($B$18-E116)/E117))</f>
        <v>1</v>
      </c>
      <c r="F125" s="18" t="n">
        <f aca="false">MAX(0,MIN(1,($B$18-F116)/F117))</f>
        <v>1</v>
      </c>
      <c r="G125" s="18" t="n">
        <f aca="false">MAX(0,MIN(1,($B$18-G116)/G117))</f>
        <v>1</v>
      </c>
      <c r="H125" s="18" t="n">
        <f aca="false">MAX(0,MIN(1,($B$18-H116)/H117))</f>
        <v>1</v>
      </c>
      <c r="I125" s="18" t="n">
        <f aca="false">MAX(0,MIN(1,($B$18-I116)/I117))</f>
        <v>1</v>
      </c>
      <c r="J125" s="18" t="n">
        <f aca="false">MAX(0,MIN(1,($B$18-J116)/J117))</f>
        <v>1</v>
      </c>
      <c r="K125" s="18" t="n">
        <f aca="false">MAX(0,MIN(1,($B$18-K116)/K117))</f>
        <v>1</v>
      </c>
      <c r="L125" s="18" t="n">
        <f aca="false">MAX(0,MIN(1,($B$18-L116)/L117))</f>
        <v>1</v>
      </c>
      <c r="M125" s="18" t="n">
        <f aca="false">MAX(0,MIN(1,($B$18-M116)/M117))</f>
        <v>0.34</v>
      </c>
      <c r="N125" s="18" t="n">
        <f aca="false">MAX(0,MIN(1,($B$18-N116)/N117))</f>
        <v>0</v>
      </c>
    </row>
    <row r="126" customFormat="false" ht="15" hidden="false" customHeight="false" outlineLevel="0" collapsed="false">
      <c r="A126" s="0" t="s">
        <v>3615</v>
      </c>
      <c r="B126" s="18" t="n">
        <f aca="false">MAX(0,MIN(1,($B$17-B116)/B117))</f>
        <v>1</v>
      </c>
      <c r="C126" s="18" t="n">
        <f aca="false">MAX(0,MIN(1,($B$17-C116)/C117))</f>
        <v>1</v>
      </c>
      <c r="D126" s="18" t="n">
        <f aca="false">MAX(0,MIN(1,($B$17-D116)/D117))</f>
        <v>1</v>
      </c>
      <c r="E126" s="18" t="n">
        <f aca="false">MAX(0,MIN(1,($B$17-E116)/E117))</f>
        <v>1</v>
      </c>
      <c r="F126" s="18" t="n">
        <f aca="false">MAX(0,MIN(1,($B$17-F116)/F117))</f>
        <v>1</v>
      </c>
      <c r="G126" s="18" t="n">
        <f aca="false">MAX(0,MIN(1,($B$17-G116)/G117))</f>
        <v>1</v>
      </c>
      <c r="H126" s="18" t="n">
        <f aca="false">MAX(0,MIN(1,($B$17-H116)/H117))</f>
        <v>0.34</v>
      </c>
      <c r="I126" s="18" t="n">
        <f aca="false">MAX(0,MIN(1,($B$17-I116)/I117))</f>
        <v>0</v>
      </c>
      <c r="J126" s="18" t="n">
        <f aca="false">MAX(0,MIN(1,($B$17-J116)/J117))</f>
        <v>0</v>
      </c>
      <c r="K126" s="18" t="n">
        <f aca="false">MAX(0,MIN(1,($B$17-K116)/K117))</f>
        <v>0</v>
      </c>
      <c r="L126" s="18" t="n">
        <f aca="false">MAX(0,MIN(1,($B$17-L116)/L117))</f>
        <v>0</v>
      </c>
      <c r="M126" s="18" t="n">
        <f aca="false">MAX(0,MIN(1,($B$17-M116)/M117))</f>
        <v>0</v>
      </c>
      <c r="N126" s="18" t="n">
        <f aca="false">MAX(0,MIN(1,($B$17-N116)/N117))</f>
        <v>0</v>
      </c>
    </row>
    <row r="127" customFormat="false" ht="15" hidden="false" customHeight="false" outlineLevel="0" collapsed="false">
      <c r="A127" s="0" t="s">
        <v>3616</v>
      </c>
      <c r="B127" s="22" t="n">
        <f aca="false">B116+B117*B125/2</f>
        <v>3.99</v>
      </c>
      <c r="C127" s="22" t="n">
        <f aca="false">C116+C117*C125/2</f>
        <v>11.97</v>
      </c>
      <c r="D127" s="22" t="n">
        <f aca="false">D116+D117*D125/2</f>
        <v>19.95</v>
      </c>
      <c r="E127" s="22" t="n">
        <f aca="false">E116+E117*E125/2</f>
        <v>27.93</v>
      </c>
      <c r="F127" s="22" t="n">
        <f aca="false">F116+F117*F125/2</f>
        <v>37.92</v>
      </c>
      <c r="G127" s="22" t="n">
        <f aca="false">G116+G117*G125/2</f>
        <v>49.92</v>
      </c>
      <c r="H127" s="22" t="n">
        <f aca="false">H116+H117*H125/2</f>
        <v>61.92</v>
      </c>
      <c r="I127" s="22" t="n">
        <f aca="false">I116+I117*I125/2</f>
        <v>73.92</v>
      </c>
      <c r="J127" s="22" t="n">
        <f aca="false">J116+J117*J125/2</f>
        <v>85.92</v>
      </c>
      <c r="K127" s="22" t="n">
        <f aca="false">K116+K117*K125/2</f>
        <v>97.92</v>
      </c>
      <c r="L127" s="22" t="n">
        <f aca="false">L116+L117*L125/2</f>
        <v>109.92</v>
      </c>
      <c r="M127" s="22" t="n">
        <f aca="false">M116+M117*M125/2</f>
        <v>117.96</v>
      </c>
      <c r="N127" s="22" t="n">
        <f aca="false">N116+N117*N125/2</f>
        <v>127.92</v>
      </c>
    </row>
    <row r="128" customFormat="false" ht="15" hidden="false" customHeight="false" outlineLevel="0" collapsed="false">
      <c r="A128" s="0" t="s">
        <v>3617</v>
      </c>
      <c r="B128" s="22" t="n">
        <f aca="false">B116+B117*B126/2</f>
        <v>3.99</v>
      </c>
      <c r="C128" s="22" t="n">
        <f aca="false">C116+C117*C126/2</f>
        <v>11.97</v>
      </c>
      <c r="D128" s="22" t="n">
        <f aca="false">D116+D117*D126/2</f>
        <v>19.95</v>
      </c>
      <c r="E128" s="22" t="n">
        <f aca="false">E116+E117*E126/2</f>
        <v>27.93</v>
      </c>
      <c r="F128" s="22" t="n">
        <f aca="false">F116+F117*F126/2</f>
        <v>37.92</v>
      </c>
      <c r="G128" s="22" t="n">
        <f aca="false">G116+G117*G126/2</f>
        <v>49.92</v>
      </c>
      <c r="H128" s="22" t="n">
        <f aca="false">H116+H117*H126/2</f>
        <v>57.96</v>
      </c>
      <c r="I128" s="22" t="n">
        <f aca="false">I116+I117*I126/2</f>
        <v>67.92</v>
      </c>
      <c r="J128" s="22" t="n">
        <f aca="false">J116+J117*J126/2</f>
        <v>79.92</v>
      </c>
      <c r="K128" s="22" t="n">
        <f aca="false">K116+K117*K126/2</f>
        <v>91.92</v>
      </c>
      <c r="L128" s="22" t="n">
        <f aca="false">L116+L117*L126/2</f>
        <v>103.92</v>
      </c>
      <c r="M128" s="22" t="n">
        <f aca="false">M116+M117*M126/2</f>
        <v>115.92</v>
      </c>
      <c r="N128" s="22" t="n">
        <f aca="false">N116+N117*N126/2</f>
        <v>127.92</v>
      </c>
    </row>
    <row r="129" customFormat="false" ht="15" hidden="false" customHeight="false" outlineLevel="0" collapsed="false">
      <c r="A129" s="0" t="s">
        <v>3618</v>
      </c>
      <c r="B129" s="34" t="n">
        <f aca="false">(B122-B124)*B125-B123*SIGN(B125)</f>
        <v>-20.1569282</v>
      </c>
      <c r="C129" s="34" t="n">
        <f aca="false">(C122-C124)*C125-C123*SIGN(C125)</f>
        <v>-17.8737294918875</v>
      </c>
      <c r="D129" s="34" t="n">
        <f aca="false">(D122-D124)*D125-D123*SIGN(D125)</f>
        <v>1.6217005595875</v>
      </c>
      <c r="E129" s="34" t="n">
        <f aca="false">(E122-E124)*E125-E123*SIGN(E125)</f>
        <v>7.5399709595875</v>
      </c>
      <c r="F129" s="34" t="n">
        <f aca="false">(F122-F124)*F125-F123*SIGN(F125)</f>
        <v>38.4890275</v>
      </c>
      <c r="G129" s="34" t="n">
        <f aca="false">(G122-G124)*G125-G123*SIGN(G125)</f>
        <v>38.4890275</v>
      </c>
      <c r="H129" s="34" t="n">
        <f aca="false">(H122-H124)*H125-H123*SIGN(H125)</f>
        <v>38.4890275</v>
      </c>
      <c r="I129" s="34" t="n">
        <f aca="false">(I122-I124)*I125-I123*SIGN(I125)</f>
        <v>38.4890275</v>
      </c>
      <c r="J129" s="34" t="n">
        <f aca="false">(J122-J124)*J125-J123*SIGN(J125)</f>
        <v>38.4890275</v>
      </c>
      <c r="K129" s="34" t="n">
        <f aca="false">(K122-K124)*K125-K123*SIGN(K125)</f>
        <v>38.4890275</v>
      </c>
      <c r="L129" s="34" t="n">
        <f aca="false">(L122-L124)*L125-L123*SIGN(L125)</f>
        <v>38.4890275</v>
      </c>
      <c r="M129" s="34" t="n">
        <f aca="false">(M122-M124)*M125-M123*SIGN(M125)</f>
        <v>13.08626935</v>
      </c>
      <c r="N129" s="34" t="n">
        <f aca="false">(N122-N124)*N125-N123*SIGN(N125)</f>
        <v>0</v>
      </c>
    </row>
    <row r="130" customFormat="false" ht="15" hidden="false" customHeight="false" outlineLevel="0" collapsed="false">
      <c r="A130" s="0" t="s">
        <v>3619</v>
      </c>
      <c r="B130" s="34" t="n">
        <f aca="false">B129</f>
        <v>-20.1569282</v>
      </c>
      <c r="C130" s="34" t="n">
        <f aca="false">B130+C129</f>
        <v>-38.0306576918875</v>
      </c>
      <c r="D130" s="34" t="n">
        <f aca="false">C130+D129</f>
        <v>-36.4089571323</v>
      </c>
      <c r="E130" s="34" t="n">
        <f aca="false">D130+E129</f>
        <v>-28.8689861727125</v>
      </c>
      <c r="F130" s="34" t="n">
        <f aca="false">E130+F129</f>
        <v>9.62004132728751</v>
      </c>
      <c r="G130" s="34" t="n">
        <f aca="false">F130+G129</f>
        <v>48.1090688272875</v>
      </c>
      <c r="H130" s="34" t="n">
        <f aca="false">G130+H129</f>
        <v>86.5980963272875</v>
      </c>
      <c r="I130" s="34" t="n">
        <f aca="false">H130+I129</f>
        <v>125.087123827287</v>
      </c>
      <c r="J130" s="34" t="n">
        <f aca="false">I130+J129</f>
        <v>163.576151327287</v>
      </c>
      <c r="K130" s="34" t="n">
        <f aca="false">J130+K129</f>
        <v>202.065178827287</v>
      </c>
      <c r="L130" s="34" t="n">
        <f aca="false">K130+L129</f>
        <v>240.554206327287</v>
      </c>
      <c r="M130" s="34" t="n">
        <f aca="false">L130+M129</f>
        <v>253.640475677287</v>
      </c>
      <c r="N130" s="34" t="n">
        <f aca="false">M130+N129</f>
        <v>253.640475677287</v>
      </c>
    </row>
    <row r="131" customFormat="false" ht="15" hidden="false" customHeight="false" outlineLevel="0" collapsed="false">
      <c r="A131" s="0" t="s">
        <v>3620</v>
      </c>
      <c r="B131" s="22" t="str">
        <f aca="false">IF(AND((-B123*SIGN(B125))&lt;0,(-B123*SIGN(B125))+((B122-B124)*B125)&gt;=0,((B122-B124)*B125)&gt;0),B116+B117*B125*(-(-B123*SIGN(B125)))/((B122-B124)*B125),"-")</f>
        <v>-</v>
      </c>
      <c r="C131" s="22" t="str">
        <f aca="false">IF(AND((B130-C123*SIGN(C125))&lt;0,(B130-C123*SIGN(C125))+((C122-C124)*C125)&gt;=0,((C122-C124)*C125)&gt;0),C116+C117*C125*(-(B130-C123*SIGN(C125)))/((C122-C124)*C125),"-")</f>
        <v>-</v>
      </c>
      <c r="D131" s="22" t="str">
        <f aca="false">IF(AND((C130-D123*SIGN(D125))&lt;0,(C130-D123*SIGN(D125))+((D122-D124)*D125)&gt;=0,((D122-D124)*D125)&gt;0),D116+D117*D125*(-(C130-D123*SIGN(D125)))/((D122-D124)*D125),"-")</f>
        <v>-</v>
      </c>
      <c r="E131" s="22" t="str">
        <f aca="false">IF(AND((D130-E123*SIGN(E125))&lt;0,(D130-E123*SIGN(E125))+((E122-E124)*E125)&gt;=0,((E122-E124)*E125)&gt;0),E116+E117*E125*(-(D130-E123*SIGN(E125)))/((E122-E124)*E125),"-")</f>
        <v>-</v>
      </c>
      <c r="F131" s="22" t="n">
        <f aca="false">IF(AND((E130-F123*SIGN(F125))&lt;0,(E130-F123*SIGN(F125))+((F122-F124)*F125)&gt;=0,((F122-F124)*F125)&gt;0),F116+F117*F125*(-(E130-F123*SIGN(F125)))/((F122-F124)*F125),"-")</f>
        <v>40.9206907571918</v>
      </c>
      <c r="G131" s="22" t="str">
        <f aca="false">IF(AND((F130-G123*SIGN(G125))&lt;0,(F130-G123*SIGN(G125))+((G122-G124)*G125)&gt;=0,((G122-G124)*G125)&gt;0),G116+G117*G125*(-(F130-G123*SIGN(G125)))/((G122-G124)*G125),"-")</f>
        <v>-</v>
      </c>
      <c r="H131" s="22" t="str">
        <f aca="false">IF(AND((G130-H123*SIGN(H125))&lt;0,(G130-H123*SIGN(H125))+((H122-H124)*H125)&gt;=0,((H122-H124)*H125)&gt;0),H116+H117*H125*(-(G130-H123*SIGN(H125)))/((H122-H124)*H125),"-")</f>
        <v>-</v>
      </c>
      <c r="I131" s="22" t="str">
        <f aca="false">IF(AND((H130-I123*SIGN(I125))&lt;0,(H130-I123*SIGN(I125))+((I122-I124)*I125)&gt;=0,((I122-I124)*I125)&gt;0),I116+I117*I125*(-(H130-I123*SIGN(I125)))/((I122-I124)*I125),"-")</f>
        <v>-</v>
      </c>
      <c r="J131" s="22" t="str">
        <f aca="false">IF(AND((I130-J123*SIGN(J125))&lt;0,(I130-J123*SIGN(J125))+((J122-J124)*J125)&gt;=0,((J122-J124)*J125)&gt;0),J116+J117*J125*(-(I130-J123*SIGN(J125)))/((J122-J124)*J125),"-")</f>
        <v>-</v>
      </c>
      <c r="K131" s="22" t="str">
        <f aca="false">IF(AND((J130-K123*SIGN(K125))&lt;0,(J130-K123*SIGN(K125))+((K122-K124)*K125)&gt;=0,((K122-K124)*K125)&gt;0),K116+K117*K125*(-(J130-K123*SIGN(K125)))/((K122-K124)*K125),"-")</f>
        <v>-</v>
      </c>
      <c r="L131" s="22" t="str">
        <f aca="false">IF(AND((K130-L123*SIGN(L125))&lt;0,(K130-L123*SIGN(L125))+((L122-L124)*L125)&gt;=0,((L122-L124)*L125)&gt;0),L116+L117*L125*(-(K130-L123*SIGN(L125)))/((L122-L124)*L125),"-")</f>
        <v>-</v>
      </c>
      <c r="M131" s="22" t="str">
        <f aca="false">IF(AND((L130-M123*SIGN(M125))&lt;0,(L130-M123*SIGN(M125))+((M122-M124)*M125)&gt;=0,((M122-M124)*M125)&gt;0),M116+M117*M125*(-(L130-M123*SIGN(M125)))/((M122-M124)*M125),"-")</f>
        <v>-</v>
      </c>
      <c r="N131" s="22" t="str">
        <f aca="false">IF(AND((M130-N123*SIGN(N125))&lt;0,(M130-N123*SIGN(N125))+((N122-N124)*N125)&gt;=0,((N122-N124)*N125)&gt;0),N116+N117*N125*(-(M130-N123*SIGN(N125)))/((N122-N124)*N125),"-")</f>
        <v>-</v>
      </c>
    </row>
    <row r="132" customFormat="false" ht="15" hidden="false" customHeight="false" outlineLevel="0" collapsed="false">
      <c r="A132" s="3" t="s">
        <v>3621</v>
      </c>
      <c r="B132" s="36" t="n">
        <f aca="false">IF(COUNT($B$131:$N$131)=0,"none within ten years",MIN($B$131:$N$131))</f>
        <v>40.9206907571918</v>
      </c>
    </row>
    <row r="133" customFormat="false" ht="15" hidden="false" customHeight="false" outlineLevel="0" collapsed="false">
      <c r="A133" s="16" t="s">
        <v>3622</v>
      </c>
      <c r="B133" s="37" t="n">
        <f aca="false">-B130</f>
        <v>20.1569282</v>
      </c>
    </row>
    <row r="134" customFormat="false" ht="15" hidden="false" customHeight="false" outlineLevel="0" collapsed="false">
      <c r="A134" s="16" t="s">
        <v>3623</v>
      </c>
      <c r="B134" s="37" t="n">
        <f aca="false">-C130</f>
        <v>38.0306576918875</v>
      </c>
    </row>
    <row r="135" customFormat="false" ht="15" hidden="false" customHeight="false" outlineLevel="0" collapsed="false">
      <c r="A135" s="16" t="s">
        <v>3624</v>
      </c>
      <c r="B135" s="37" t="n">
        <f aca="false">-D130</f>
        <v>36.4089571323</v>
      </c>
    </row>
    <row r="136" customFormat="false" ht="15" hidden="false" customHeight="false" outlineLevel="0" collapsed="false">
      <c r="A136" s="16" t="s">
        <v>3625</v>
      </c>
      <c r="B136" s="37" t="n">
        <f aca="false">-E130</f>
        <v>28.8689861727125</v>
      </c>
    </row>
    <row r="137" customFormat="false" ht="15" hidden="false" customHeight="false" outlineLevel="0" collapsed="false">
      <c r="A137" s="16" t="s">
        <v>3626</v>
      </c>
      <c r="B137" s="37" t="n">
        <f aca="false">SUMPRODUCT(($B$122:$N$122-$B$124:$N$124)*$B$126:$N$126/(1+stla_wacc_pretax_high_pct/100)^($B$128:$N$128/12))-SUMPRODUCT($B$123:$N$123*SIGN($B$126:$N$126)/(1+stla_wacc_pretax_high_pct/100)^($B$116:$N$116/12))</f>
        <v>14.9835675617045</v>
      </c>
    </row>
    <row r="138" customFormat="false" ht="15" hidden="false" customHeight="false" outlineLevel="0" collapsed="false">
      <c r="A138" s="16" t="s">
        <v>3627</v>
      </c>
      <c r="B138" s="37" t="n">
        <f aca="false">SUMPRODUCT(($B$122:$N$122-$B$124:$N$124)*$B$126:$N$126/(1+stla_wacc_pretax_low_pct/100)^($B$128:$N$128/12))-SUMPRODUCT($B$123:$N$123*SIGN($B$126:$N$126)/(1+stla_wacc_pretax_low_pct/100)^($B$116:$N$116/12))</f>
        <v>33.2076363905384</v>
      </c>
    </row>
    <row r="139" customFormat="false" ht="15" hidden="false" customHeight="false" outlineLevel="0" collapsed="false">
      <c r="A139" s="16" t="s">
        <v>3628</v>
      </c>
      <c r="B139" s="37" t="n">
        <f aca="false">SUMPRODUCT(($B$122:$N$122-$B$124:$N$124)*$B$125:$N$125/(1+stla_wacc_pretax_high_pct/100)^($B$127:$N$127/12))-SUMPRODUCT($B$123:$N$123*SIGN($B$125:$N$125)/(1+stla_wacc_pretax_high_pct/100)^($B$116:$N$116/12))</f>
        <v>68.7773054134128</v>
      </c>
    </row>
    <row r="140" customFormat="false" ht="15" hidden="false" customHeight="false" outlineLevel="0" collapsed="false">
      <c r="A140" s="16" t="s">
        <v>3629</v>
      </c>
      <c r="B140" s="37" t="n">
        <f aca="false">SUMPRODUCT(($B$122:$N$122-$B$124:$N$124)*$B$125:$N$125/(1+stla_wacc_pretax_low_pct/100)^($B$127:$N$127/12))-SUMPRODUCT($B$123:$N$123*SIGN($B$125:$N$125)/(1+stla_wacc_pretax_low_pct/100)^($B$116:$N$116/12))</f>
        <v>131.442932423716</v>
      </c>
    </row>
    <row r="142" customFormat="false" ht="26.85" hidden="false" customHeight="false" outlineLevel="0" collapsed="false">
      <c r="A142" s="4" t="s">
        <v>3639</v>
      </c>
      <c r="B142" s="4" t="s">
        <v>3580</v>
      </c>
      <c r="C142" s="4" t="s">
        <v>3561</v>
      </c>
      <c r="D142" s="4" t="s">
        <v>3564</v>
      </c>
      <c r="E142" s="4" t="s">
        <v>3572</v>
      </c>
      <c r="F142" s="4" t="s">
        <v>3581</v>
      </c>
      <c r="G142" s="4" t="s">
        <v>3582</v>
      </c>
      <c r="H142" s="4" t="s">
        <v>3583</v>
      </c>
      <c r="I142" s="4" t="s">
        <v>3584</v>
      </c>
      <c r="J142" s="4" t="s">
        <v>3585</v>
      </c>
      <c r="K142" s="4" t="s">
        <v>3586</v>
      </c>
      <c r="L142" s="4" t="s">
        <v>3587</v>
      </c>
      <c r="M142" s="4" t="s">
        <v>3588</v>
      </c>
      <c r="N142" s="4" t="s">
        <v>3589</v>
      </c>
    </row>
    <row r="143" customFormat="false" ht="15" hidden="false" customHeight="false" outlineLevel="0" collapsed="false">
      <c r="A143" s="0" t="s">
        <v>3609</v>
      </c>
      <c r="B143" s="22" t="n">
        <v>0</v>
      </c>
      <c r="C143" s="22" t="n">
        <f aca="false">B143+B144</f>
        <v>7.98</v>
      </c>
      <c r="D143" s="22" t="n">
        <f aca="false">C143+C144</f>
        <v>15.96</v>
      </c>
      <c r="E143" s="22" t="n">
        <f aca="false">D143+D144</f>
        <v>23.94</v>
      </c>
      <c r="F143" s="22" t="n">
        <f aca="false">E143+E144</f>
        <v>31.92</v>
      </c>
      <c r="G143" s="22" t="n">
        <f aca="false">F143+F144</f>
        <v>43.92</v>
      </c>
      <c r="H143" s="22" t="n">
        <f aca="false">G143+G144</f>
        <v>55.92</v>
      </c>
      <c r="I143" s="22" t="n">
        <f aca="false">H143+H144</f>
        <v>67.92</v>
      </c>
      <c r="J143" s="22" t="n">
        <f aca="false">I143+I144</f>
        <v>79.92</v>
      </c>
      <c r="K143" s="22" t="n">
        <f aca="false">J143+J144</f>
        <v>91.92</v>
      </c>
      <c r="L143" s="22" t="n">
        <f aca="false">K143+K144</f>
        <v>103.92</v>
      </c>
      <c r="M143" s="22" t="n">
        <f aca="false">L143+L144</f>
        <v>115.92</v>
      </c>
      <c r="N143" s="22" t="n">
        <f aca="false">M143+M144</f>
        <v>127.92</v>
      </c>
    </row>
    <row r="144" customFormat="false" ht="15" hidden="false" customHeight="false" outlineLevel="0" collapsed="false">
      <c r="A144" s="0" t="s">
        <v>3610</v>
      </c>
      <c r="B144" s="22" t="n">
        <f aca="false">$D$26</f>
        <v>7.98</v>
      </c>
      <c r="C144" s="22" t="n">
        <f aca="false">$D$26</f>
        <v>7.98</v>
      </c>
      <c r="D144" s="22" t="n">
        <f aca="false">$D$26</f>
        <v>7.98</v>
      </c>
      <c r="E144" s="22" t="n">
        <f aca="false">$D$26</f>
        <v>7.98</v>
      </c>
      <c r="F144" s="22" t="n">
        <f aca="false">12</f>
        <v>12</v>
      </c>
      <c r="G144" s="22" t="n">
        <f aca="false">12</f>
        <v>12</v>
      </c>
      <c r="H144" s="22" t="n">
        <f aca="false">12</f>
        <v>12</v>
      </c>
      <c r="I144" s="22" t="n">
        <f aca="false">12</f>
        <v>12</v>
      </c>
      <c r="J144" s="22" t="n">
        <f aca="false">12</f>
        <v>12</v>
      </c>
      <c r="K144" s="22" t="n">
        <f aca="false">12</f>
        <v>12</v>
      </c>
      <c r="L144" s="22" t="n">
        <f aca="false">12</f>
        <v>12</v>
      </c>
      <c r="M144" s="22" t="n">
        <f aca="false">12</f>
        <v>12</v>
      </c>
      <c r="N144" s="22" t="n">
        <f aca="false">12</f>
        <v>12</v>
      </c>
    </row>
    <row r="145" customFormat="false" ht="15" hidden="false" customHeight="false" outlineLevel="0" collapsed="false">
      <c r="A145" s="0" t="s">
        <v>3559</v>
      </c>
      <c r="B145" s="34" t="n">
        <v>0</v>
      </c>
      <c r="C145" s="34" t="n">
        <f aca="false">$B$26*$G$6*C$16*C144/12</f>
        <v>0.302415992955563</v>
      </c>
      <c r="D145" s="34" t="n">
        <f aca="false">$B$26*$G$6*D$16*D144/12</f>
        <v>0.870656719932563</v>
      </c>
      <c r="E145" s="34" t="n">
        <f aca="false">$B$26*$G$6*E$16*E144/12</f>
        <v>0.870656719932563</v>
      </c>
      <c r="F145" s="34" t="n">
        <f aca="false">$B$26*$G$6*F$16*F144/12</f>
        <v>1.6183661625</v>
      </c>
      <c r="G145" s="34" t="n">
        <f aca="false">$B$26*$G$6*G$16*G144/12</f>
        <v>1.6183661625</v>
      </c>
      <c r="H145" s="34" t="n">
        <f aca="false">$B$26*$G$6*H$16*H144/12</f>
        <v>1.6183661625</v>
      </c>
      <c r="I145" s="34" t="n">
        <f aca="false">$B$26*$G$6*I$16*I144/12</f>
        <v>1.6183661625</v>
      </c>
      <c r="J145" s="34" t="n">
        <f aca="false">$B$26*$G$6*J$16*J144/12</f>
        <v>1.6183661625</v>
      </c>
      <c r="K145" s="34" t="n">
        <f aca="false">$B$26*$G$6*K$16*K144/12</f>
        <v>1.6183661625</v>
      </c>
      <c r="L145" s="34" t="n">
        <f aca="false">$B$26*$G$6*L$16*L144/12</f>
        <v>1.6183661625</v>
      </c>
      <c r="M145" s="34" t="n">
        <f aca="false">$B$26*$G$6*M$16*M144/12</f>
        <v>1.6183661625</v>
      </c>
      <c r="N145" s="34" t="n">
        <f aca="false">$B$26*$G$6*N$16*N144/12</f>
        <v>1.6183661625</v>
      </c>
    </row>
    <row r="146" customFormat="false" ht="15" hidden="false" customHeight="false" outlineLevel="0" collapsed="false">
      <c r="A146" s="0" t="s">
        <v>3563</v>
      </c>
      <c r="B146" s="34" t="n">
        <v>0</v>
      </c>
      <c r="C146" s="34" t="n">
        <v>0</v>
      </c>
      <c r="D146" s="34" t="n">
        <f aca="false">$B$26*$G$7*D$16*D144/12</f>
        <v>2.885184181019</v>
      </c>
      <c r="E146" s="34" t="n">
        <f aca="false">$B$26*$G$7*E$16*E144/12</f>
        <v>2.885184181019</v>
      </c>
      <c r="F146" s="34" t="n">
        <f aca="false">$B$26*$G$7*F$16*F144/12</f>
        <v>5.3629454</v>
      </c>
      <c r="G146" s="34" t="n">
        <f aca="false">$B$26*$G$7*G$16*G144/12</f>
        <v>5.3629454</v>
      </c>
      <c r="H146" s="34" t="n">
        <f aca="false">$B$26*$G$7*H$16*H144/12</f>
        <v>5.3629454</v>
      </c>
      <c r="I146" s="34" t="n">
        <f aca="false">$B$26*$G$7*I$16*I144/12</f>
        <v>5.3629454</v>
      </c>
      <c r="J146" s="34" t="n">
        <f aca="false">$B$26*$G$7*J$16*J144/12</f>
        <v>5.3629454</v>
      </c>
      <c r="K146" s="34" t="n">
        <f aca="false">$B$26*$G$7*K$16*K144/12</f>
        <v>5.3629454</v>
      </c>
      <c r="L146" s="34" t="n">
        <f aca="false">$B$26*$G$7*L$16*L144/12</f>
        <v>5.3629454</v>
      </c>
      <c r="M146" s="34" t="n">
        <f aca="false">$B$26*$G$7*M$16*M144/12</f>
        <v>5.3629454</v>
      </c>
      <c r="N146" s="34" t="n">
        <f aca="false">$B$26*$G$7*N$16*N144/12</f>
        <v>5.3629454</v>
      </c>
    </row>
    <row r="147" customFormat="false" ht="15" hidden="false" customHeight="false" outlineLevel="0" collapsed="false">
      <c r="A147" s="0" t="s">
        <v>3566</v>
      </c>
      <c r="B147" s="34" t="n">
        <v>0</v>
      </c>
      <c r="C147" s="34" t="n">
        <v>0</v>
      </c>
      <c r="D147" s="34" t="n">
        <f aca="false">$B$26*$G$8*D$16*D144/12</f>
        <v>3.64163534028525</v>
      </c>
      <c r="E147" s="34" t="n">
        <f aca="false">$B$26*$G$8*E$16*E144/12</f>
        <v>3.64163534028525</v>
      </c>
      <c r="F147" s="34" t="n">
        <f aca="false">$B$26*$G$8*F$16*F144/12</f>
        <v>6.76902765</v>
      </c>
      <c r="G147" s="34" t="n">
        <f aca="false">$B$26*$G$8*G$16*G144/12</f>
        <v>6.76902765</v>
      </c>
      <c r="H147" s="34" t="n">
        <f aca="false">$B$26*$G$8*H$16*H144/12</f>
        <v>6.76902765</v>
      </c>
      <c r="I147" s="34" t="n">
        <f aca="false">$B$26*$G$8*I$16*I144/12</f>
        <v>6.76902765</v>
      </c>
      <c r="J147" s="34" t="n">
        <f aca="false">$B$26*$G$8*J$16*J144/12</f>
        <v>6.76902765</v>
      </c>
      <c r="K147" s="34" t="n">
        <f aca="false">$B$26*$G$8*K$16*K144/12</f>
        <v>6.76902765</v>
      </c>
      <c r="L147" s="34" t="n">
        <f aca="false">$B$26*$G$8*L$16*L144/12</f>
        <v>6.76902765</v>
      </c>
      <c r="M147" s="34" t="n">
        <f aca="false">$B$26*$G$8*M$16*M144/12</f>
        <v>6.76902765</v>
      </c>
      <c r="N147" s="34" t="n">
        <f aca="false">$B$26*$G$8*N$16*N144/12</f>
        <v>6.76902765</v>
      </c>
    </row>
    <row r="148" customFormat="false" ht="15" hidden="false" customHeight="false" outlineLevel="0" collapsed="false">
      <c r="A148" s="0" t="s">
        <v>3568</v>
      </c>
      <c r="B148" s="34" t="n">
        <v>0</v>
      </c>
      <c r="C148" s="34" t="n">
        <v>0</v>
      </c>
      <c r="D148" s="34" t="n">
        <f aca="false">$B$26*$G$9*D$16*D144/12</f>
        <v>1.518336558816</v>
      </c>
      <c r="E148" s="34" t="n">
        <f aca="false">$B$26*$G$9*E$16*E144/12</f>
        <v>1.518336558816</v>
      </c>
      <c r="F148" s="34" t="n">
        <f aca="false">$B$26*$G$9*F$16*F144/12</f>
        <v>2.8222656</v>
      </c>
      <c r="G148" s="34" t="n">
        <f aca="false">$B$26*$G$9*G$16*G144/12</f>
        <v>2.8222656</v>
      </c>
      <c r="H148" s="34" t="n">
        <f aca="false">$B$26*$G$9*H$16*H144/12</f>
        <v>2.8222656</v>
      </c>
      <c r="I148" s="34" t="n">
        <f aca="false">$B$26*$G$9*I$16*I144/12</f>
        <v>2.8222656</v>
      </c>
      <c r="J148" s="34" t="n">
        <f aca="false">$B$26*$G$9*J$16*J144/12</f>
        <v>2.8222656</v>
      </c>
      <c r="K148" s="34" t="n">
        <f aca="false">$B$26*$G$9*K$16*K144/12</f>
        <v>2.8222656</v>
      </c>
      <c r="L148" s="34" t="n">
        <f aca="false">$B$26*$G$9*L$16*L144/12</f>
        <v>2.8222656</v>
      </c>
      <c r="M148" s="34" t="n">
        <f aca="false">$B$26*$G$9*M$16*M144/12</f>
        <v>2.8222656</v>
      </c>
      <c r="N148" s="34" t="n">
        <f aca="false">$B$26*$G$9*N$16*N144/12</f>
        <v>2.8222656</v>
      </c>
    </row>
    <row r="149" customFormat="false" ht="15" hidden="false" customHeight="false" outlineLevel="0" collapsed="false">
      <c r="A149" s="0" t="s">
        <v>3611</v>
      </c>
      <c r="B149" s="34" t="n">
        <f aca="false">SUM(B145:B148)</f>
        <v>0</v>
      </c>
      <c r="C149" s="34" t="n">
        <f aca="false">SUM(C145:C148)</f>
        <v>0.302415992955563</v>
      </c>
      <c r="D149" s="34" t="n">
        <f aca="false">SUM(D145:D148)</f>
        <v>8.91581280005281</v>
      </c>
      <c r="E149" s="34" t="n">
        <f aca="false">SUM(E145:E148)</f>
        <v>8.91581280005281</v>
      </c>
      <c r="F149" s="34" t="n">
        <f aca="false">SUM(F145:F148)</f>
        <v>16.5726048125</v>
      </c>
      <c r="G149" s="34" t="n">
        <f aca="false">SUM(G145:G148)</f>
        <v>16.5726048125</v>
      </c>
      <c r="H149" s="34" t="n">
        <f aca="false">SUM(H145:H148)</f>
        <v>16.5726048125</v>
      </c>
      <c r="I149" s="34" t="n">
        <f aca="false">SUM(I145:I148)</f>
        <v>16.5726048125</v>
      </c>
      <c r="J149" s="34" t="n">
        <f aca="false">SUM(J145:J148)</f>
        <v>16.5726048125</v>
      </c>
      <c r="K149" s="34" t="n">
        <f aca="false">SUM(K145:K148)</f>
        <v>16.5726048125</v>
      </c>
      <c r="L149" s="34" t="n">
        <f aca="false">SUM(L145:L148)</f>
        <v>16.5726048125</v>
      </c>
      <c r="M149" s="34" t="n">
        <f aca="false">SUM(M145:M148)</f>
        <v>16.5726048125</v>
      </c>
      <c r="N149" s="34" t="n">
        <f aca="false">SUM(N145:N148)</f>
        <v>16.5726048125</v>
      </c>
    </row>
    <row r="150" customFormat="false" ht="15" hidden="false" customHeight="false" outlineLevel="0" collapsed="false">
      <c r="A150" s="0" t="s">
        <v>3612</v>
      </c>
      <c r="B150" s="34" t="n">
        <f aca="false">$C$26*'Programme cost'!$B$49</f>
        <v>6.6921001624</v>
      </c>
      <c r="C150" s="34" t="n">
        <f aca="false">$C$26*'Programme cost'!$C$49</f>
        <v>6.6598765744</v>
      </c>
      <c r="D150" s="34" t="n">
        <f aca="false">$C$26*'Programme cost'!$D$49</f>
        <v>7.2292149748</v>
      </c>
      <c r="E150" s="34" t="n">
        <f aca="false">$C$26*'Programme cost'!$E$49</f>
        <v>5.264349202</v>
      </c>
      <c r="F150" s="34" t="n">
        <v>0</v>
      </c>
      <c r="G150" s="34" t="n">
        <v>0</v>
      </c>
      <c r="H150" s="34" t="n">
        <v>0</v>
      </c>
      <c r="I150" s="34" t="n">
        <v>0</v>
      </c>
      <c r="J150" s="34" t="n">
        <v>0</v>
      </c>
      <c r="K150" s="34" t="n">
        <v>0</v>
      </c>
      <c r="L150" s="34" t="n">
        <v>0</v>
      </c>
      <c r="M150" s="34" t="n">
        <v>0</v>
      </c>
      <c r="N150" s="34" t="n">
        <v>0</v>
      </c>
    </row>
    <row r="151" customFormat="false" ht="15" hidden="false" customHeight="false" outlineLevel="0" collapsed="false">
      <c r="A151" s="0" t="s">
        <v>3613</v>
      </c>
      <c r="B151" s="34" t="n">
        <v>0</v>
      </c>
      <c r="C151" s="34" t="n">
        <v>0</v>
      </c>
      <c r="D151" s="34" t="n">
        <v>0</v>
      </c>
      <c r="E151" s="34" t="n">
        <v>0</v>
      </c>
      <c r="F151" s="34" t="n">
        <f aca="false">Assumptions!$E$763*F144/12</f>
        <v>8</v>
      </c>
      <c r="G151" s="34" t="n">
        <f aca="false">Assumptions!$E$763*G144/12</f>
        <v>8</v>
      </c>
      <c r="H151" s="34" t="n">
        <f aca="false">Assumptions!$E$763*H144/12</f>
        <v>8</v>
      </c>
      <c r="I151" s="34" t="n">
        <f aca="false">Assumptions!$E$763*I144/12</f>
        <v>8</v>
      </c>
      <c r="J151" s="34" t="n">
        <f aca="false">Assumptions!$E$763*J144/12</f>
        <v>8</v>
      </c>
      <c r="K151" s="34" t="n">
        <f aca="false">Assumptions!$E$763*K144/12</f>
        <v>8</v>
      </c>
      <c r="L151" s="34" t="n">
        <f aca="false">Assumptions!$E$763*L144/12</f>
        <v>8</v>
      </c>
      <c r="M151" s="34" t="n">
        <f aca="false">Assumptions!$E$763*M144/12</f>
        <v>8</v>
      </c>
      <c r="N151" s="34" t="n">
        <f aca="false">Assumptions!$E$763*N144/12</f>
        <v>8</v>
      </c>
    </row>
    <row r="152" customFormat="false" ht="15" hidden="false" customHeight="false" outlineLevel="0" collapsed="false">
      <c r="A152" s="0" t="s">
        <v>3614</v>
      </c>
      <c r="B152" s="18" t="n">
        <f aca="false">MAX(0,MIN(1,($B$18-B143)/B144))</f>
        <v>1</v>
      </c>
      <c r="C152" s="18" t="n">
        <f aca="false">MAX(0,MIN(1,($B$18-C143)/C144))</f>
        <v>1</v>
      </c>
      <c r="D152" s="18" t="n">
        <f aca="false">MAX(0,MIN(1,($B$18-D143)/D144))</f>
        <v>1</v>
      </c>
      <c r="E152" s="18" t="n">
        <f aca="false">MAX(0,MIN(1,($B$18-E143)/E144))</f>
        <v>1</v>
      </c>
      <c r="F152" s="18" t="n">
        <f aca="false">MAX(0,MIN(1,($B$18-F143)/F144))</f>
        <v>1</v>
      </c>
      <c r="G152" s="18" t="n">
        <f aca="false">MAX(0,MIN(1,($B$18-G143)/G144))</f>
        <v>1</v>
      </c>
      <c r="H152" s="18" t="n">
        <f aca="false">MAX(0,MIN(1,($B$18-H143)/H144))</f>
        <v>1</v>
      </c>
      <c r="I152" s="18" t="n">
        <f aca="false">MAX(0,MIN(1,($B$18-I143)/I144))</f>
        <v>1</v>
      </c>
      <c r="J152" s="18" t="n">
        <f aca="false">MAX(0,MIN(1,($B$18-J143)/J144))</f>
        <v>1</v>
      </c>
      <c r="K152" s="18" t="n">
        <f aca="false">MAX(0,MIN(1,($B$18-K143)/K144))</f>
        <v>1</v>
      </c>
      <c r="L152" s="18" t="n">
        <f aca="false">MAX(0,MIN(1,($B$18-L143)/L144))</f>
        <v>1</v>
      </c>
      <c r="M152" s="18" t="n">
        <f aca="false">MAX(0,MIN(1,($B$18-M143)/M144))</f>
        <v>0.34</v>
      </c>
      <c r="N152" s="18" t="n">
        <f aca="false">MAX(0,MIN(1,($B$18-N143)/N144))</f>
        <v>0</v>
      </c>
    </row>
    <row r="153" customFormat="false" ht="15" hidden="false" customHeight="false" outlineLevel="0" collapsed="false">
      <c r="A153" s="0" t="s">
        <v>3615</v>
      </c>
      <c r="B153" s="18" t="n">
        <f aca="false">MAX(0,MIN(1,($B$17-B143)/B144))</f>
        <v>1</v>
      </c>
      <c r="C153" s="18" t="n">
        <f aca="false">MAX(0,MIN(1,($B$17-C143)/C144))</f>
        <v>1</v>
      </c>
      <c r="D153" s="18" t="n">
        <f aca="false">MAX(0,MIN(1,($B$17-D143)/D144))</f>
        <v>1</v>
      </c>
      <c r="E153" s="18" t="n">
        <f aca="false">MAX(0,MIN(1,($B$17-E143)/E144))</f>
        <v>1</v>
      </c>
      <c r="F153" s="18" t="n">
        <f aca="false">MAX(0,MIN(1,($B$17-F143)/F144))</f>
        <v>1</v>
      </c>
      <c r="G153" s="18" t="n">
        <f aca="false">MAX(0,MIN(1,($B$17-G143)/G144))</f>
        <v>1</v>
      </c>
      <c r="H153" s="18" t="n">
        <f aca="false">MAX(0,MIN(1,($B$17-H143)/H144))</f>
        <v>0.34</v>
      </c>
      <c r="I153" s="18" t="n">
        <f aca="false">MAX(0,MIN(1,($B$17-I143)/I144))</f>
        <v>0</v>
      </c>
      <c r="J153" s="18" t="n">
        <f aca="false">MAX(0,MIN(1,($B$17-J143)/J144))</f>
        <v>0</v>
      </c>
      <c r="K153" s="18" t="n">
        <f aca="false">MAX(0,MIN(1,($B$17-K143)/K144))</f>
        <v>0</v>
      </c>
      <c r="L153" s="18" t="n">
        <f aca="false">MAX(0,MIN(1,($B$17-L143)/L144))</f>
        <v>0</v>
      </c>
      <c r="M153" s="18" t="n">
        <f aca="false">MAX(0,MIN(1,($B$17-M143)/M144))</f>
        <v>0</v>
      </c>
      <c r="N153" s="18" t="n">
        <f aca="false">MAX(0,MIN(1,($B$17-N143)/N144))</f>
        <v>0</v>
      </c>
    </row>
    <row r="154" customFormat="false" ht="15" hidden="false" customHeight="false" outlineLevel="0" collapsed="false">
      <c r="A154" s="0" t="s">
        <v>3616</v>
      </c>
      <c r="B154" s="22" t="n">
        <f aca="false">B143+B144*B152/2</f>
        <v>3.99</v>
      </c>
      <c r="C154" s="22" t="n">
        <f aca="false">C143+C144*C152/2</f>
        <v>11.97</v>
      </c>
      <c r="D154" s="22" t="n">
        <f aca="false">D143+D144*D152/2</f>
        <v>19.95</v>
      </c>
      <c r="E154" s="22" t="n">
        <f aca="false">E143+E144*E152/2</f>
        <v>27.93</v>
      </c>
      <c r="F154" s="22" t="n">
        <f aca="false">F143+F144*F152/2</f>
        <v>37.92</v>
      </c>
      <c r="G154" s="22" t="n">
        <f aca="false">G143+G144*G152/2</f>
        <v>49.92</v>
      </c>
      <c r="H154" s="22" t="n">
        <f aca="false">H143+H144*H152/2</f>
        <v>61.92</v>
      </c>
      <c r="I154" s="22" t="n">
        <f aca="false">I143+I144*I152/2</f>
        <v>73.92</v>
      </c>
      <c r="J154" s="22" t="n">
        <f aca="false">J143+J144*J152/2</f>
        <v>85.92</v>
      </c>
      <c r="K154" s="22" t="n">
        <f aca="false">K143+K144*K152/2</f>
        <v>97.92</v>
      </c>
      <c r="L154" s="22" t="n">
        <f aca="false">L143+L144*L152/2</f>
        <v>109.92</v>
      </c>
      <c r="M154" s="22" t="n">
        <f aca="false">M143+M144*M152/2</f>
        <v>117.96</v>
      </c>
      <c r="N154" s="22" t="n">
        <f aca="false">N143+N144*N152/2</f>
        <v>127.92</v>
      </c>
    </row>
    <row r="155" customFormat="false" ht="15" hidden="false" customHeight="false" outlineLevel="0" collapsed="false">
      <c r="A155" s="0" t="s">
        <v>3617</v>
      </c>
      <c r="B155" s="22" t="n">
        <f aca="false">B143+B144*B153/2</f>
        <v>3.99</v>
      </c>
      <c r="C155" s="22" t="n">
        <f aca="false">C143+C144*C153/2</f>
        <v>11.97</v>
      </c>
      <c r="D155" s="22" t="n">
        <f aca="false">D143+D144*D153/2</f>
        <v>19.95</v>
      </c>
      <c r="E155" s="22" t="n">
        <f aca="false">E143+E144*E153/2</f>
        <v>27.93</v>
      </c>
      <c r="F155" s="22" t="n">
        <f aca="false">F143+F144*F153/2</f>
        <v>37.92</v>
      </c>
      <c r="G155" s="22" t="n">
        <f aca="false">G143+G144*G153/2</f>
        <v>49.92</v>
      </c>
      <c r="H155" s="22" t="n">
        <f aca="false">H143+H144*H153/2</f>
        <v>57.96</v>
      </c>
      <c r="I155" s="22" t="n">
        <f aca="false">I143+I144*I153/2</f>
        <v>67.92</v>
      </c>
      <c r="J155" s="22" t="n">
        <f aca="false">J143+J144*J153/2</f>
        <v>79.92</v>
      </c>
      <c r="K155" s="22" t="n">
        <f aca="false">K143+K144*K153/2</f>
        <v>91.92</v>
      </c>
      <c r="L155" s="22" t="n">
        <f aca="false">L143+L144*L153/2</f>
        <v>103.92</v>
      </c>
      <c r="M155" s="22" t="n">
        <f aca="false">M143+M144*M153/2</f>
        <v>115.92</v>
      </c>
      <c r="N155" s="22" t="n">
        <f aca="false">N143+N144*N153/2</f>
        <v>127.92</v>
      </c>
    </row>
    <row r="156" customFormat="false" ht="15" hidden="false" customHeight="false" outlineLevel="0" collapsed="false">
      <c r="A156" s="0" t="s">
        <v>3618</v>
      </c>
      <c r="B156" s="34" t="n">
        <f aca="false">(B149-B151)*B152-B150*SIGN(B152)</f>
        <v>-6.6921001624</v>
      </c>
      <c r="C156" s="34" t="n">
        <f aca="false">(C149-C151)*C152-C150*SIGN(C152)</f>
        <v>-6.35746058144444</v>
      </c>
      <c r="D156" s="34" t="n">
        <f aca="false">(D149-D151)*D152-D150*SIGN(D152)</f>
        <v>1.68659782525281</v>
      </c>
      <c r="E156" s="34" t="n">
        <f aca="false">(E149-E151)*E152-E150*SIGN(E152)</f>
        <v>3.65146359805281</v>
      </c>
      <c r="F156" s="34" t="n">
        <f aca="false">(F149-F151)*F152-F150*SIGN(F152)</f>
        <v>8.5726048125</v>
      </c>
      <c r="G156" s="34" t="n">
        <f aca="false">(G149-G151)*G152-G150*SIGN(G152)</f>
        <v>8.5726048125</v>
      </c>
      <c r="H156" s="34" t="n">
        <f aca="false">(H149-H151)*H152-H150*SIGN(H152)</f>
        <v>8.5726048125</v>
      </c>
      <c r="I156" s="34" t="n">
        <f aca="false">(I149-I151)*I152-I150*SIGN(I152)</f>
        <v>8.5726048125</v>
      </c>
      <c r="J156" s="34" t="n">
        <f aca="false">(J149-J151)*J152-J150*SIGN(J152)</f>
        <v>8.5726048125</v>
      </c>
      <c r="K156" s="34" t="n">
        <f aca="false">(K149-K151)*K152-K150*SIGN(K152)</f>
        <v>8.5726048125</v>
      </c>
      <c r="L156" s="34" t="n">
        <f aca="false">(L149-L151)*L152-L150*SIGN(L152)</f>
        <v>8.5726048125</v>
      </c>
      <c r="M156" s="34" t="n">
        <f aca="false">(M149-M151)*M152-M150*SIGN(M152)</f>
        <v>2.91468563625</v>
      </c>
      <c r="N156" s="34" t="n">
        <f aca="false">(N149-N151)*N152-N150*SIGN(N152)</f>
        <v>0</v>
      </c>
    </row>
    <row r="157" customFormat="false" ht="15" hidden="false" customHeight="false" outlineLevel="0" collapsed="false">
      <c r="A157" s="0" t="s">
        <v>3619</v>
      </c>
      <c r="B157" s="34" t="n">
        <f aca="false">B156</f>
        <v>-6.6921001624</v>
      </c>
      <c r="C157" s="34" t="n">
        <f aca="false">B157+C156</f>
        <v>-13.0495607438444</v>
      </c>
      <c r="D157" s="34" t="n">
        <f aca="false">C157+D156</f>
        <v>-11.3629629185916</v>
      </c>
      <c r="E157" s="34" t="n">
        <f aca="false">D157+E156</f>
        <v>-7.71149932053881</v>
      </c>
      <c r="F157" s="34" t="n">
        <f aca="false">E157+F156</f>
        <v>0.86110549196119</v>
      </c>
      <c r="G157" s="34" t="n">
        <f aca="false">F157+G156</f>
        <v>9.43371030446119</v>
      </c>
      <c r="H157" s="34" t="n">
        <f aca="false">G157+H156</f>
        <v>18.0063151169612</v>
      </c>
      <c r="I157" s="34" t="n">
        <f aca="false">H157+I156</f>
        <v>26.5789199294612</v>
      </c>
      <c r="J157" s="34" t="n">
        <f aca="false">I157+J156</f>
        <v>35.1515247419612</v>
      </c>
      <c r="K157" s="34" t="n">
        <f aca="false">J157+K156</f>
        <v>43.7241295544612</v>
      </c>
      <c r="L157" s="34" t="n">
        <f aca="false">K157+L156</f>
        <v>52.2967343669612</v>
      </c>
      <c r="M157" s="34" t="n">
        <f aca="false">L157+M156</f>
        <v>55.2114200032112</v>
      </c>
      <c r="N157" s="34" t="n">
        <f aca="false">M157+N156</f>
        <v>55.2114200032112</v>
      </c>
    </row>
    <row r="158" customFormat="false" ht="15" hidden="false" customHeight="false" outlineLevel="0" collapsed="false">
      <c r="A158" s="0" t="s">
        <v>3620</v>
      </c>
      <c r="B158" s="22" t="str">
        <f aca="false">IF(AND((-B150*SIGN(B152))&lt;0,(-B150*SIGN(B152))+((B149-B151)*B152)&gt;=0,((B149-B151)*B152)&gt;0),B143+B144*B152*(-(-B150*SIGN(B152)))/((B149-B151)*B152),"-")</f>
        <v>-</v>
      </c>
      <c r="C158" s="22" t="str">
        <f aca="false">IF(AND((B157-C150*SIGN(C152))&lt;0,(B157-C150*SIGN(C152))+((C149-C151)*C152)&gt;=0,((C149-C151)*C152)&gt;0),C143+C144*C152*(-(B157-C150*SIGN(C152)))/((C149-C151)*C152),"-")</f>
        <v>-</v>
      </c>
      <c r="D158" s="22" t="str">
        <f aca="false">IF(AND((C157-D150*SIGN(D152))&lt;0,(C157-D150*SIGN(D152))+((D149-D151)*D152)&gt;=0,((D149-D151)*D152)&gt;0),D143+D144*D152*(-(C157-D150*SIGN(D152)))/((D149-D151)*D152),"-")</f>
        <v>-</v>
      </c>
      <c r="E158" s="22" t="str">
        <f aca="false">IF(AND((D157-E150*SIGN(E152))&lt;0,(D157-E150*SIGN(E152))+((E149-E151)*E152)&gt;=0,((E149-E151)*E152)&gt;0),E143+E144*E152*(-(D157-E150*SIGN(E152)))/((E149-E151)*E152),"-")</f>
        <v>-</v>
      </c>
      <c r="F158" s="22" t="n">
        <f aca="false">IF(AND((E157-F150*SIGN(F152))&lt;0,(E157-F150*SIGN(F152))+((F149-F151)*F152)&gt;=0,((F149-F151)*F152)&gt;0),F143+F144*F152*(-(E157-F150*SIGN(F152)))/((F149-F151)*F152),"-")</f>
        <v>42.714617723604</v>
      </c>
      <c r="G158" s="22" t="str">
        <f aca="false">IF(AND((F157-G150*SIGN(G152))&lt;0,(F157-G150*SIGN(G152))+((G149-G151)*G152)&gt;=0,((G149-G151)*G152)&gt;0),G143+G144*G152*(-(F157-G150*SIGN(G152)))/((G149-G151)*G152),"-")</f>
        <v>-</v>
      </c>
      <c r="H158" s="22" t="str">
        <f aca="false">IF(AND((G157-H150*SIGN(H152))&lt;0,(G157-H150*SIGN(H152))+((H149-H151)*H152)&gt;=0,((H149-H151)*H152)&gt;0),H143+H144*H152*(-(G157-H150*SIGN(H152)))/((H149-H151)*H152),"-")</f>
        <v>-</v>
      </c>
      <c r="I158" s="22" t="str">
        <f aca="false">IF(AND((H157-I150*SIGN(I152))&lt;0,(H157-I150*SIGN(I152))+((I149-I151)*I152)&gt;=0,((I149-I151)*I152)&gt;0),I143+I144*I152*(-(H157-I150*SIGN(I152)))/((I149-I151)*I152),"-")</f>
        <v>-</v>
      </c>
      <c r="J158" s="22" t="str">
        <f aca="false">IF(AND((I157-J150*SIGN(J152))&lt;0,(I157-J150*SIGN(J152))+((J149-J151)*J152)&gt;=0,((J149-J151)*J152)&gt;0),J143+J144*J152*(-(I157-J150*SIGN(J152)))/((J149-J151)*J152),"-")</f>
        <v>-</v>
      </c>
      <c r="K158" s="22" t="str">
        <f aca="false">IF(AND((J157-K150*SIGN(K152))&lt;0,(J157-K150*SIGN(K152))+((K149-K151)*K152)&gt;=0,((K149-K151)*K152)&gt;0),K143+K144*K152*(-(J157-K150*SIGN(K152)))/((K149-K151)*K152),"-")</f>
        <v>-</v>
      </c>
      <c r="L158" s="22" t="str">
        <f aca="false">IF(AND((K157-L150*SIGN(L152))&lt;0,(K157-L150*SIGN(L152))+((L149-L151)*L152)&gt;=0,((L149-L151)*L152)&gt;0),L143+L144*L152*(-(K157-L150*SIGN(L152)))/((L149-L151)*L152),"-")</f>
        <v>-</v>
      </c>
      <c r="M158" s="22" t="str">
        <f aca="false">IF(AND((L157-M150*SIGN(M152))&lt;0,(L157-M150*SIGN(M152))+((M149-M151)*M152)&gt;=0,((M149-M151)*M152)&gt;0),M143+M144*M152*(-(L157-M150*SIGN(M152)))/((M149-M151)*M152),"-")</f>
        <v>-</v>
      </c>
      <c r="N158" s="22" t="str">
        <f aca="false">IF(AND((M157-N150*SIGN(N152))&lt;0,(M157-N150*SIGN(N152))+((N149-N151)*N152)&gt;=0,((N149-N151)*N152)&gt;0),N143+N144*N152*(-(M157-N150*SIGN(N152)))/((N149-N151)*N152),"-")</f>
        <v>-</v>
      </c>
    </row>
    <row r="159" customFormat="false" ht="15" hidden="false" customHeight="false" outlineLevel="0" collapsed="false">
      <c r="A159" s="3" t="s">
        <v>3621</v>
      </c>
      <c r="B159" s="36" t="n">
        <f aca="false">IF(COUNT($B$158:$N$158)=0,"none within ten years",MIN($B$158:$N$158))</f>
        <v>42.714617723604</v>
      </c>
    </row>
    <row r="160" customFormat="false" ht="15" hidden="false" customHeight="false" outlineLevel="0" collapsed="false">
      <c r="A160" s="16" t="s">
        <v>3622</v>
      </c>
      <c r="B160" s="37" t="n">
        <f aca="false">-B157</f>
        <v>6.6921001624</v>
      </c>
    </row>
    <row r="161" customFormat="false" ht="15" hidden="false" customHeight="false" outlineLevel="0" collapsed="false">
      <c r="A161" s="16" t="s">
        <v>3623</v>
      </c>
      <c r="B161" s="37" t="n">
        <f aca="false">-C157</f>
        <v>13.0495607438444</v>
      </c>
    </row>
    <row r="162" customFormat="false" ht="15" hidden="false" customHeight="false" outlineLevel="0" collapsed="false">
      <c r="A162" s="16" t="s">
        <v>3624</v>
      </c>
      <c r="B162" s="37" t="n">
        <f aca="false">-D157</f>
        <v>11.3629629185916</v>
      </c>
    </row>
    <row r="163" customFormat="false" ht="15" hidden="false" customHeight="false" outlineLevel="0" collapsed="false">
      <c r="A163" s="16" t="s">
        <v>3625</v>
      </c>
      <c r="B163" s="37" t="n">
        <f aca="false">-E157</f>
        <v>7.71149932053881</v>
      </c>
    </row>
    <row r="164" customFormat="false" ht="15" hidden="false" customHeight="false" outlineLevel="0" collapsed="false">
      <c r="A164" s="16" t="s">
        <v>3626</v>
      </c>
      <c r="B164" s="37" t="n">
        <f aca="false">SUMPRODUCT(($B$149:$N$149-$B$151:$N$151)*$B$153:$N$153/(1+stla_wacc_pretax_high_pct/100)^($B$155:$N$155/12))-SUMPRODUCT($B$150:$N$150*SIGN($B$153:$N$153)/(1+stla_wacc_pretax_high_pct/100)^($B$143:$N$143/12))</f>
        <v>1.16018928356372</v>
      </c>
    </row>
    <row r="165" customFormat="false" ht="15" hidden="false" customHeight="false" outlineLevel="0" collapsed="false">
      <c r="A165" s="16" t="s">
        <v>3627</v>
      </c>
      <c r="B165" s="37" t="n">
        <f aca="false">SUMPRODUCT(($B$149:$N$149-$B$151:$N$151)*$B$153:$N$153/(1+stla_wacc_pretax_low_pct/100)^($B$155:$N$155/12))-SUMPRODUCT($B$150:$N$150*SIGN($B$153:$N$153)/(1+stla_wacc_pretax_low_pct/100)^($B$143:$N$143/12))</f>
        <v>5.59228976580204</v>
      </c>
    </row>
    <row r="166" customFormat="false" ht="15" hidden="false" customHeight="false" outlineLevel="0" collapsed="false">
      <c r="A166" s="16" t="s">
        <v>3628</v>
      </c>
      <c r="B166" s="37" t="n">
        <f aca="false">SUMPRODUCT(($B$149:$N$149-$B$151:$N$151)*$B$152:$N$152/(1+stla_wacc_pretax_high_pct/100)^($B$154:$N$154/12))-SUMPRODUCT($B$150:$N$150*SIGN($B$152:$N$152)/(1+stla_wacc_pretax_high_pct/100)^($B$143:$N$143/12))</f>
        <v>13.1415898525939</v>
      </c>
    </row>
    <row r="167" customFormat="false" ht="15" hidden="false" customHeight="false" outlineLevel="0" collapsed="false">
      <c r="A167" s="16" t="s">
        <v>3629</v>
      </c>
      <c r="B167" s="37" t="n">
        <f aca="false">SUMPRODUCT(($B$149:$N$149-$B$151:$N$151)*$B$152:$N$152/(1+stla_wacc_pretax_low_pct/100)^($B$154:$N$154/12))-SUMPRODUCT($B$150:$N$150*SIGN($B$152:$N$152)/(1+stla_wacc_pretax_low_pct/100)^($B$143:$N$143/12))</f>
        <v>27.4720936016195</v>
      </c>
    </row>
    <row r="169" customFormat="false" ht="26.85" hidden="false" customHeight="false" outlineLevel="0" collapsed="false">
      <c r="A169" s="4" t="s">
        <v>3640</v>
      </c>
      <c r="B169" s="4" t="s">
        <v>3580</v>
      </c>
      <c r="C169" s="4" t="s">
        <v>3561</v>
      </c>
      <c r="D169" s="4" t="s">
        <v>3564</v>
      </c>
      <c r="E169" s="4" t="s">
        <v>3572</v>
      </c>
      <c r="F169" s="4" t="s">
        <v>3581</v>
      </c>
      <c r="G169" s="4" t="s">
        <v>3582</v>
      </c>
      <c r="H169" s="4" t="s">
        <v>3583</v>
      </c>
      <c r="I169" s="4" t="s">
        <v>3584</v>
      </c>
      <c r="J169" s="4" t="s">
        <v>3585</v>
      </c>
      <c r="K169" s="4" t="s">
        <v>3586</v>
      </c>
      <c r="L169" s="4" t="s">
        <v>3587</v>
      </c>
      <c r="M169" s="4" t="s">
        <v>3588</v>
      </c>
      <c r="N169" s="4" t="s">
        <v>3589</v>
      </c>
    </row>
    <row r="170" customFormat="false" ht="15" hidden="false" customHeight="false" outlineLevel="0" collapsed="false">
      <c r="A170" s="0" t="s">
        <v>3609</v>
      </c>
      <c r="B170" s="22" t="n">
        <v>0</v>
      </c>
      <c r="C170" s="22" t="n">
        <f aca="false">B170+B171</f>
        <v>6</v>
      </c>
      <c r="D170" s="22" t="n">
        <f aca="false">C170+C171</f>
        <v>12</v>
      </c>
      <c r="E170" s="22" t="n">
        <f aca="false">D170+D171</f>
        <v>18</v>
      </c>
      <c r="F170" s="22" t="n">
        <f aca="false">E170+E171</f>
        <v>24</v>
      </c>
      <c r="G170" s="22" t="n">
        <f aca="false">F170+F171</f>
        <v>36</v>
      </c>
      <c r="H170" s="22" t="n">
        <f aca="false">G170+G171</f>
        <v>48</v>
      </c>
      <c r="I170" s="22" t="n">
        <f aca="false">H170+H171</f>
        <v>60</v>
      </c>
      <c r="J170" s="22" t="n">
        <f aca="false">I170+I171</f>
        <v>72</v>
      </c>
      <c r="K170" s="22" t="n">
        <f aca="false">J170+J171</f>
        <v>84</v>
      </c>
      <c r="L170" s="22" t="n">
        <f aca="false">K170+K171</f>
        <v>96</v>
      </c>
      <c r="M170" s="22" t="n">
        <f aca="false">L170+L171</f>
        <v>108</v>
      </c>
      <c r="N170" s="22" t="n">
        <f aca="false">M170+M171</f>
        <v>120</v>
      </c>
    </row>
    <row r="171" customFormat="false" ht="15" hidden="false" customHeight="false" outlineLevel="0" collapsed="false">
      <c r="A171" s="0" t="s">
        <v>3610</v>
      </c>
      <c r="B171" s="22" t="n">
        <f aca="false">$D$22</f>
        <v>6</v>
      </c>
      <c r="C171" s="22" t="n">
        <f aca="false">$D$22</f>
        <v>6</v>
      </c>
      <c r="D171" s="22" t="n">
        <f aca="false">$D$22</f>
        <v>6</v>
      </c>
      <c r="E171" s="22" t="n">
        <f aca="false">$D$22</f>
        <v>6</v>
      </c>
      <c r="F171" s="22" t="n">
        <f aca="false">12</f>
        <v>12</v>
      </c>
      <c r="G171" s="22" t="n">
        <f aca="false">12</f>
        <v>12</v>
      </c>
      <c r="H171" s="22" t="n">
        <f aca="false">12</f>
        <v>12</v>
      </c>
      <c r="I171" s="22" t="n">
        <f aca="false">12</f>
        <v>12</v>
      </c>
      <c r="J171" s="22" t="n">
        <f aca="false">12</f>
        <v>12</v>
      </c>
      <c r="K171" s="22" t="n">
        <f aca="false">12</f>
        <v>12</v>
      </c>
      <c r="L171" s="22" t="n">
        <f aca="false">12</f>
        <v>12</v>
      </c>
      <c r="M171" s="22" t="n">
        <f aca="false">12</f>
        <v>12</v>
      </c>
      <c r="N171" s="22" t="n">
        <f aca="false">12</f>
        <v>12</v>
      </c>
    </row>
    <row r="172" customFormat="false" ht="15" hidden="false" customHeight="false" outlineLevel="0" collapsed="false">
      <c r="A172" s="0" t="s">
        <v>3559</v>
      </c>
      <c r="B172" s="34" t="n">
        <v>0</v>
      </c>
      <c r="C172" s="34" t="n">
        <f aca="false">$B$22*$D$6*C$16*C171/12</f>
        <v>3.2874281325</v>
      </c>
      <c r="D172" s="34" t="n">
        <f aca="false">$B$22*$D$6*D$16*D171/12</f>
        <v>9.4645172925</v>
      </c>
      <c r="E172" s="34" t="n">
        <f aca="false">$B$22*$D$6*E$16*E171/12</f>
        <v>9.4645172925</v>
      </c>
      <c r="F172" s="34" t="n">
        <f aca="false">$B$22*$D$6*F$16*F171/12</f>
        <v>23.398065</v>
      </c>
      <c r="G172" s="34" t="n">
        <f aca="false">$B$22*$D$6*G$16*G171/12</f>
        <v>23.398065</v>
      </c>
      <c r="H172" s="34" t="n">
        <f aca="false">$B$22*$D$6*H$16*H171/12</f>
        <v>23.398065</v>
      </c>
      <c r="I172" s="34" t="n">
        <f aca="false">$B$22*$D$6*I$16*I171/12</f>
        <v>23.398065</v>
      </c>
      <c r="J172" s="34" t="n">
        <f aca="false">$B$22*$D$6*J$16*J171/12</f>
        <v>23.398065</v>
      </c>
      <c r="K172" s="34" t="n">
        <f aca="false">$B$22*$D$6*K$16*K171/12</f>
        <v>23.398065</v>
      </c>
      <c r="L172" s="34" t="n">
        <f aca="false">$B$22*$D$6*L$16*L171/12</f>
        <v>23.398065</v>
      </c>
      <c r="M172" s="34" t="n">
        <f aca="false">$B$22*$D$6*M$16*M171/12</f>
        <v>23.398065</v>
      </c>
      <c r="N172" s="34" t="n">
        <f aca="false">$B$22*$D$6*N$16*N171/12</f>
        <v>23.398065</v>
      </c>
    </row>
    <row r="173" customFormat="false" ht="15" hidden="false" customHeight="false" outlineLevel="0" collapsed="false">
      <c r="A173" s="0" t="s">
        <v>3563</v>
      </c>
      <c r="B173" s="34" t="n">
        <v>0</v>
      </c>
      <c r="C173" s="34" t="n">
        <v>0</v>
      </c>
      <c r="D173" s="34" t="n">
        <f aca="false">$B$22*$D$7*D$16*D171/12</f>
        <v>15.68176926</v>
      </c>
      <c r="E173" s="34" t="n">
        <f aca="false">$B$22*$D$7*E$16*E171/12</f>
        <v>15.68176926</v>
      </c>
      <c r="F173" s="34" t="n">
        <f aca="false">$B$22*$D$7*F$16*F171/12</f>
        <v>38.76828</v>
      </c>
      <c r="G173" s="34" t="n">
        <f aca="false">$B$22*$D$7*G$16*G171/12</f>
        <v>38.76828</v>
      </c>
      <c r="H173" s="34" t="n">
        <f aca="false">$B$22*$D$7*H$16*H171/12</f>
        <v>38.76828</v>
      </c>
      <c r="I173" s="34" t="n">
        <f aca="false">$B$22*$D$7*I$16*I171/12</f>
        <v>38.76828</v>
      </c>
      <c r="J173" s="34" t="n">
        <f aca="false">$B$22*$D$7*J$16*J171/12</f>
        <v>38.76828</v>
      </c>
      <c r="K173" s="34" t="n">
        <f aca="false">$B$22*$D$7*K$16*K171/12</f>
        <v>38.76828</v>
      </c>
      <c r="L173" s="34" t="n">
        <f aca="false">$B$22*$D$7*L$16*L171/12</f>
        <v>38.76828</v>
      </c>
      <c r="M173" s="34" t="n">
        <f aca="false">$B$22*$D$7*M$16*M171/12</f>
        <v>38.76828</v>
      </c>
      <c r="N173" s="34" t="n">
        <f aca="false">$B$22*$D$7*N$16*N171/12</f>
        <v>38.76828</v>
      </c>
    </row>
    <row r="174" customFormat="false" ht="15" hidden="false" customHeight="false" outlineLevel="0" collapsed="false">
      <c r="A174" s="0" t="s">
        <v>3566</v>
      </c>
      <c r="B174" s="34" t="n">
        <v>0</v>
      </c>
      <c r="C174" s="34" t="n">
        <v>0</v>
      </c>
      <c r="D174" s="34" t="n">
        <f aca="false">$B$22*$D$8*D$16*D171/12</f>
        <v>6.597763095</v>
      </c>
      <c r="E174" s="34" t="n">
        <f aca="false">$B$22*$D$8*E$16*E171/12</f>
        <v>6.597763095</v>
      </c>
      <c r="F174" s="34" t="n">
        <f aca="false">$B$22*$D$8*F$16*F171/12</f>
        <v>16.31091</v>
      </c>
      <c r="G174" s="34" t="n">
        <f aca="false">$B$22*$D$8*G$16*G171/12</f>
        <v>16.31091</v>
      </c>
      <c r="H174" s="34" t="n">
        <f aca="false">$B$22*$D$8*H$16*H171/12</f>
        <v>16.31091</v>
      </c>
      <c r="I174" s="34" t="n">
        <f aca="false">$B$22*$D$8*I$16*I171/12</f>
        <v>16.31091</v>
      </c>
      <c r="J174" s="34" t="n">
        <f aca="false">$B$22*$D$8*J$16*J171/12</f>
        <v>16.31091</v>
      </c>
      <c r="K174" s="34" t="n">
        <f aca="false">$B$22*$D$8*K$16*K171/12</f>
        <v>16.31091</v>
      </c>
      <c r="L174" s="34" t="n">
        <f aca="false">$B$22*$D$8*L$16*L171/12</f>
        <v>16.31091</v>
      </c>
      <c r="M174" s="34" t="n">
        <f aca="false">$B$22*$D$8*M$16*M171/12</f>
        <v>16.31091</v>
      </c>
      <c r="N174" s="34" t="n">
        <f aca="false">$B$22*$D$8*N$16*N171/12</f>
        <v>16.31091</v>
      </c>
    </row>
    <row r="175" customFormat="false" ht="15" hidden="false" customHeight="false" outlineLevel="0" collapsed="false">
      <c r="A175" s="0" t="s">
        <v>3568</v>
      </c>
      <c r="B175" s="34" t="n">
        <v>0</v>
      </c>
      <c r="C175" s="34" t="n">
        <v>0</v>
      </c>
      <c r="D175" s="34" t="n">
        <f aca="false">$B$22*$D$9*D$16*D171/12</f>
        <v>3.4385736</v>
      </c>
      <c r="E175" s="34" t="n">
        <f aca="false">$B$22*$D$9*E$16*E171/12</f>
        <v>3.4385736</v>
      </c>
      <c r="F175" s="34" t="n">
        <f aca="false">$B$22*$D$9*F$16*F171/12</f>
        <v>8.5008</v>
      </c>
      <c r="G175" s="34" t="n">
        <f aca="false">$B$22*$D$9*G$16*G171/12</f>
        <v>8.5008</v>
      </c>
      <c r="H175" s="34" t="n">
        <f aca="false">$B$22*$D$9*H$16*H171/12</f>
        <v>8.5008</v>
      </c>
      <c r="I175" s="34" t="n">
        <f aca="false">$B$22*$D$9*I$16*I171/12</f>
        <v>8.5008</v>
      </c>
      <c r="J175" s="34" t="n">
        <f aca="false">$B$22*$D$9*J$16*J171/12</f>
        <v>8.5008</v>
      </c>
      <c r="K175" s="34" t="n">
        <f aca="false">$B$22*$D$9*K$16*K171/12</f>
        <v>8.5008</v>
      </c>
      <c r="L175" s="34" t="n">
        <f aca="false">$B$22*$D$9*L$16*L171/12</f>
        <v>8.5008</v>
      </c>
      <c r="M175" s="34" t="n">
        <f aca="false">$B$22*$D$9*M$16*M171/12</f>
        <v>8.5008</v>
      </c>
      <c r="N175" s="34" t="n">
        <f aca="false">$B$22*$D$9*N$16*N171/12</f>
        <v>8.5008</v>
      </c>
    </row>
    <row r="176" customFormat="false" ht="15" hidden="false" customHeight="false" outlineLevel="0" collapsed="false">
      <c r="A176" s="0" t="s">
        <v>3611</v>
      </c>
      <c r="B176" s="34" t="n">
        <f aca="false">SUM(B172:B175)</f>
        <v>0</v>
      </c>
      <c r="C176" s="34" t="n">
        <f aca="false">SUM(C172:C175)</f>
        <v>3.2874281325</v>
      </c>
      <c r="D176" s="34" t="n">
        <f aca="false">SUM(D172:D175)</f>
        <v>35.1826232475</v>
      </c>
      <c r="E176" s="34" t="n">
        <f aca="false">SUM(E172:E175)</f>
        <v>35.1826232475</v>
      </c>
      <c r="F176" s="34" t="n">
        <f aca="false">SUM(F172:F175)</f>
        <v>86.978055</v>
      </c>
      <c r="G176" s="34" t="n">
        <f aca="false">SUM(G172:G175)</f>
        <v>86.978055</v>
      </c>
      <c r="H176" s="34" t="n">
        <f aca="false">SUM(H172:H175)</f>
        <v>86.978055</v>
      </c>
      <c r="I176" s="34" t="n">
        <f aca="false">SUM(I172:I175)</f>
        <v>86.978055</v>
      </c>
      <c r="J176" s="34" t="n">
        <f aca="false">SUM(J172:J175)</f>
        <v>86.978055</v>
      </c>
      <c r="K176" s="34" t="n">
        <f aca="false">SUM(K172:K175)</f>
        <v>86.978055</v>
      </c>
      <c r="L176" s="34" t="n">
        <f aca="false">SUM(L172:L175)</f>
        <v>86.978055</v>
      </c>
      <c r="M176" s="34" t="n">
        <f aca="false">SUM(M172:M175)</f>
        <v>86.978055</v>
      </c>
      <c r="N176" s="34" t="n">
        <f aca="false">SUM(N172:N175)</f>
        <v>86.978055</v>
      </c>
    </row>
    <row r="177" customFormat="false" ht="15" hidden="false" customHeight="false" outlineLevel="0" collapsed="false">
      <c r="A177" s="0" t="s">
        <v>3612</v>
      </c>
      <c r="B177" s="34" t="n">
        <f aca="false">$C$22*'Programme cost'!$B$50</f>
        <v>8.02328719312889</v>
      </c>
      <c r="C177" s="34" t="n">
        <f aca="false">$C$22*'Programme cost'!$C$50</f>
        <v>8.08966964382753</v>
      </c>
      <c r="D177" s="34" t="n">
        <f aca="false">$C$22*'Programme cost'!$D$50</f>
        <v>9.08136897516256</v>
      </c>
      <c r="E177" s="34" t="n">
        <f aca="false">$C$22*'Programme cost'!$E$50</f>
        <v>5.6826316861056</v>
      </c>
      <c r="F177" s="34" t="n">
        <v>0</v>
      </c>
      <c r="G177" s="34" t="n">
        <v>0</v>
      </c>
      <c r="H177" s="34" t="n">
        <v>0</v>
      </c>
      <c r="I177" s="34" t="n">
        <v>0</v>
      </c>
      <c r="J177" s="34" t="n">
        <v>0</v>
      </c>
      <c r="K177" s="34" t="n">
        <v>0</v>
      </c>
      <c r="L177" s="34" t="n">
        <v>0</v>
      </c>
      <c r="M177" s="34" t="n">
        <v>0</v>
      </c>
      <c r="N177" s="34" t="n">
        <v>0</v>
      </c>
    </row>
    <row r="178" customFormat="false" ht="15" hidden="false" customHeight="false" outlineLevel="0" collapsed="false">
      <c r="A178" s="0" t="s">
        <v>3613</v>
      </c>
      <c r="B178" s="34" t="n">
        <v>0</v>
      </c>
      <c r="C178" s="34" t="n">
        <v>0</v>
      </c>
      <c r="D178" s="34" t="n">
        <v>0</v>
      </c>
      <c r="E178" s="34" t="n">
        <v>0</v>
      </c>
      <c r="F178" s="34" t="n">
        <f aca="false">run_cost_eur_m_year*F171/12</f>
        <v>5</v>
      </c>
      <c r="G178" s="34" t="n">
        <f aca="false">run_cost_eur_m_year*G171/12</f>
        <v>5</v>
      </c>
      <c r="H178" s="34" t="n">
        <f aca="false">run_cost_eur_m_year*H171/12</f>
        <v>5</v>
      </c>
      <c r="I178" s="34" t="n">
        <f aca="false">run_cost_eur_m_year*I171/12</f>
        <v>5</v>
      </c>
      <c r="J178" s="34" t="n">
        <f aca="false">run_cost_eur_m_year*J171/12</f>
        <v>5</v>
      </c>
      <c r="K178" s="34" t="n">
        <f aca="false">run_cost_eur_m_year*K171/12</f>
        <v>5</v>
      </c>
      <c r="L178" s="34" t="n">
        <f aca="false">run_cost_eur_m_year*L171/12</f>
        <v>5</v>
      </c>
      <c r="M178" s="34" t="n">
        <f aca="false">run_cost_eur_m_year*M171/12</f>
        <v>5</v>
      </c>
      <c r="N178" s="34" t="n">
        <f aca="false">run_cost_eur_m_year*N171/12</f>
        <v>5</v>
      </c>
    </row>
    <row r="179" customFormat="false" ht="15" hidden="false" customHeight="false" outlineLevel="0" collapsed="false">
      <c r="A179" s="0" t="s">
        <v>3614</v>
      </c>
      <c r="B179" s="18" t="n">
        <f aca="false">MAX(0,MIN(1,($B$18-B170)/B171))</f>
        <v>1</v>
      </c>
      <c r="C179" s="18" t="n">
        <f aca="false">MAX(0,MIN(1,($B$18-C170)/C171))</f>
        <v>1</v>
      </c>
      <c r="D179" s="18" t="n">
        <f aca="false">MAX(0,MIN(1,($B$18-D170)/D171))</f>
        <v>1</v>
      </c>
      <c r="E179" s="18" t="n">
        <f aca="false">MAX(0,MIN(1,($B$18-E170)/E171))</f>
        <v>1</v>
      </c>
      <c r="F179" s="18" t="n">
        <f aca="false">MAX(0,MIN(1,($B$18-F170)/F171))</f>
        <v>1</v>
      </c>
      <c r="G179" s="18" t="n">
        <f aca="false">MAX(0,MIN(1,($B$18-G170)/G171))</f>
        <v>1</v>
      </c>
      <c r="H179" s="18" t="n">
        <f aca="false">MAX(0,MIN(1,($B$18-H170)/H171))</f>
        <v>1</v>
      </c>
      <c r="I179" s="18" t="n">
        <f aca="false">MAX(0,MIN(1,($B$18-I170)/I171))</f>
        <v>1</v>
      </c>
      <c r="J179" s="18" t="n">
        <f aca="false">MAX(0,MIN(1,($B$18-J170)/J171))</f>
        <v>1</v>
      </c>
      <c r="K179" s="18" t="n">
        <f aca="false">MAX(0,MIN(1,($B$18-K170)/K171))</f>
        <v>1</v>
      </c>
      <c r="L179" s="18" t="n">
        <f aca="false">MAX(0,MIN(1,($B$18-L170)/L171))</f>
        <v>1</v>
      </c>
      <c r="M179" s="18" t="n">
        <f aca="false">MAX(0,MIN(1,($B$18-M170)/M171))</f>
        <v>1</v>
      </c>
      <c r="N179" s="18" t="n">
        <f aca="false">MAX(0,MIN(1,($B$18-N170)/N171))</f>
        <v>0</v>
      </c>
    </row>
    <row r="180" customFormat="false" ht="15" hidden="false" customHeight="false" outlineLevel="0" collapsed="false">
      <c r="A180" s="0" t="s">
        <v>3615</v>
      </c>
      <c r="B180" s="18" t="n">
        <f aca="false">MAX(0,MIN(1,($B$17-B170)/B171))</f>
        <v>1</v>
      </c>
      <c r="C180" s="18" t="n">
        <f aca="false">MAX(0,MIN(1,($B$17-C170)/C171))</f>
        <v>1</v>
      </c>
      <c r="D180" s="18" t="n">
        <f aca="false">MAX(0,MIN(1,($B$17-D170)/D171))</f>
        <v>1</v>
      </c>
      <c r="E180" s="18" t="n">
        <f aca="false">MAX(0,MIN(1,($B$17-E170)/E171))</f>
        <v>1</v>
      </c>
      <c r="F180" s="18" t="n">
        <f aca="false">MAX(0,MIN(1,($B$17-F170)/F171))</f>
        <v>1</v>
      </c>
      <c r="G180" s="18" t="n">
        <f aca="false">MAX(0,MIN(1,($B$17-G170)/G171))</f>
        <v>1</v>
      </c>
      <c r="H180" s="18" t="n">
        <f aca="false">MAX(0,MIN(1,($B$17-H170)/H171))</f>
        <v>1</v>
      </c>
      <c r="I180" s="18" t="n">
        <f aca="false">MAX(0,MIN(1,($B$17-I170)/I171))</f>
        <v>0</v>
      </c>
      <c r="J180" s="18" t="n">
        <f aca="false">MAX(0,MIN(1,($B$17-J170)/J171))</f>
        <v>0</v>
      </c>
      <c r="K180" s="18" t="n">
        <f aca="false">MAX(0,MIN(1,($B$17-K170)/K171))</f>
        <v>0</v>
      </c>
      <c r="L180" s="18" t="n">
        <f aca="false">MAX(0,MIN(1,($B$17-L170)/L171))</f>
        <v>0</v>
      </c>
      <c r="M180" s="18" t="n">
        <f aca="false">MAX(0,MIN(1,($B$17-M170)/M171))</f>
        <v>0</v>
      </c>
      <c r="N180" s="18" t="n">
        <f aca="false">MAX(0,MIN(1,($B$17-N170)/N171))</f>
        <v>0</v>
      </c>
    </row>
    <row r="181" customFormat="false" ht="15" hidden="false" customHeight="false" outlineLevel="0" collapsed="false">
      <c r="A181" s="0" t="s">
        <v>3616</v>
      </c>
      <c r="B181" s="22" t="n">
        <f aca="false">B170+B171*B179/2</f>
        <v>3</v>
      </c>
      <c r="C181" s="22" t="n">
        <f aca="false">C170+C171*C179/2</f>
        <v>9</v>
      </c>
      <c r="D181" s="22" t="n">
        <f aca="false">D170+D171*D179/2</f>
        <v>15</v>
      </c>
      <c r="E181" s="22" t="n">
        <f aca="false">E170+E171*E179/2</f>
        <v>21</v>
      </c>
      <c r="F181" s="22" t="n">
        <f aca="false">F170+F171*F179/2</f>
        <v>30</v>
      </c>
      <c r="G181" s="22" t="n">
        <f aca="false">G170+G171*G179/2</f>
        <v>42</v>
      </c>
      <c r="H181" s="22" t="n">
        <f aca="false">H170+H171*H179/2</f>
        <v>54</v>
      </c>
      <c r="I181" s="22" t="n">
        <f aca="false">I170+I171*I179/2</f>
        <v>66</v>
      </c>
      <c r="J181" s="22" t="n">
        <f aca="false">J170+J171*J179/2</f>
        <v>78</v>
      </c>
      <c r="K181" s="22" t="n">
        <f aca="false">K170+K171*K179/2</f>
        <v>90</v>
      </c>
      <c r="L181" s="22" t="n">
        <f aca="false">L170+L171*L179/2</f>
        <v>102</v>
      </c>
      <c r="M181" s="22" t="n">
        <f aca="false">M170+M171*M179/2</f>
        <v>114</v>
      </c>
      <c r="N181" s="22" t="n">
        <f aca="false">N170+N171*N179/2</f>
        <v>120</v>
      </c>
    </row>
    <row r="182" customFormat="false" ht="15" hidden="false" customHeight="false" outlineLevel="0" collapsed="false">
      <c r="A182" s="0" t="s">
        <v>3617</v>
      </c>
      <c r="B182" s="22" t="n">
        <f aca="false">B170+B171*B180/2</f>
        <v>3</v>
      </c>
      <c r="C182" s="22" t="n">
        <f aca="false">C170+C171*C180/2</f>
        <v>9</v>
      </c>
      <c r="D182" s="22" t="n">
        <f aca="false">D170+D171*D180/2</f>
        <v>15</v>
      </c>
      <c r="E182" s="22" t="n">
        <f aca="false">E170+E171*E180/2</f>
        <v>21</v>
      </c>
      <c r="F182" s="22" t="n">
        <f aca="false">F170+F171*F180/2</f>
        <v>30</v>
      </c>
      <c r="G182" s="22" t="n">
        <f aca="false">G170+G171*G180/2</f>
        <v>42</v>
      </c>
      <c r="H182" s="22" t="n">
        <f aca="false">H170+H171*H180/2</f>
        <v>54</v>
      </c>
      <c r="I182" s="22" t="n">
        <f aca="false">I170+I171*I180/2</f>
        <v>60</v>
      </c>
      <c r="J182" s="22" t="n">
        <f aca="false">J170+J171*J180/2</f>
        <v>72</v>
      </c>
      <c r="K182" s="22" t="n">
        <f aca="false">K170+K171*K180/2</f>
        <v>84</v>
      </c>
      <c r="L182" s="22" t="n">
        <f aca="false">L170+L171*L180/2</f>
        <v>96</v>
      </c>
      <c r="M182" s="22" t="n">
        <f aca="false">M170+M171*M180/2</f>
        <v>108</v>
      </c>
      <c r="N182" s="22" t="n">
        <f aca="false">N170+N171*N180/2</f>
        <v>120</v>
      </c>
    </row>
    <row r="183" customFormat="false" ht="15" hidden="false" customHeight="false" outlineLevel="0" collapsed="false">
      <c r="A183" s="0" t="s">
        <v>3618</v>
      </c>
      <c r="B183" s="34" t="n">
        <f aca="false">(B176-B178)*B179-B177*SIGN(B179)</f>
        <v>-8.02328719312889</v>
      </c>
      <c r="C183" s="34" t="n">
        <f aca="false">(C176-C178)*C179-C177*SIGN(C179)</f>
        <v>-4.80224151132753</v>
      </c>
      <c r="D183" s="34" t="n">
        <f aca="false">(D176-D178)*D179-D177*SIGN(D179)</f>
        <v>26.1012542723375</v>
      </c>
      <c r="E183" s="34" t="n">
        <f aca="false">(E176-E178)*E179-E177*SIGN(E179)</f>
        <v>29.4999915613944</v>
      </c>
      <c r="F183" s="34" t="n">
        <f aca="false">(F176-F178)*F179-F177*SIGN(F179)</f>
        <v>81.978055</v>
      </c>
      <c r="G183" s="34" t="n">
        <f aca="false">(G176-G178)*G179-G177*SIGN(G179)</f>
        <v>81.978055</v>
      </c>
      <c r="H183" s="34" t="n">
        <f aca="false">(H176-H178)*H179-H177*SIGN(H179)</f>
        <v>81.978055</v>
      </c>
      <c r="I183" s="34" t="n">
        <f aca="false">(I176-I178)*I179-I177*SIGN(I179)</f>
        <v>81.978055</v>
      </c>
      <c r="J183" s="34" t="n">
        <f aca="false">(J176-J178)*J179-J177*SIGN(J179)</f>
        <v>81.978055</v>
      </c>
      <c r="K183" s="34" t="n">
        <f aca="false">(K176-K178)*K179-K177*SIGN(K179)</f>
        <v>81.978055</v>
      </c>
      <c r="L183" s="34" t="n">
        <f aca="false">(L176-L178)*L179-L177*SIGN(L179)</f>
        <v>81.978055</v>
      </c>
      <c r="M183" s="34" t="n">
        <f aca="false">(M176-M178)*M179-M177*SIGN(M179)</f>
        <v>81.978055</v>
      </c>
      <c r="N183" s="34" t="n">
        <f aca="false">(N176-N178)*N179-N177*SIGN(N179)</f>
        <v>0</v>
      </c>
    </row>
    <row r="184" customFormat="false" ht="15" hidden="false" customHeight="false" outlineLevel="0" collapsed="false">
      <c r="A184" s="0" t="s">
        <v>3619</v>
      </c>
      <c r="B184" s="34" t="n">
        <f aca="false">B183</f>
        <v>-8.02328719312889</v>
      </c>
      <c r="C184" s="34" t="n">
        <f aca="false">B184+C183</f>
        <v>-12.8255287044564</v>
      </c>
      <c r="D184" s="34" t="n">
        <f aca="false">C184+D183</f>
        <v>13.275725567881</v>
      </c>
      <c r="E184" s="34" t="n">
        <f aca="false">D184+E183</f>
        <v>42.7757171292754</v>
      </c>
      <c r="F184" s="34" t="n">
        <f aca="false">E184+F183</f>
        <v>124.753772129275</v>
      </c>
      <c r="G184" s="34" t="n">
        <f aca="false">F184+G183</f>
        <v>206.731827129275</v>
      </c>
      <c r="H184" s="34" t="n">
        <f aca="false">G184+H183</f>
        <v>288.709882129275</v>
      </c>
      <c r="I184" s="34" t="n">
        <f aca="false">H184+I183</f>
        <v>370.687937129275</v>
      </c>
      <c r="J184" s="34" t="n">
        <f aca="false">I184+J183</f>
        <v>452.665992129275</v>
      </c>
      <c r="K184" s="34" t="n">
        <f aca="false">J184+K183</f>
        <v>534.644047129275</v>
      </c>
      <c r="L184" s="34" t="n">
        <f aca="false">K184+L183</f>
        <v>616.622102129275</v>
      </c>
      <c r="M184" s="34" t="n">
        <f aca="false">L184+M183</f>
        <v>698.600157129275</v>
      </c>
      <c r="N184" s="34" t="n">
        <f aca="false">M184+N183</f>
        <v>698.600157129275</v>
      </c>
    </row>
    <row r="185" customFormat="false" ht="15" hidden="false" customHeight="false" outlineLevel="0" collapsed="false">
      <c r="A185" s="0" t="s">
        <v>3620</v>
      </c>
      <c r="B185" s="22" t="str">
        <f aca="false">IF(AND((-B177*SIGN(B179))&lt;0,(-B177*SIGN(B179))+((B176-B178)*B179)&gt;=0,((B176-B178)*B179)&gt;0),B170+B171*B179*(-(-B177*SIGN(B179)))/((B176-B178)*B179),"-")</f>
        <v>-</v>
      </c>
      <c r="C185" s="22" t="str">
        <f aca="false">IF(AND((B184-C177*SIGN(C179))&lt;0,(B184-C177*SIGN(C179))+((C176-C178)*C179)&gt;=0,((C176-C178)*C179)&gt;0),C170+C171*C179*(-(B184-C177*SIGN(C179)))/((C176-C178)*C179),"-")</f>
        <v>-</v>
      </c>
      <c r="D185" s="22" t="n">
        <f aca="false">IF(AND((C184-D177*SIGN(D179))&lt;0,(C184-D177*SIGN(D179))+((D176-D178)*D179)&gt;=0,((D176-D178)*D179)&gt;0),D170+D171*D179*(-(C184-D177*SIGN(D179)))/((D176-D178)*D179),"-")</f>
        <v>15.7359745790716</v>
      </c>
      <c r="E185" s="22" t="str">
        <f aca="false">IF(AND((D184-E177*SIGN(E179))&lt;0,(D184-E177*SIGN(E179))+((E176-E178)*E179)&gt;=0,((E176-E178)*E179)&gt;0),E170+E171*E179*(-(D184-E177*SIGN(E179)))/((E176-E178)*E179),"-")</f>
        <v>-</v>
      </c>
      <c r="F185" s="22" t="str">
        <f aca="false">IF(AND((E184-F177*SIGN(F179))&lt;0,(E184-F177*SIGN(F179))+((F176-F178)*F179)&gt;=0,((F176-F178)*F179)&gt;0),F170+F171*F179*(-(E184-F177*SIGN(F179)))/((F176-F178)*F179),"-")</f>
        <v>-</v>
      </c>
      <c r="G185" s="22" t="str">
        <f aca="false">IF(AND((F184-G177*SIGN(G179))&lt;0,(F184-G177*SIGN(G179))+((G176-G178)*G179)&gt;=0,((G176-G178)*G179)&gt;0),G170+G171*G179*(-(F184-G177*SIGN(G179)))/((G176-G178)*G179),"-")</f>
        <v>-</v>
      </c>
      <c r="H185" s="22" t="str">
        <f aca="false">IF(AND((G184-H177*SIGN(H179))&lt;0,(G184-H177*SIGN(H179))+((H176-H178)*H179)&gt;=0,((H176-H178)*H179)&gt;0),H170+H171*H179*(-(G184-H177*SIGN(H179)))/((H176-H178)*H179),"-")</f>
        <v>-</v>
      </c>
      <c r="I185" s="22" t="str">
        <f aca="false">IF(AND((H184-I177*SIGN(I179))&lt;0,(H184-I177*SIGN(I179))+((I176-I178)*I179)&gt;=0,((I176-I178)*I179)&gt;0),I170+I171*I179*(-(H184-I177*SIGN(I179)))/((I176-I178)*I179),"-")</f>
        <v>-</v>
      </c>
      <c r="J185" s="22" t="str">
        <f aca="false">IF(AND((I184-J177*SIGN(J179))&lt;0,(I184-J177*SIGN(J179))+((J176-J178)*J179)&gt;=0,((J176-J178)*J179)&gt;0),J170+J171*J179*(-(I184-J177*SIGN(J179)))/((J176-J178)*J179),"-")</f>
        <v>-</v>
      </c>
      <c r="K185" s="22" t="str">
        <f aca="false">IF(AND((J184-K177*SIGN(K179))&lt;0,(J184-K177*SIGN(K179))+((K176-K178)*K179)&gt;=0,((K176-K178)*K179)&gt;0),K170+K171*K179*(-(J184-K177*SIGN(K179)))/((K176-K178)*K179),"-")</f>
        <v>-</v>
      </c>
      <c r="L185" s="22" t="str">
        <f aca="false">IF(AND((K184-L177*SIGN(L179))&lt;0,(K184-L177*SIGN(L179))+((L176-L178)*L179)&gt;=0,((L176-L178)*L179)&gt;0),L170+L171*L179*(-(K184-L177*SIGN(L179)))/((L176-L178)*L179),"-")</f>
        <v>-</v>
      </c>
      <c r="M185" s="22" t="str">
        <f aca="false">IF(AND((L184-M177*SIGN(M179))&lt;0,(L184-M177*SIGN(M179))+((M176-M178)*M179)&gt;=0,((M176-M178)*M179)&gt;0),M170+M171*M179*(-(L184-M177*SIGN(M179)))/((M176-M178)*M179),"-")</f>
        <v>-</v>
      </c>
      <c r="N185" s="22" t="str">
        <f aca="false">IF(AND((M184-N177*SIGN(N179))&lt;0,(M184-N177*SIGN(N179))+((N176-N178)*N179)&gt;=0,((N176-N178)*N179)&gt;0),N170+N171*N179*(-(M184-N177*SIGN(N179)))/((N176-N178)*N179),"-")</f>
        <v>-</v>
      </c>
    </row>
    <row r="186" customFormat="false" ht="15" hidden="false" customHeight="false" outlineLevel="0" collapsed="false">
      <c r="A186" s="3" t="s">
        <v>3621</v>
      </c>
      <c r="B186" s="36" t="n">
        <f aca="false">IF(COUNT($B$185:$N$185)=0,"none within ten years",MIN($B$185:$N$185))</f>
        <v>15.7359745790716</v>
      </c>
    </row>
    <row r="187" customFormat="false" ht="15" hidden="false" customHeight="false" outlineLevel="0" collapsed="false">
      <c r="A187" s="16" t="s">
        <v>3622</v>
      </c>
      <c r="B187" s="37" t="n">
        <f aca="false">-B184</f>
        <v>8.02328719312889</v>
      </c>
    </row>
    <row r="188" customFormat="false" ht="15" hidden="false" customHeight="false" outlineLevel="0" collapsed="false">
      <c r="A188" s="16" t="s">
        <v>3623</v>
      </c>
      <c r="B188" s="37" t="n">
        <f aca="false">-C184</f>
        <v>12.8255287044564</v>
      </c>
    </row>
    <row r="189" customFormat="false" ht="15" hidden="false" customHeight="false" outlineLevel="0" collapsed="false">
      <c r="A189" s="16" t="s">
        <v>3624</v>
      </c>
      <c r="B189" s="37" t="n">
        <f aca="false">-D184</f>
        <v>-13.275725567881</v>
      </c>
    </row>
    <row r="190" customFormat="false" ht="15" hidden="false" customHeight="false" outlineLevel="0" collapsed="false">
      <c r="A190" s="16" t="s">
        <v>3625</v>
      </c>
      <c r="B190" s="37" t="n">
        <f aca="false">-E184</f>
        <v>-42.7757171292754</v>
      </c>
    </row>
    <row r="191" customFormat="false" ht="15" hidden="false" customHeight="false" outlineLevel="0" collapsed="false">
      <c r="A191" s="16" t="s">
        <v>3626</v>
      </c>
      <c r="B191" s="37" t="n">
        <f aca="false">SUMPRODUCT(($B$176:$N$176-$B$178:$N$178)*$B$180:$N$180/(1+stla_wacc_pretax_high_pct/100)^($B$182:$N$182/12))-SUMPRODUCT($B$177:$N$177*SIGN($B$180:$N$180)/(1+stla_wacc_pretax_high_pct/100)^($B$170:$N$170/12))</f>
        <v>164.830325197876</v>
      </c>
    </row>
    <row r="192" customFormat="false" ht="15" hidden="false" customHeight="false" outlineLevel="0" collapsed="false">
      <c r="A192" s="16" t="s">
        <v>3627</v>
      </c>
      <c r="B192" s="37" t="n">
        <f aca="false">SUMPRODUCT(($B$176:$N$176-$B$178:$N$178)*$B$180:$N$180/(1+stla_wacc_pretax_low_pct/100)^($B$182:$N$182/12))-SUMPRODUCT($B$177:$N$177*SIGN($B$180:$N$180)/(1+stla_wacc_pretax_low_pct/100)^($B$170:$N$170/12))</f>
        <v>214.988232489122</v>
      </c>
    </row>
    <row r="193" customFormat="false" ht="15" hidden="false" customHeight="false" outlineLevel="0" collapsed="false">
      <c r="A193" s="16" t="s">
        <v>3628</v>
      </c>
      <c r="B193" s="37" t="n">
        <f aca="false">SUMPRODUCT(($B$176:$N$176-$B$178:$N$178)*$B$179:$N$179/(1+stla_wacc_pretax_high_pct/100)^($B$181:$N$181/12))-SUMPRODUCT($B$177:$N$177*SIGN($B$179:$N$179)/(1+stla_wacc_pretax_high_pct/100)^($B$170:$N$170/12))</f>
        <v>279.413779121484</v>
      </c>
    </row>
    <row r="194" customFormat="false" ht="15" hidden="false" customHeight="false" outlineLevel="0" collapsed="false">
      <c r="A194" s="16" t="s">
        <v>3629</v>
      </c>
      <c r="B194" s="37" t="n">
        <f aca="false">SUMPRODUCT(($B$176:$N$176-$B$178:$N$178)*$B$179:$N$179/(1+stla_wacc_pretax_low_pct/100)^($B$181:$N$181/12))-SUMPRODUCT($B$177:$N$177*SIGN($B$179:$N$179)/(1+stla_wacc_pretax_low_pct/100)^($B$170:$N$170/12))</f>
        <v>424.222282449752</v>
      </c>
    </row>
    <row r="196" customFormat="false" ht="26.85" hidden="false" customHeight="false" outlineLevel="0" collapsed="false">
      <c r="A196" s="4" t="s">
        <v>3641</v>
      </c>
      <c r="B196" s="4" t="s">
        <v>3580</v>
      </c>
      <c r="C196" s="4" t="s">
        <v>3561</v>
      </c>
      <c r="D196" s="4" t="s">
        <v>3564</v>
      </c>
      <c r="E196" s="4" t="s">
        <v>3572</v>
      </c>
      <c r="F196" s="4" t="s">
        <v>3581</v>
      </c>
      <c r="G196" s="4" t="s">
        <v>3582</v>
      </c>
      <c r="H196" s="4" t="s">
        <v>3583</v>
      </c>
      <c r="I196" s="4" t="s">
        <v>3584</v>
      </c>
      <c r="J196" s="4" t="s">
        <v>3585</v>
      </c>
      <c r="K196" s="4" t="s">
        <v>3586</v>
      </c>
      <c r="L196" s="4" t="s">
        <v>3587</v>
      </c>
      <c r="M196" s="4" t="s">
        <v>3588</v>
      </c>
      <c r="N196" s="4" t="s">
        <v>3589</v>
      </c>
    </row>
    <row r="197" customFormat="false" ht="15" hidden="false" customHeight="false" outlineLevel="0" collapsed="false">
      <c r="A197" s="0" t="s">
        <v>3609</v>
      </c>
      <c r="B197" s="22" t="n">
        <v>0</v>
      </c>
      <c r="C197" s="22" t="n">
        <f aca="false">B197+B198</f>
        <v>7.98</v>
      </c>
      <c r="D197" s="22" t="n">
        <f aca="false">C197+C198</f>
        <v>15.96</v>
      </c>
      <c r="E197" s="22" t="n">
        <f aca="false">D197+D198</f>
        <v>23.94</v>
      </c>
      <c r="F197" s="22" t="n">
        <f aca="false">E197+E198</f>
        <v>31.92</v>
      </c>
      <c r="G197" s="22" t="n">
        <f aca="false">F197+F198</f>
        <v>43.92</v>
      </c>
      <c r="H197" s="22" t="n">
        <f aca="false">G197+G198</f>
        <v>55.92</v>
      </c>
      <c r="I197" s="22" t="n">
        <f aca="false">H197+H198</f>
        <v>67.92</v>
      </c>
      <c r="J197" s="22" t="n">
        <f aca="false">I197+I198</f>
        <v>79.92</v>
      </c>
      <c r="K197" s="22" t="n">
        <f aca="false">J197+J198</f>
        <v>91.92</v>
      </c>
      <c r="L197" s="22" t="n">
        <f aca="false">K197+K198</f>
        <v>103.92</v>
      </c>
      <c r="M197" s="22" t="n">
        <f aca="false">L197+L198</f>
        <v>115.92</v>
      </c>
      <c r="N197" s="22" t="n">
        <f aca="false">M197+M198</f>
        <v>127.92</v>
      </c>
    </row>
    <row r="198" customFormat="false" ht="15" hidden="false" customHeight="false" outlineLevel="0" collapsed="false">
      <c r="A198" s="0" t="s">
        <v>3610</v>
      </c>
      <c r="B198" s="22" t="n">
        <f aca="false">$D$23</f>
        <v>7.98</v>
      </c>
      <c r="C198" s="22" t="n">
        <f aca="false">$D$23</f>
        <v>7.98</v>
      </c>
      <c r="D198" s="22" t="n">
        <f aca="false">$D$23</f>
        <v>7.98</v>
      </c>
      <c r="E198" s="22" t="n">
        <f aca="false">$D$23</f>
        <v>7.98</v>
      </c>
      <c r="F198" s="22" t="n">
        <f aca="false">12</f>
        <v>12</v>
      </c>
      <c r="G198" s="22" t="n">
        <f aca="false">12</f>
        <v>12</v>
      </c>
      <c r="H198" s="22" t="n">
        <f aca="false">12</f>
        <v>12</v>
      </c>
      <c r="I198" s="22" t="n">
        <f aca="false">12</f>
        <v>12</v>
      </c>
      <c r="J198" s="22" t="n">
        <f aca="false">12</f>
        <v>12</v>
      </c>
      <c r="K198" s="22" t="n">
        <f aca="false">12</f>
        <v>12</v>
      </c>
      <c r="L198" s="22" t="n">
        <f aca="false">12</f>
        <v>12</v>
      </c>
      <c r="M198" s="22" t="n">
        <f aca="false">12</f>
        <v>12</v>
      </c>
      <c r="N198" s="22" t="n">
        <f aca="false">12</f>
        <v>12</v>
      </c>
    </row>
    <row r="199" customFormat="false" ht="15" hidden="false" customHeight="false" outlineLevel="0" collapsed="false">
      <c r="A199" s="0" t="s">
        <v>3559</v>
      </c>
      <c r="B199" s="34" t="n">
        <v>0</v>
      </c>
      <c r="C199" s="34" t="n">
        <f aca="false">$B$23*$D$6*C$16*C198/12</f>
        <v>3.62899191546675</v>
      </c>
      <c r="D199" s="34" t="n">
        <f aca="false">$B$23*$D$6*D$16*D198/12</f>
        <v>10.4478806391908</v>
      </c>
      <c r="E199" s="34" t="n">
        <f aca="false">$B$23*$D$6*E$16*E198/12</f>
        <v>10.4478806391908</v>
      </c>
      <c r="F199" s="34" t="n">
        <f aca="false">$B$23*$D$6*F$16*F198/12</f>
        <v>19.42039395</v>
      </c>
      <c r="G199" s="34" t="n">
        <f aca="false">$B$23*$D$6*G$16*G198/12</f>
        <v>19.42039395</v>
      </c>
      <c r="H199" s="34" t="n">
        <f aca="false">$B$23*$D$6*H$16*H198/12</f>
        <v>19.42039395</v>
      </c>
      <c r="I199" s="34" t="n">
        <f aca="false">$B$23*$D$6*I$16*I198/12</f>
        <v>19.42039395</v>
      </c>
      <c r="J199" s="34" t="n">
        <f aca="false">$B$23*$D$6*J$16*J198/12</f>
        <v>19.42039395</v>
      </c>
      <c r="K199" s="34" t="n">
        <f aca="false">$B$23*$D$6*K$16*K198/12</f>
        <v>19.42039395</v>
      </c>
      <c r="L199" s="34" t="n">
        <f aca="false">$B$23*$D$6*L$16*L198/12</f>
        <v>19.42039395</v>
      </c>
      <c r="M199" s="34" t="n">
        <f aca="false">$B$23*$D$6*M$16*M198/12</f>
        <v>19.42039395</v>
      </c>
      <c r="N199" s="34" t="n">
        <f aca="false">$B$23*$D$6*N$16*N198/12</f>
        <v>19.42039395</v>
      </c>
    </row>
    <row r="200" customFormat="false" ht="15" hidden="false" customHeight="false" outlineLevel="0" collapsed="false">
      <c r="A200" s="0" t="s">
        <v>3563</v>
      </c>
      <c r="B200" s="34" t="n">
        <v>0</v>
      </c>
      <c r="C200" s="34" t="n">
        <v>0</v>
      </c>
      <c r="D200" s="34" t="n">
        <f aca="false">$B$23*$D$7*D$16*D198/12</f>
        <v>17.311105086114</v>
      </c>
      <c r="E200" s="34" t="n">
        <f aca="false">$B$23*$D$7*E$16*E198/12</f>
        <v>17.311105086114</v>
      </c>
      <c r="F200" s="34" t="n">
        <f aca="false">$B$23*$D$7*F$16*F198/12</f>
        <v>32.1776724</v>
      </c>
      <c r="G200" s="34" t="n">
        <f aca="false">$B$23*$D$7*G$16*G198/12</f>
        <v>32.1776724</v>
      </c>
      <c r="H200" s="34" t="n">
        <f aca="false">$B$23*$D$7*H$16*H198/12</f>
        <v>32.1776724</v>
      </c>
      <c r="I200" s="34" t="n">
        <f aca="false">$B$23*$D$7*I$16*I198/12</f>
        <v>32.1776724</v>
      </c>
      <c r="J200" s="34" t="n">
        <f aca="false">$B$23*$D$7*J$16*J198/12</f>
        <v>32.1776724</v>
      </c>
      <c r="K200" s="34" t="n">
        <f aca="false">$B$23*$D$7*K$16*K198/12</f>
        <v>32.1776724</v>
      </c>
      <c r="L200" s="34" t="n">
        <f aca="false">$B$23*$D$7*L$16*L198/12</f>
        <v>32.1776724</v>
      </c>
      <c r="M200" s="34" t="n">
        <f aca="false">$B$23*$D$7*M$16*M198/12</f>
        <v>32.1776724</v>
      </c>
      <c r="N200" s="34" t="n">
        <f aca="false">$B$23*$D$7*N$16*N198/12</f>
        <v>32.1776724</v>
      </c>
    </row>
    <row r="201" customFormat="false" ht="15" hidden="false" customHeight="false" outlineLevel="0" collapsed="false">
      <c r="A201" s="0" t="s">
        <v>3566</v>
      </c>
      <c r="B201" s="34" t="n">
        <v>0</v>
      </c>
      <c r="C201" s="34" t="n">
        <v>0</v>
      </c>
      <c r="D201" s="34" t="n">
        <f aca="false">$B$23*$D$8*D$16*D198/12</f>
        <v>7.2832706805705</v>
      </c>
      <c r="E201" s="34" t="n">
        <f aca="false">$B$23*$D$8*E$16*E198/12</f>
        <v>7.2832706805705</v>
      </c>
      <c r="F201" s="34" t="n">
        <f aca="false">$B$23*$D$8*F$16*F198/12</f>
        <v>13.5380553</v>
      </c>
      <c r="G201" s="34" t="n">
        <f aca="false">$B$23*$D$8*G$16*G198/12</f>
        <v>13.5380553</v>
      </c>
      <c r="H201" s="34" t="n">
        <f aca="false">$B$23*$D$8*H$16*H198/12</f>
        <v>13.5380553</v>
      </c>
      <c r="I201" s="34" t="n">
        <f aca="false">$B$23*$D$8*I$16*I198/12</f>
        <v>13.5380553</v>
      </c>
      <c r="J201" s="34" t="n">
        <f aca="false">$B$23*$D$8*J$16*J198/12</f>
        <v>13.5380553</v>
      </c>
      <c r="K201" s="34" t="n">
        <f aca="false">$B$23*$D$8*K$16*K198/12</f>
        <v>13.5380553</v>
      </c>
      <c r="L201" s="34" t="n">
        <f aca="false">$B$23*$D$8*L$16*L198/12</f>
        <v>13.5380553</v>
      </c>
      <c r="M201" s="34" t="n">
        <f aca="false">$B$23*$D$8*M$16*M198/12</f>
        <v>13.5380553</v>
      </c>
      <c r="N201" s="34" t="n">
        <f aca="false">$B$23*$D$8*N$16*N198/12</f>
        <v>13.5380553</v>
      </c>
    </row>
    <row r="202" customFormat="false" ht="15" hidden="false" customHeight="false" outlineLevel="0" collapsed="false">
      <c r="A202" s="0" t="s">
        <v>3568</v>
      </c>
      <c r="B202" s="34" t="n">
        <v>0</v>
      </c>
      <c r="C202" s="34" t="n">
        <v>0</v>
      </c>
      <c r="D202" s="34" t="n">
        <f aca="false">$B$23*$D$9*D$16*D198/12</f>
        <v>3.79584139704</v>
      </c>
      <c r="E202" s="34" t="n">
        <f aca="false">$B$23*$D$9*E$16*E198/12</f>
        <v>3.79584139704</v>
      </c>
      <c r="F202" s="34" t="n">
        <f aca="false">$B$23*$D$9*F$16*F198/12</f>
        <v>7.055664</v>
      </c>
      <c r="G202" s="34" t="n">
        <f aca="false">$B$23*$D$9*G$16*G198/12</f>
        <v>7.055664</v>
      </c>
      <c r="H202" s="34" t="n">
        <f aca="false">$B$23*$D$9*H$16*H198/12</f>
        <v>7.055664</v>
      </c>
      <c r="I202" s="34" t="n">
        <f aca="false">$B$23*$D$9*I$16*I198/12</f>
        <v>7.055664</v>
      </c>
      <c r="J202" s="34" t="n">
        <f aca="false">$B$23*$D$9*J$16*J198/12</f>
        <v>7.055664</v>
      </c>
      <c r="K202" s="34" t="n">
        <f aca="false">$B$23*$D$9*K$16*K198/12</f>
        <v>7.055664</v>
      </c>
      <c r="L202" s="34" t="n">
        <f aca="false">$B$23*$D$9*L$16*L198/12</f>
        <v>7.055664</v>
      </c>
      <c r="M202" s="34" t="n">
        <f aca="false">$B$23*$D$9*M$16*M198/12</f>
        <v>7.055664</v>
      </c>
      <c r="N202" s="34" t="n">
        <f aca="false">$B$23*$D$9*N$16*N198/12</f>
        <v>7.055664</v>
      </c>
    </row>
    <row r="203" customFormat="false" ht="15" hidden="false" customHeight="false" outlineLevel="0" collapsed="false">
      <c r="A203" s="0" t="s">
        <v>3611</v>
      </c>
      <c r="B203" s="34" t="n">
        <f aca="false">SUM(B199:B202)</f>
        <v>0</v>
      </c>
      <c r="C203" s="34" t="n">
        <f aca="false">SUM(C199:C202)</f>
        <v>3.62899191546675</v>
      </c>
      <c r="D203" s="34" t="n">
        <f aca="false">SUM(D199:D202)</f>
        <v>38.8380978029153</v>
      </c>
      <c r="E203" s="34" t="n">
        <f aca="false">SUM(E199:E202)</f>
        <v>38.8380978029153</v>
      </c>
      <c r="F203" s="34" t="n">
        <f aca="false">SUM(F199:F202)</f>
        <v>72.19178565</v>
      </c>
      <c r="G203" s="34" t="n">
        <f aca="false">SUM(G199:G202)</f>
        <v>72.19178565</v>
      </c>
      <c r="H203" s="34" t="n">
        <f aca="false">SUM(H199:H202)</f>
        <v>72.19178565</v>
      </c>
      <c r="I203" s="34" t="n">
        <f aca="false">SUM(I199:I202)</f>
        <v>72.19178565</v>
      </c>
      <c r="J203" s="34" t="n">
        <f aca="false">SUM(J199:J202)</f>
        <v>72.19178565</v>
      </c>
      <c r="K203" s="34" t="n">
        <f aca="false">SUM(K199:K202)</f>
        <v>72.19178565</v>
      </c>
      <c r="L203" s="34" t="n">
        <f aca="false">SUM(L199:L202)</f>
        <v>72.19178565</v>
      </c>
      <c r="M203" s="34" t="n">
        <f aca="false">SUM(M199:M202)</f>
        <v>72.19178565</v>
      </c>
      <c r="N203" s="34" t="n">
        <f aca="false">SUM(N199:N202)</f>
        <v>72.19178565</v>
      </c>
    </row>
    <row r="204" customFormat="false" ht="15" hidden="false" customHeight="false" outlineLevel="0" collapsed="false">
      <c r="A204" s="0" t="s">
        <v>3612</v>
      </c>
      <c r="B204" s="34" t="n">
        <f aca="false">$C$23*'Programme cost'!$B$50</f>
        <v>13.318656740594</v>
      </c>
      <c r="C204" s="34" t="n">
        <f aca="false">$C$23*'Programme cost'!$C$50</f>
        <v>13.4288516087537</v>
      </c>
      <c r="D204" s="34" t="n">
        <f aca="false">$C$23*'Programme cost'!$D$50</f>
        <v>15.0750724987698</v>
      </c>
      <c r="E204" s="34" t="n">
        <f aca="false">$C$23*'Programme cost'!$E$50</f>
        <v>9.4331685989353</v>
      </c>
      <c r="F204" s="34" t="n">
        <v>0</v>
      </c>
      <c r="G204" s="34" t="n">
        <v>0</v>
      </c>
      <c r="H204" s="34" t="n">
        <v>0</v>
      </c>
      <c r="I204" s="34" t="n">
        <v>0</v>
      </c>
      <c r="J204" s="34" t="n">
        <v>0</v>
      </c>
      <c r="K204" s="34" t="n">
        <v>0</v>
      </c>
      <c r="L204" s="34" t="n">
        <v>0</v>
      </c>
      <c r="M204" s="34" t="n">
        <v>0</v>
      </c>
      <c r="N204" s="34" t="n">
        <v>0</v>
      </c>
    </row>
    <row r="205" customFormat="false" ht="15" hidden="false" customHeight="false" outlineLevel="0" collapsed="false">
      <c r="A205" s="0" t="s">
        <v>3613</v>
      </c>
      <c r="B205" s="34" t="n">
        <v>0</v>
      </c>
      <c r="C205" s="34" t="n">
        <v>0</v>
      </c>
      <c r="D205" s="34" t="n">
        <v>0</v>
      </c>
      <c r="E205" s="34" t="n">
        <v>0</v>
      </c>
      <c r="F205" s="34" t="n">
        <f aca="false">run_cost_eur_m_year*F198/12</f>
        <v>5</v>
      </c>
      <c r="G205" s="34" t="n">
        <f aca="false">run_cost_eur_m_year*G198/12</f>
        <v>5</v>
      </c>
      <c r="H205" s="34" t="n">
        <f aca="false">run_cost_eur_m_year*H198/12</f>
        <v>5</v>
      </c>
      <c r="I205" s="34" t="n">
        <f aca="false">run_cost_eur_m_year*I198/12</f>
        <v>5</v>
      </c>
      <c r="J205" s="34" t="n">
        <f aca="false">run_cost_eur_m_year*J198/12</f>
        <v>5</v>
      </c>
      <c r="K205" s="34" t="n">
        <f aca="false">run_cost_eur_m_year*K198/12</f>
        <v>5</v>
      </c>
      <c r="L205" s="34" t="n">
        <f aca="false">run_cost_eur_m_year*L198/12</f>
        <v>5</v>
      </c>
      <c r="M205" s="34" t="n">
        <f aca="false">run_cost_eur_m_year*M198/12</f>
        <v>5</v>
      </c>
      <c r="N205" s="34" t="n">
        <f aca="false">run_cost_eur_m_year*N198/12</f>
        <v>5</v>
      </c>
    </row>
    <row r="206" customFormat="false" ht="15" hidden="false" customHeight="false" outlineLevel="0" collapsed="false">
      <c r="A206" s="0" t="s">
        <v>3614</v>
      </c>
      <c r="B206" s="18" t="n">
        <f aca="false">MAX(0,MIN(1,($B$18-B197)/B198))</f>
        <v>1</v>
      </c>
      <c r="C206" s="18" t="n">
        <f aca="false">MAX(0,MIN(1,($B$18-C197)/C198))</f>
        <v>1</v>
      </c>
      <c r="D206" s="18" t="n">
        <f aca="false">MAX(0,MIN(1,($B$18-D197)/D198))</f>
        <v>1</v>
      </c>
      <c r="E206" s="18" t="n">
        <f aca="false">MAX(0,MIN(1,($B$18-E197)/E198))</f>
        <v>1</v>
      </c>
      <c r="F206" s="18" t="n">
        <f aca="false">MAX(0,MIN(1,($B$18-F197)/F198))</f>
        <v>1</v>
      </c>
      <c r="G206" s="18" t="n">
        <f aca="false">MAX(0,MIN(1,($B$18-G197)/G198))</f>
        <v>1</v>
      </c>
      <c r="H206" s="18" t="n">
        <f aca="false">MAX(0,MIN(1,($B$18-H197)/H198))</f>
        <v>1</v>
      </c>
      <c r="I206" s="18" t="n">
        <f aca="false">MAX(0,MIN(1,($B$18-I197)/I198))</f>
        <v>1</v>
      </c>
      <c r="J206" s="18" t="n">
        <f aca="false">MAX(0,MIN(1,($B$18-J197)/J198))</f>
        <v>1</v>
      </c>
      <c r="K206" s="18" t="n">
        <f aca="false">MAX(0,MIN(1,($B$18-K197)/K198))</f>
        <v>1</v>
      </c>
      <c r="L206" s="18" t="n">
        <f aca="false">MAX(0,MIN(1,($B$18-L197)/L198))</f>
        <v>1</v>
      </c>
      <c r="M206" s="18" t="n">
        <f aca="false">MAX(0,MIN(1,($B$18-M197)/M198))</f>
        <v>0.34</v>
      </c>
      <c r="N206" s="18" t="n">
        <f aca="false">MAX(0,MIN(1,($B$18-N197)/N198))</f>
        <v>0</v>
      </c>
    </row>
    <row r="207" customFormat="false" ht="15" hidden="false" customHeight="false" outlineLevel="0" collapsed="false">
      <c r="A207" s="0" t="s">
        <v>3615</v>
      </c>
      <c r="B207" s="18" t="n">
        <f aca="false">MAX(0,MIN(1,($B$17-B197)/B198))</f>
        <v>1</v>
      </c>
      <c r="C207" s="18" t="n">
        <f aca="false">MAX(0,MIN(1,($B$17-C197)/C198))</f>
        <v>1</v>
      </c>
      <c r="D207" s="18" t="n">
        <f aca="false">MAX(0,MIN(1,($B$17-D197)/D198))</f>
        <v>1</v>
      </c>
      <c r="E207" s="18" t="n">
        <f aca="false">MAX(0,MIN(1,($B$17-E197)/E198))</f>
        <v>1</v>
      </c>
      <c r="F207" s="18" t="n">
        <f aca="false">MAX(0,MIN(1,($B$17-F197)/F198))</f>
        <v>1</v>
      </c>
      <c r="G207" s="18" t="n">
        <f aca="false">MAX(0,MIN(1,($B$17-G197)/G198))</f>
        <v>1</v>
      </c>
      <c r="H207" s="18" t="n">
        <f aca="false">MAX(0,MIN(1,($B$17-H197)/H198))</f>
        <v>0.34</v>
      </c>
      <c r="I207" s="18" t="n">
        <f aca="false">MAX(0,MIN(1,($B$17-I197)/I198))</f>
        <v>0</v>
      </c>
      <c r="J207" s="18" t="n">
        <f aca="false">MAX(0,MIN(1,($B$17-J197)/J198))</f>
        <v>0</v>
      </c>
      <c r="K207" s="18" t="n">
        <f aca="false">MAX(0,MIN(1,($B$17-K197)/K198))</f>
        <v>0</v>
      </c>
      <c r="L207" s="18" t="n">
        <f aca="false">MAX(0,MIN(1,($B$17-L197)/L198))</f>
        <v>0</v>
      </c>
      <c r="M207" s="18" t="n">
        <f aca="false">MAX(0,MIN(1,($B$17-M197)/M198))</f>
        <v>0</v>
      </c>
      <c r="N207" s="18" t="n">
        <f aca="false">MAX(0,MIN(1,($B$17-N197)/N198))</f>
        <v>0</v>
      </c>
    </row>
    <row r="208" customFormat="false" ht="15" hidden="false" customHeight="false" outlineLevel="0" collapsed="false">
      <c r="A208" s="0" t="s">
        <v>3616</v>
      </c>
      <c r="B208" s="22" t="n">
        <f aca="false">B197+B198*B206/2</f>
        <v>3.99</v>
      </c>
      <c r="C208" s="22" t="n">
        <f aca="false">C197+C198*C206/2</f>
        <v>11.97</v>
      </c>
      <c r="D208" s="22" t="n">
        <f aca="false">D197+D198*D206/2</f>
        <v>19.95</v>
      </c>
      <c r="E208" s="22" t="n">
        <f aca="false">E197+E198*E206/2</f>
        <v>27.93</v>
      </c>
      <c r="F208" s="22" t="n">
        <f aca="false">F197+F198*F206/2</f>
        <v>37.92</v>
      </c>
      <c r="G208" s="22" t="n">
        <f aca="false">G197+G198*G206/2</f>
        <v>49.92</v>
      </c>
      <c r="H208" s="22" t="n">
        <f aca="false">H197+H198*H206/2</f>
        <v>61.92</v>
      </c>
      <c r="I208" s="22" t="n">
        <f aca="false">I197+I198*I206/2</f>
        <v>73.92</v>
      </c>
      <c r="J208" s="22" t="n">
        <f aca="false">J197+J198*J206/2</f>
        <v>85.92</v>
      </c>
      <c r="K208" s="22" t="n">
        <f aca="false">K197+K198*K206/2</f>
        <v>97.92</v>
      </c>
      <c r="L208" s="22" t="n">
        <f aca="false">L197+L198*L206/2</f>
        <v>109.92</v>
      </c>
      <c r="M208" s="22" t="n">
        <f aca="false">M197+M198*M206/2</f>
        <v>117.96</v>
      </c>
      <c r="N208" s="22" t="n">
        <f aca="false">N197+N198*N206/2</f>
        <v>127.92</v>
      </c>
    </row>
    <row r="209" customFormat="false" ht="15" hidden="false" customHeight="false" outlineLevel="0" collapsed="false">
      <c r="A209" s="0" t="s">
        <v>3617</v>
      </c>
      <c r="B209" s="22" t="n">
        <f aca="false">B197+B198*B207/2</f>
        <v>3.99</v>
      </c>
      <c r="C209" s="22" t="n">
        <f aca="false">C197+C198*C207/2</f>
        <v>11.97</v>
      </c>
      <c r="D209" s="22" t="n">
        <f aca="false">D197+D198*D207/2</f>
        <v>19.95</v>
      </c>
      <c r="E209" s="22" t="n">
        <f aca="false">E197+E198*E207/2</f>
        <v>27.93</v>
      </c>
      <c r="F209" s="22" t="n">
        <f aca="false">F197+F198*F207/2</f>
        <v>37.92</v>
      </c>
      <c r="G209" s="22" t="n">
        <f aca="false">G197+G198*G207/2</f>
        <v>49.92</v>
      </c>
      <c r="H209" s="22" t="n">
        <f aca="false">H197+H198*H207/2</f>
        <v>57.96</v>
      </c>
      <c r="I209" s="22" t="n">
        <f aca="false">I197+I198*I207/2</f>
        <v>67.92</v>
      </c>
      <c r="J209" s="22" t="n">
        <f aca="false">J197+J198*J207/2</f>
        <v>79.92</v>
      </c>
      <c r="K209" s="22" t="n">
        <f aca="false">K197+K198*K207/2</f>
        <v>91.92</v>
      </c>
      <c r="L209" s="22" t="n">
        <f aca="false">L197+L198*L207/2</f>
        <v>103.92</v>
      </c>
      <c r="M209" s="22" t="n">
        <f aca="false">M197+M198*M207/2</f>
        <v>115.92</v>
      </c>
      <c r="N209" s="22" t="n">
        <f aca="false">N197+N198*N207/2</f>
        <v>127.92</v>
      </c>
    </row>
    <row r="210" customFormat="false" ht="15" hidden="false" customHeight="false" outlineLevel="0" collapsed="false">
      <c r="A210" s="0" t="s">
        <v>3618</v>
      </c>
      <c r="B210" s="34" t="n">
        <f aca="false">(B203-B205)*B206-B204*SIGN(B206)</f>
        <v>-13.318656740594</v>
      </c>
      <c r="C210" s="34" t="n">
        <f aca="false">(C203-C205)*C206-C204*SIGN(C206)</f>
        <v>-9.79985969328695</v>
      </c>
      <c r="D210" s="34" t="n">
        <f aca="false">(D203-D205)*D206-D204*SIGN(D206)</f>
        <v>23.7630253041454</v>
      </c>
      <c r="E210" s="34" t="n">
        <f aca="false">(E203-E205)*E206-E204*SIGN(E206)</f>
        <v>29.40492920398</v>
      </c>
      <c r="F210" s="34" t="n">
        <f aca="false">(F203-F205)*F206-F204*SIGN(F206)</f>
        <v>67.19178565</v>
      </c>
      <c r="G210" s="34" t="n">
        <f aca="false">(G203-G205)*G206-G204*SIGN(G206)</f>
        <v>67.19178565</v>
      </c>
      <c r="H210" s="34" t="n">
        <f aca="false">(H203-H205)*H206-H204*SIGN(H206)</f>
        <v>67.19178565</v>
      </c>
      <c r="I210" s="34" t="n">
        <f aca="false">(I203-I205)*I206-I204*SIGN(I206)</f>
        <v>67.19178565</v>
      </c>
      <c r="J210" s="34" t="n">
        <f aca="false">(J203-J205)*J206-J204*SIGN(J206)</f>
        <v>67.19178565</v>
      </c>
      <c r="K210" s="34" t="n">
        <f aca="false">(K203-K205)*K206-K204*SIGN(K206)</f>
        <v>67.19178565</v>
      </c>
      <c r="L210" s="34" t="n">
        <f aca="false">(L203-L205)*L206-L204*SIGN(L206)</f>
        <v>67.19178565</v>
      </c>
      <c r="M210" s="34" t="n">
        <f aca="false">(M203-M205)*M206-M204*SIGN(M206)</f>
        <v>22.845207121</v>
      </c>
      <c r="N210" s="34" t="n">
        <f aca="false">(N203-N205)*N206-N204*SIGN(N206)</f>
        <v>0</v>
      </c>
    </row>
    <row r="211" customFormat="false" ht="15" hidden="false" customHeight="false" outlineLevel="0" collapsed="false">
      <c r="A211" s="0" t="s">
        <v>3619</v>
      </c>
      <c r="B211" s="34" t="n">
        <f aca="false">B210</f>
        <v>-13.318656740594</v>
      </c>
      <c r="C211" s="34" t="n">
        <f aca="false">B211+C210</f>
        <v>-23.1185164338809</v>
      </c>
      <c r="D211" s="34" t="n">
        <f aca="false">C211+D210</f>
        <v>0.644508870264502</v>
      </c>
      <c r="E211" s="34" t="n">
        <f aca="false">D211+E210</f>
        <v>30.0494380742445</v>
      </c>
      <c r="F211" s="34" t="n">
        <f aca="false">E211+F210</f>
        <v>97.2412237242445</v>
      </c>
      <c r="G211" s="34" t="n">
        <f aca="false">F211+G210</f>
        <v>164.433009374244</v>
      </c>
      <c r="H211" s="34" t="n">
        <f aca="false">G211+H210</f>
        <v>231.624795024244</v>
      </c>
      <c r="I211" s="34" t="n">
        <f aca="false">H211+I210</f>
        <v>298.816580674244</v>
      </c>
      <c r="J211" s="34" t="n">
        <f aca="false">I211+J210</f>
        <v>366.008366324244</v>
      </c>
      <c r="K211" s="34" t="n">
        <f aca="false">J211+K210</f>
        <v>433.200151974244</v>
      </c>
      <c r="L211" s="34" t="n">
        <f aca="false">K211+L210</f>
        <v>500.391937624244</v>
      </c>
      <c r="M211" s="34" t="n">
        <f aca="false">L211+M210</f>
        <v>523.237144745244</v>
      </c>
      <c r="N211" s="34" t="n">
        <f aca="false">M211+N210</f>
        <v>523.237144745244</v>
      </c>
    </row>
    <row r="212" customFormat="false" ht="15" hidden="false" customHeight="false" outlineLevel="0" collapsed="false">
      <c r="A212" s="0" t="s">
        <v>3620</v>
      </c>
      <c r="B212" s="22" t="str">
        <f aca="false">IF(AND((-B204*SIGN(B206))&lt;0,(-B204*SIGN(B206))+((B203-B205)*B206)&gt;=0,((B203-B205)*B206)&gt;0),B197+B198*B206*(-(-B204*SIGN(B206)))/((B203-B205)*B206),"-")</f>
        <v>-</v>
      </c>
      <c r="C212" s="22" t="str">
        <f aca="false">IF(AND((B211-C204*SIGN(C206))&lt;0,(B211-C204*SIGN(C206))+((C203-C205)*C206)&gt;=0,((C203-C205)*C206)&gt;0),C197+C198*C206*(-(B211-C204*SIGN(C206)))/((C203-C205)*C206),"-")</f>
        <v>-</v>
      </c>
      <c r="D212" s="22" t="n">
        <f aca="false">IF(AND((C211-D204*SIGN(D206))&lt;0,(C211-D204*SIGN(D206))+((D203-D205)*D206)&gt;=0,((D203-D205)*D206)&gt;0),D197+D198*D206*(-(C211-D204*SIGN(D206)))/((D203-D205)*D206),"-")</f>
        <v>23.8075738237539</v>
      </c>
      <c r="E212" s="22" t="n">
        <f aca="false">IF(AND((D211-E204*SIGN(E206))&lt;0,(D211-E204*SIGN(E206))+((E203-E205)*E206)&gt;=0,((E203-E205)*E206)&gt;0),E197+E198*E206*(-(D211-E204*SIGN(E206)))/((E203-E205)*E206),"-")</f>
        <v>25.7457914419673</v>
      </c>
      <c r="F212" s="22" t="str">
        <f aca="false">IF(AND((E211-F204*SIGN(F206))&lt;0,(E211-F204*SIGN(F206))+((F203-F205)*F206)&gt;=0,((F203-F205)*F206)&gt;0),F197+F198*F206*(-(E211-F204*SIGN(F206)))/((F203-F205)*F206),"-")</f>
        <v>-</v>
      </c>
      <c r="G212" s="22" t="str">
        <f aca="false">IF(AND((F211-G204*SIGN(G206))&lt;0,(F211-G204*SIGN(G206))+((G203-G205)*G206)&gt;=0,((G203-G205)*G206)&gt;0),G197+G198*G206*(-(F211-G204*SIGN(G206)))/((G203-G205)*G206),"-")</f>
        <v>-</v>
      </c>
      <c r="H212" s="22" t="str">
        <f aca="false">IF(AND((G211-H204*SIGN(H206))&lt;0,(G211-H204*SIGN(H206))+((H203-H205)*H206)&gt;=0,((H203-H205)*H206)&gt;0),H197+H198*H206*(-(G211-H204*SIGN(H206)))/((H203-H205)*H206),"-")</f>
        <v>-</v>
      </c>
      <c r="I212" s="22" t="str">
        <f aca="false">IF(AND((H211-I204*SIGN(I206))&lt;0,(H211-I204*SIGN(I206))+((I203-I205)*I206)&gt;=0,((I203-I205)*I206)&gt;0),I197+I198*I206*(-(H211-I204*SIGN(I206)))/((I203-I205)*I206),"-")</f>
        <v>-</v>
      </c>
      <c r="J212" s="22" t="str">
        <f aca="false">IF(AND((I211-J204*SIGN(J206))&lt;0,(I211-J204*SIGN(J206))+((J203-J205)*J206)&gt;=0,((J203-J205)*J206)&gt;0),J197+J198*J206*(-(I211-J204*SIGN(J206)))/((J203-J205)*J206),"-")</f>
        <v>-</v>
      </c>
      <c r="K212" s="22" t="str">
        <f aca="false">IF(AND((J211-K204*SIGN(K206))&lt;0,(J211-K204*SIGN(K206))+((K203-K205)*K206)&gt;=0,((K203-K205)*K206)&gt;0),K197+K198*K206*(-(J211-K204*SIGN(K206)))/((K203-K205)*K206),"-")</f>
        <v>-</v>
      </c>
      <c r="L212" s="22" t="str">
        <f aca="false">IF(AND((K211-L204*SIGN(L206))&lt;0,(K211-L204*SIGN(L206))+((L203-L205)*L206)&gt;=0,((L203-L205)*L206)&gt;0),L197+L198*L206*(-(K211-L204*SIGN(L206)))/((L203-L205)*L206),"-")</f>
        <v>-</v>
      </c>
      <c r="M212" s="22" t="str">
        <f aca="false">IF(AND((L211-M204*SIGN(M206))&lt;0,(L211-M204*SIGN(M206))+((M203-M205)*M206)&gt;=0,((M203-M205)*M206)&gt;0),M197+M198*M206*(-(L211-M204*SIGN(M206)))/((M203-M205)*M206),"-")</f>
        <v>-</v>
      </c>
      <c r="N212" s="22" t="str">
        <f aca="false">IF(AND((M211-N204*SIGN(N206))&lt;0,(M211-N204*SIGN(N206))+((N203-N205)*N206)&gt;=0,((N203-N205)*N206)&gt;0),N197+N198*N206*(-(M211-N204*SIGN(N206)))/((N203-N205)*N206),"-")</f>
        <v>-</v>
      </c>
    </row>
    <row r="213" customFormat="false" ht="15" hidden="false" customHeight="false" outlineLevel="0" collapsed="false">
      <c r="A213" s="3" t="s">
        <v>3621</v>
      </c>
      <c r="B213" s="36" t="n">
        <f aca="false">IF(COUNT($B$212:$N$212)=0,"none within ten years",MIN($B$212:$N$212))</f>
        <v>23.8075738237539</v>
      </c>
    </row>
    <row r="214" customFormat="false" ht="15" hidden="false" customHeight="false" outlineLevel="0" collapsed="false">
      <c r="A214" s="16" t="s">
        <v>3622</v>
      </c>
      <c r="B214" s="37" t="n">
        <f aca="false">-B211</f>
        <v>13.318656740594</v>
      </c>
    </row>
    <row r="215" customFormat="false" ht="15" hidden="false" customHeight="false" outlineLevel="0" collapsed="false">
      <c r="A215" s="16" t="s">
        <v>3623</v>
      </c>
      <c r="B215" s="37" t="n">
        <f aca="false">-C211</f>
        <v>23.1185164338809</v>
      </c>
    </row>
    <row r="216" customFormat="false" ht="15" hidden="false" customHeight="false" outlineLevel="0" collapsed="false">
      <c r="A216" s="16" t="s">
        <v>3624</v>
      </c>
      <c r="B216" s="37" t="n">
        <f aca="false">-D211</f>
        <v>-0.644508870264502</v>
      </c>
    </row>
    <row r="217" customFormat="false" ht="15" hidden="false" customHeight="false" outlineLevel="0" collapsed="false">
      <c r="A217" s="16" t="s">
        <v>3625</v>
      </c>
      <c r="B217" s="37" t="n">
        <f aca="false">-E211</f>
        <v>-30.0494380742445</v>
      </c>
    </row>
    <row r="218" customFormat="false" ht="15" hidden="false" customHeight="false" outlineLevel="0" collapsed="false">
      <c r="A218" s="16" t="s">
        <v>3626</v>
      </c>
      <c r="B218" s="37" t="n">
        <f aca="false">SUMPRODUCT(($B$203:$N$203-$B$205:$N$205)*$B$207:$N$207/(1+stla_wacc_pretax_high_pct/100)^($B$209:$N$209/12))-SUMPRODUCT($B$204:$N$204*SIGN($B$207:$N$207)/(1+stla_wacc_pretax_high_pct/100)^($B$197:$N$197/12))</f>
        <v>95.3591037612013</v>
      </c>
    </row>
    <row r="219" customFormat="false" ht="15" hidden="false" customHeight="false" outlineLevel="0" collapsed="false">
      <c r="A219" s="16" t="s">
        <v>3627</v>
      </c>
      <c r="B219" s="37" t="n">
        <f aca="false">SUMPRODUCT(($B$203:$N$203-$B$205:$N$205)*$B$207:$N$207/(1+stla_wacc_pretax_low_pct/100)^($B$209:$N$209/12))-SUMPRODUCT($B$204:$N$204*SIGN($B$207:$N$207)/(1+stla_wacc_pretax_low_pct/100)^($B$197:$N$197/12))</f>
        <v>132.203454405066</v>
      </c>
    </row>
    <row r="220" customFormat="false" ht="15" hidden="false" customHeight="false" outlineLevel="0" collapsed="false">
      <c r="A220" s="16" t="s">
        <v>3628</v>
      </c>
      <c r="B220" s="37" t="n">
        <f aca="false">SUMPRODUCT(($B$203:$N$203-$B$205:$N$205)*$B$206:$N$206/(1+stla_wacc_pretax_high_pct/100)^($B$208:$N$208/12))-SUMPRODUCT($B$204:$N$204*SIGN($B$206:$N$206)/(1+stla_wacc_pretax_high_pct/100)^($B$197:$N$197/12))</f>
        <v>189.268914889692</v>
      </c>
    </row>
    <row r="221" customFormat="false" ht="15" hidden="false" customHeight="false" outlineLevel="0" collapsed="false">
      <c r="A221" s="16" t="s">
        <v>3629</v>
      </c>
      <c r="B221" s="37" t="n">
        <f aca="false">SUMPRODUCT(($B$203:$N$203-$B$205:$N$205)*$B$206:$N$206/(1+stla_wacc_pretax_low_pct/100)^($B$208:$N$208/12))-SUMPRODUCT($B$204:$N$204*SIGN($B$206:$N$206)/(1+stla_wacc_pretax_low_pct/100)^($B$197:$N$197/12))</f>
        <v>303.696614483626</v>
      </c>
    </row>
    <row r="222" customFormat="false" ht="15" hidden="false" customHeight="false" outlineLevel="0" collapsed="false">
      <c r="A222" s="16" t="s">
        <v>3631</v>
      </c>
      <c r="B222" s="37" t="n">
        <f aca="false">SUMPRODUCT($B$199:$N$199*$B$207:$N$207/(1+stla_wacc_pretax_high_pct/100)^($B$209:$N$209/12))</f>
        <v>41.3208623792171</v>
      </c>
    </row>
    <row r="223" customFormat="false" ht="15" hidden="false" customHeight="false" outlineLevel="0" collapsed="false">
      <c r="A223" s="16" t="s">
        <v>3632</v>
      </c>
      <c r="B223" s="37" t="n">
        <f aca="false">SUMPRODUCT($B$200:$N$200*$B$207:$N$207/(1+stla_wacc_pretax_high_pct/100)^($B$209:$N$209/12))</f>
        <v>63.4095441284432</v>
      </c>
    </row>
    <row r="224" customFormat="false" ht="15" hidden="false" customHeight="false" outlineLevel="0" collapsed="false">
      <c r="A224" s="16" t="s">
        <v>3633</v>
      </c>
      <c r="B224" s="37" t="n">
        <f aca="false">SUMPRODUCT($B$201:$N$201*$B$207:$N$207/(1+stla_wacc_pretax_high_pct/100)^($B$209:$N$209/12))</f>
        <v>26.6781855532426</v>
      </c>
    </row>
    <row r="225" customFormat="false" ht="15" hidden="false" customHeight="false" outlineLevel="0" collapsed="false">
      <c r="A225" s="16" t="s">
        <v>3634</v>
      </c>
      <c r="B225" s="37" t="n">
        <f aca="false">SUMPRODUCT($B$202:$N$202*$B$207:$N$207/(1+stla_wacc_pretax_high_pct/100)^($B$209:$N$209/12))</f>
        <v>13.9039403534815</v>
      </c>
    </row>
    <row r="226" customFormat="false" ht="15" hidden="false" customHeight="false" outlineLevel="0" collapsed="false">
      <c r="A226" s="16" t="s">
        <v>3635</v>
      </c>
      <c r="B226" s="37" t="n">
        <f aca="false">SUMPRODUCT($B$204:$N$204*SIGN($B$207:$N$207)/(1+stla_wacc_pretax_high_pct/100)^($B$197:$N$197/12))</f>
        <v>43.9091225529719</v>
      </c>
    </row>
    <row r="227" customFormat="false" ht="15" hidden="false" customHeight="false" outlineLevel="0" collapsed="false">
      <c r="A227" s="16" t="s">
        <v>3636</v>
      </c>
      <c r="B227" s="37" t="n">
        <f aca="false">SUMPRODUCT($B$205:$N$205*$B$207:$N$207/(1+stla_wacc_pretax_high_pct/100)^($B$209:$N$209/12))</f>
        <v>6.04430610021123</v>
      </c>
    </row>
    <row r="229" customFormat="false" ht="26.85" hidden="false" customHeight="false" outlineLevel="0" collapsed="false">
      <c r="A229" s="4" t="s">
        <v>3642</v>
      </c>
      <c r="B229" s="4" t="s">
        <v>3580</v>
      </c>
      <c r="C229" s="4" t="s">
        <v>3561</v>
      </c>
      <c r="D229" s="4" t="s">
        <v>3564</v>
      </c>
      <c r="E229" s="4" t="s">
        <v>3572</v>
      </c>
      <c r="F229" s="4" t="s">
        <v>3581</v>
      </c>
      <c r="G229" s="4" t="s">
        <v>3582</v>
      </c>
      <c r="H229" s="4" t="s">
        <v>3583</v>
      </c>
      <c r="I229" s="4" t="s">
        <v>3584</v>
      </c>
      <c r="J229" s="4" t="s">
        <v>3585</v>
      </c>
      <c r="K229" s="4" t="s">
        <v>3586</v>
      </c>
      <c r="L229" s="4" t="s">
        <v>3587</v>
      </c>
      <c r="M229" s="4" t="s">
        <v>3588</v>
      </c>
      <c r="N229" s="4" t="s">
        <v>3589</v>
      </c>
    </row>
    <row r="230" customFormat="false" ht="15" hidden="false" customHeight="false" outlineLevel="0" collapsed="false">
      <c r="A230" s="0" t="s">
        <v>3609</v>
      </c>
      <c r="B230" s="22" t="n">
        <v>0</v>
      </c>
      <c r="C230" s="22" t="n">
        <f aca="false">B230+B231</f>
        <v>7.98</v>
      </c>
      <c r="D230" s="22" t="n">
        <f aca="false">C230+C231</f>
        <v>15.96</v>
      </c>
      <c r="E230" s="22" t="n">
        <f aca="false">D230+D231</f>
        <v>23.94</v>
      </c>
      <c r="F230" s="22" t="n">
        <f aca="false">E230+E231</f>
        <v>31.92</v>
      </c>
      <c r="G230" s="22" t="n">
        <f aca="false">F230+F231</f>
        <v>43.92</v>
      </c>
      <c r="H230" s="22" t="n">
        <f aca="false">G230+G231</f>
        <v>55.92</v>
      </c>
      <c r="I230" s="22" t="n">
        <f aca="false">H230+H231</f>
        <v>67.92</v>
      </c>
      <c r="J230" s="22" t="n">
        <f aca="false">I230+I231</f>
        <v>79.92</v>
      </c>
      <c r="K230" s="22" t="n">
        <f aca="false">J230+J231</f>
        <v>91.92</v>
      </c>
      <c r="L230" s="22" t="n">
        <f aca="false">K230+K231</f>
        <v>103.92</v>
      </c>
      <c r="M230" s="22" t="n">
        <f aca="false">L230+L231</f>
        <v>115.92</v>
      </c>
      <c r="N230" s="22" t="n">
        <f aca="false">M230+M231</f>
        <v>127.92</v>
      </c>
    </row>
    <row r="231" customFormat="false" ht="15" hidden="false" customHeight="false" outlineLevel="0" collapsed="false">
      <c r="A231" s="0" t="s">
        <v>3610</v>
      </c>
      <c r="B231" s="22" t="n">
        <f aca="false">$D$24</f>
        <v>7.98</v>
      </c>
      <c r="C231" s="22" t="n">
        <f aca="false">$D$24</f>
        <v>7.98</v>
      </c>
      <c r="D231" s="22" t="n">
        <f aca="false">$D$24</f>
        <v>7.98</v>
      </c>
      <c r="E231" s="22" t="n">
        <f aca="false">$D$24</f>
        <v>7.98</v>
      </c>
      <c r="F231" s="22" t="n">
        <f aca="false">12</f>
        <v>12</v>
      </c>
      <c r="G231" s="22" t="n">
        <f aca="false">12</f>
        <v>12</v>
      </c>
      <c r="H231" s="22" t="n">
        <f aca="false">12</f>
        <v>12</v>
      </c>
      <c r="I231" s="22" t="n">
        <f aca="false">12</f>
        <v>12</v>
      </c>
      <c r="J231" s="22" t="n">
        <f aca="false">12</f>
        <v>12</v>
      </c>
      <c r="K231" s="22" t="n">
        <f aca="false">12</f>
        <v>12</v>
      </c>
      <c r="L231" s="22" t="n">
        <f aca="false">12</f>
        <v>12</v>
      </c>
      <c r="M231" s="22" t="n">
        <f aca="false">12</f>
        <v>12</v>
      </c>
      <c r="N231" s="22" t="n">
        <f aca="false">12</f>
        <v>12</v>
      </c>
    </row>
    <row r="232" customFormat="false" ht="15" hidden="false" customHeight="false" outlineLevel="0" collapsed="false">
      <c r="A232" s="0" t="s">
        <v>3559</v>
      </c>
      <c r="B232" s="34" t="n">
        <v>0</v>
      </c>
      <c r="C232" s="34" t="n">
        <f aca="false">$B$24*$D$6*C$16*C231/12</f>
        <v>1.09306985405625</v>
      </c>
      <c r="D232" s="34" t="n">
        <f aca="false">$B$24*$D$6*D$16*D231/12</f>
        <v>3.14695199975625</v>
      </c>
      <c r="E232" s="34" t="n">
        <f aca="false">$B$24*$D$6*E$16*E231/12</f>
        <v>3.14695199975625</v>
      </c>
      <c r="F232" s="34" t="n">
        <f aca="false">$B$24*$D$6*F$16*F231/12</f>
        <v>5.84951625</v>
      </c>
      <c r="G232" s="34" t="n">
        <f aca="false">$B$24*$D$6*G$16*G231/12</f>
        <v>5.84951625</v>
      </c>
      <c r="H232" s="34" t="n">
        <f aca="false">$B$24*$D$6*H$16*H231/12</f>
        <v>5.84951625</v>
      </c>
      <c r="I232" s="34" t="n">
        <f aca="false">$B$24*$D$6*I$16*I231/12</f>
        <v>5.84951625</v>
      </c>
      <c r="J232" s="34" t="n">
        <f aca="false">$B$24*$D$6*J$16*J231/12</f>
        <v>5.84951625</v>
      </c>
      <c r="K232" s="34" t="n">
        <f aca="false">$B$24*$D$6*K$16*K231/12</f>
        <v>5.84951625</v>
      </c>
      <c r="L232" s="34" t="n">
        <f aca="false">$B$24*$D$6*L$16*L231/12</f>
        <v>5.84951625</v>
      </c>
      <c r="M232" s="34" t="n">
        <f aca="false">$B$24*$D$6*M$16*M231/12</f>
        <v>5.84951625</v>
      </c>
      <c r="N232" s="34" t="n">
        <f aca="false">$B$24*$D$6*N$16*N231/12</f>
        <v>5.84951625</v>
      </c>
    </row>
    <row r="233" customFormat="false" ht="15" hidden="false" customHeight="false" outlineLevel="0" collapsed="false">
      <c r="A233" s="0" t="s">
        <v>3563</v>
      </c>
      <c r="B233" s="34" t="n">
        <v>0</v>
      </c>
      <c r="C233" s="34" t="n">
        <v>0</v>
      </c>
      <c r="D233" s="34" t="n">
        <f aca="false">$B$24*$D$7*D$16*D231/12</f>
        <v>5.21418827895</v>
      </c>
      <c r="E233" s="34" t="n">
        <f aca="false">$B$24*$D$7*E$16*E231/12</f>
        <v>5.21418827895</v>
      </c>
      <c r="F233" s="34" t="n">
        <f aca="false">$B$24*$D$7*F$16*F231/12</f>
        <v>9.69207</v>
      </c>
      <c r="G233" s="34" t="n">
        <f aca="false">$B$24*$D$7*G$16*G231/12</f>
        <v>9.69207</v>
      </c>
      <c r="H233" s="34" t="n">
        <f aca="false">$B$24*$D$7*H$16*H231/12</f>
        <v>9.69207</v>
      </c>
      <c r="I233" s="34" t="n">
        <f aca="false">$B$24*$D$7*I$16*I231/12</f>
        <v>9.69207</v>
      </c>
      <c r="J233" s="34" t="n">
        <f aca="false">$B$24*$D$7*J$16*J231/12</f>
        <v>9.69207</v>
      </c>
      <c r="K233" s="34" t="n">
        <f aca="false">$B$24*$D$7*K$16*K231/12</f>
        <v>9.69207</v>
      </c>
      <c r="L233" s="34" t="n">
        <f aca="false">$B$24*$D$7*L$16*L231/12</f>
        <v>9.69207</v>
      </c>
      <c r="M233" s="34" t="n">
        <f aca="false">$B$24*$D$7*M$16*M231/12</f>
        <v>9.69207</v>
      </c>
      <c r="N233" s="34" t="n">
        <f aca="false">$B$24*$D$7*N$16*N231/12</f>
        <v>9.69207</v>
      </c>
    </row>
    <row r="234" customFormat="false" ht="15" hidden="false" customHeight="false" outlineLevel="0" collapsed="false">
      <c r="A234" s="0" t="s">
        <v>3566</v>
      </c>
      <c r="B234" s="34" t="n">
        <v>0</v>
      </c>
      <c r="C234" s="34" t="n">
        <v>0</v>
      </c>
      <c r="D234" s="34" t="n">
        <f aca="false">$B$24*$D$8*D$16*D231/12</f>
        <v>2.1937562290875</v>
      </c>
      <c r="E234" s="34" t="n">
        <f aca="false">$B$24*$D$8*E$16*E231/12</f>
        <v>2.1937562290875</v>
      </c>
      <c r="F234" s="34" t="n">
        <f aca="false">$B$24*$D$8*F$16*F231/12</f>
        <v>4.0777275</v>
      </c>
      <c r="G234" s="34" t="n">
        <f aca="false">$B$24*$D$8*G$16*G231/12</f>
        <v>4.0777275</v>
      </c>
      <c r="H234" s="34" t="n">
        <f aca="false">$B$24*$D$8*H$16*H231/12</f>
        <v>4.0777275</v>
      </c>
      <c r="I234" s="34" t="n">
        <f aca="false">$B$24*$D$8*I$16*I231/12</f>
        <v>4.0777275</v>
      </c>
      <c r="J234" s="34" t="n">
        <f aca="false">$B$24*$D$8*J$16*J231/12</f>
        <v>4.0777275</v>
      </c>
      <c r="K234" s="34" t="n">
        <f aca="false">$B$24*$D$8*K$16*K231/12</f>
        <v>4.0777275</v>
      </c>
      <c r="L234" s="34" t="n">
        <f aca="false">$B$24*$D$8*L$16*L231/12</f>
        <v>4.0777275</v>
      </c>
      <c r="M234" s="34" t="n">
        <f aca="false">$B$24*$D$8*M$16*M231/12</f>
        <v>4.0777275</v>
      </c>
      <c r="N234" s="34" t="n">
        <f aca="false">$B$24*$D$8*N$16*N231/12</f>
        <v>4.0777275</v>
      </c>
    </row>
    <row r="235" customFormat="false" ht="15" hidden="false" customHeight="false" outlineLevel="0" collapsed="false">
      <c r="A235" s="0" t="s">
        <v>3568</v>
      </c>
      <c r="B235" s="34" t="n">
        <v>0</v>
      </c>
      <c r="C235" s="34" t="n">
        <v>0</v>
      </c>
      <c r="D235" s="34" t="n">
        <f aca="false">$B$24*$D$9*D$16*D231/12</f>
        <v>1.143325722</v>
      </c>
      <c r="E235" s="34" t="n">
        <f aca="false">$B$24*$D$9*E$16*E231/12</f>
        <v>1.143325722</v>
      </c>
      <c r="F235" s="34" t="n">
        <f aca="false">$B$24*$D$9*F$16*F231/12</f>
        <v>2.1252</v>
      </c>
      <c r="G235" s="34" t="n">
        <f aca="false">$B$24*$D$9*G$16*G231/12</f>
        <v>2.1252</v>
      </c>
      <c r="H235" s="34" t="n">
        <f aca="false">$B$24*$D$9*H$16*H231/12</f>
        <v>2.1252</v>
      </c>
      <c r="I235" s="34" t="n">
        <f aca="false">$B$24*$D$9*I$16*I231/12</f>
        <v>2.1252</v>
      </c>
      <c r="J235" s="34" t="n">
        <f aca="false">$B$24*$D$9*J$16*J231/12</f>
        <v>2.1252</v>
      </c>
      <c r="K235" s="34" t="n">
        <f aca="false">$B$24*$D$9*K$16*K231/12</f>
        <v>2.1252</v>
      </c>
      <c r="L235" s="34" t="n">
        <f aca="false">$B$24*$D$9*L$16*L231/12</f>
        <v>2.1252</v>
      </c>
      <c r="M235" s="34" t="n">
        <f aca="false">$B$24*$D$9*M$16*M231/12</f>
        <v>2.1252</v>
      </c>
      <c r="N235" s="34" t="n">
        <f aca="false">$B$24*$D$9*N$16*N231/12</f>
        <v>2.1252</v>
      </c>
    </row>
    <row r="236" customFormat="false" ht="15" hidden="false" customHeight="false" outlineLevel="0" collapsed="false">
      <c r="A236" s="0" t="s">
        <v>3611</v>
      </c>
      <c r="B236" s="34" t="n">
        <f aca="false">SUM(B232:B235)</f>
        <v>0</v>
      </c>
      <c r="C236" s="34" t="n">
        <f aca="false">SUM(C232:C235)</f>
        <v>1.09306985405625</v>
      </c>
      <c r="D236" s="34" t="n">
        <f aca="false">SUM(D232:D235)</f>
        <v>11.6982222297938</v>
      </c>
      <c r="E236" s="34" t="n">
        <f aca="false">SUM(E232:E235)</f>
        <v>11.6982222297938</v>
      </c>
      <c r="F236" s="34" t="n">
        <f aca="false">SUM(F232:F235)</f>
        <v>21.74451375</v>
      </c>
      <c r="G236" s="34" t="n">
        <f aca="false">SUM(G232:G235)</f>
        <v>21.74451375</v>
      </c>
      <c r="H236" s="34" t="n">
        <f aca="false">SUM(H232:H235)</f>
        <v>21.74451375</v>
      </c>
      <c r="I236" s="34" t="n">
        <f aca="false">SUM(I232:I235)</f>
        <v>21.74451375</v>
      </c>
      <c r="J236" s="34" t="n">
        <f aca="false">SUM(J232:J235)</f>
        <v>21.74451375</v>
      </c>
      <c r="K236" s="34" t="n">
        <f aca="false">SUM(K232:K235)</f>
        <v>21.74451375</v>
      </c>
      <c r="L236" s="34" t="n">
        <f aca="false">SUM(L232:L235)</f>
        <v>21.74451375</v>
      </c>
      <c r="M236" s="34" t="n">
        <f aca="false">SUM(M232:M235)</f>
        <v>21.74451375</v>
      </c>
      <c r="N236" s="34" t="n">
        <f aca="false">SUM(N232:N235)</f>
        <v>21.74451375</v>
      </c>
    </row>
    <row r="237" customFormat="false" ht="15" hidden="false" customHeight="false" outlineLevel="0" collapsed="false">
      <c r="A237" s="0" t="s">
        <v>3612</v>
      </c>
      <c r="B237" s="34" t="n">
        <f aca="false">$C$24*'Programme cost'!$B$50</f>
        <v>40.1164359656445</v>
      </c>
      <c r="C237" s="34" t="n">
        <f aca="false">$C$24*'Programme cost'!$C$50</f>
        <v>40.4483482191377</v>
      </c>
      <c r="D237" s="34" t="n">
        <f aca="false">$C$24*'Programme cost'!$D$50</f>
        <v>45.4068448758128</v>
      </c>
      <c r="E237" s="34" t="n">
        <f aca="false">$C$24*'Programme cost'!$E$50</f>
        <v>28.413158430528</v>
      </c>
      <c r="F237" s="34" t="n">
        <v>0</v>
      </c>
      <c r="G237" s="34" t="n">
        <v>0</v>
      </c>
      <c r="H237" s="34" t="n">
        <v>0</v>
      </c>
      <c r="I237" s="34" t="n">
        <v>0</v>
      </c>
      <c r="J237" s="34" t="n">
        <v>0</v>
      </c>
      <c r="K237" s="34" t="n">
        <v>0</v>
      </c>
      <c r="L237" s="34" t="n">
        <v>0</v>
      </c>
      <c r="M237" s="34" t="n">
        <v>0</v>
      </c>
      <c r="N237" s="34" t="n">
        <v>0</v>
      </c>
    </row>
    <row r="238" customFormat="false" ht="15" hidden="false" customHeight="false" outlineLevel="0" collapsed="false">
      <c r="A238" s="0" t="s">
        <v>3613</v>
      </c>
      <c r="B238" s="34" t="n">
        <v>0</v>
      </c>
      <c r="C238" s="34" t="n">
        <v>0</v>
      </c>
      <c r="D238" s="34" t="n">
        <v>0</v>
      </c>
      <c r="E238" s="34" t="n">
        <v>0</v>
      </c>
      <c r="F238" s="34" t="n">
        <f aca="false">run_cost_eur_m_year*F231/12</f>
        <v>5</v>
      </c>
      <c r="G238" s="34" t="n">
        <f aca="false">run_cost_eur_m_year*G231/12</f>
        <v>5</v>
      </c>
      <c r="H238" s="34" t="n">
        <f aca="false">run_cost_eur_m_year*H231/12</f>
        <v>5</v>
      </c>
      <c r="I238" s="34" t="n">
        <f aca="false">run_cost_eur_m_year*I231/12</f>
        <v>5</v>
      </c>
      <c r="J238" s="34" t="n">
        <f aca="false">run_cost_eur_m_year*J231/12</f>
        <v>5</v>
      </c>
      <c r="K238" s="34" t="n">
        <f aca="false">run_cost_eur_m_year*K231/12</f>
        <v>5</v>
      </c>
      <c r="L238" s="34" t="n">
        <f aca="false">run_cost_eur_m_year*L231/12</f>
        <v>5</v>
      </c>
      <c r="M238" s="34" t="n">
        <f aca="false">run_cost_eur_m_year*M231/12</f>
        <v>5</v>
      </c>
      <c r="N238" s="34" t="n">
        <f aca="false">run_cost_eur_m_year*N231/12</f>
        <v>5</v>
      </c>
    </row>
    <row r="239" customFormat="false" ht="15" hidden="false" customHeight="false" outlineLevel="0" collapsed="false">
      <c r="A239" s="0" t="s">
        <v>3614</v>
      </c>
      <c r="B239" s="18" t="n">
        <f aca="false">MAX(0,MIN(1,($B$18-B230)/B231))</f>
        <v>1</v>
      </c>
      <c r="C239" s="18" t="n">
        <f aca="false">MAX(0,MIN(1,($B$18-C230)/C231))</f>
        <v>1</v>
      </c>
      <c r="D239" s="18" t="n">
        <f aca="false">MAX(0,MIN(1,($B$18-D230)/D231))</f>
        <v>1</v>
      </c>
      <c r="E239" s="18" t="n">
        <f aca="false">MAX(0,MIN(1,($B$18-E230)/E231))</f>
        <v>1</v>
      </c>
      <c r="F239" s="18" t="n">
        <f aca="false">MAX(0,MIN(1,($B$18-F230)/F231))</f>
        <v>1</v>
      </c>
      <c r="G239" s="18" t="n">
        <f aca="false">MAX(0,MIN(1,($B$18-G230)/G231))</f>
        <v>1</v>
      </c>
      <c r="H239" s="18" t="n">
        <f aca="false">MAX(0,MIN(1,($B$18-H230)/H231))</f>
        <v>1</v>
      </c>
      <c r="I239" s="18" t="n">
        <f aca="false">MAX(0,MIN(1,($B$18-I230)/I231))</f>
        <v>1</v>
      </c>
      <c r="J239" s="18" t="n">
        <f aca="false">MAX(0,MIN(1,($B$18-J230)/J231))</f>
        <v>1</v>
      </c>
      <c r="K239" s="18" t="n">
        <f aca="false">MAX(0,MIN(1,($B$18-K230)/K231))</f>
        <v>1</v>
      </c>
      <c r="L239" s="18" t="n">
        <f aca="false">MAX(0,MIN(1,($B$18-L230)/L231))</f>
        <v>1</v>
      </c>
      <c r="M239" s="18" t="n">
        <f aca="false">MAX(0,MIN(1,($B$18-M230)/M231))</f>
        <v>0.34</v>
      </c>
      <c r="N239" s="18" t="n">
        <f aca="false">MAX(0,MIN(1,($B$18-N230)/N231))</f>
        <v>0</v>
      </c>
    </row>
    <row r="240" customFormat="false" ht="15" hidden="false" customHeight="false" outlineLevel="0" collapsed="false">
      <c r="A240" s="0" t="s">
        <v>3615</v>
      </c>
      <c r="B240" s="18" t="n">
        <f aca="false">MAX(0,MIN(1,($B$17-B230)/B231))</f>
        <v>1</v>
      </c>
      <c r="C240" s="18" t="n">
        <f aca="false">MAX(0,MIN(1,($B$17-C230)/C231))</f>
        <v>1</v>
      </c>
      <c r="D240" s="18" t="n">
        <f aca="false">MAX(0,MIN(1,($B$17-D230)/D231))</f>
        <v>1</v>
      </c>
      <c r="E240" s="18" t="n">
        <f aca="false">MAX(0,MIN(1,($B$17-E230)/E231))</f>
        <v>1</v>
      </c>
      <c r="F240" s="18" t="n">
        <f aca="false">MAX(0,MIN(1,($B$17-F230)/F231))</f>
        <v>1</v>
      </c>
      <c r="G240" s="18" t="n">
        <f aca="false">MAX(0,MIN(1,($B$17-G230)/G231))</f>
        <v>1</v>
      </c>
      <c r="H240" s="18" t="n">
        <f aca="false">MAX(0,MIN(1,($B$17-H230)/H231))</f>
        <v>0.34</v>
      </c>
      <c r="I240" s="18" t="n">
        <f aca="false">MAX(0,MIN(1,($B$17-I230)/I231))</f>
        <v>0</v>
      </c>
      <c r="J240" s="18" t="n">
        <f aca="false">MAX(0,MIN(1,($B$17-J230)/J231))</f>
        <v>0</v>
      </c>
      <c r="K240" s="18" t="n">
        <f aca="false">MAX(0,MIN(1,($B$17-K230)/K231))</f>
        <v>0</v>
      </c>
      <c r="L240" s="18" t="n">
        <f aca="false">MAX(0,MIN(1,($B$17-L230)/L231))</f>
        <v>0</v>
      </c>
      <c r="M240" s="18" t="n">
        <f aca="false">MAX(0,MIN(1,($B$17-M230)/M231))</f>
        <v>0</v>
      </c>
      <c r="N240" s="18" t="n">
        <f aca="false">MAX(0,MIN(1,($B$17-N230)/N231))</f>
        <v>0</v>
      </c>
    </row>
    <row r="241" customFormat="false" ht="15" hidden="false" customHeight="false" outlineLevel="0" collapsed="false">
      <c r="A241" s="0" t="s">
        <v>3616</v>
      </c>
      <c r="B241" s="22" t="n">
        <f aca="false">B230+B231*B239/2</f>
        <v>3.99</v>
      </c>
      <c r="C241" s="22" t="n">
        <f aca="false">C230+C231*C239/2</f>
        <v>11.97</v>
      </c>
      <c r="D241" s="22" t="n">
        <f aca="false">D230+D231*D239/2</f>
        <v>19.95</v>
      </c>
      <c r="E241" s="22" t="n">
        <f aca="false">E230+E231*E239/2</f>
        <v>27.93</v>
      </c>
      <c r="F241" s="22" t="n">
        <f aca="false">F230+F231*F239/2</f>
        <v>37.92</v>
      </c>
      <c r="G241" s="22" t="n">
        <f aca="false">G230+G231*G239/2</f>
        <v>49.92</v>
      </c>
      <c r="H241" s="22" t="n">
        <f aca="false">H230+H231*H239/2</f>
        <v>61.92</v>
      </c>
      <c r="I241" s="22" t="n">
        <f aca="false">I230+I231*I239/2</f>
        <v>73.92</v>
      </c>
      <c r="J241" s="22" t="n">
        <f aca="false">J230+J231*J239/2</f>
        <v>85.92</v>
      </c>
      <c r="K241" s="22" t="n">
        <f aca="false">K230+K231*K239/2</f>
        <v>97.92</v>
      </c>
      <c r="L241" s="22" t="n">
        <f aca="false">L230+L231*L239/2</f>
        <v>109.92</v>
      </c>
      <c r="M241" s="22" t="n">
        <f aca="false">M230+M231*M239/2</f>
        <v>117.96</v>
      </c>
      <c r="N241" s="22" t="n">
        <f aca="false">N230+N231*N239/2</f>
        <v>127.92</v>
      </c>
    </row>
    <row r="242" customFormat="false" ht="15" hidden="false" customHeight="false" outlineLevel="0" collapsed="false">
      <c r="A242" s="0" t="s">
        <v>3617</v>
      </c>
      <c r="B242" s="22" t="n">
        <f aca="false">B230+B231*B240/2</f>
        <v>3.99</v>
      </c>
      <c r="C242" s="22" t="n">
        <f aca="false">C230+C231*C240/2</f>
        <v>11.97</v>
      </c>
      <c r="D242" s="22" t="n">
        <f aca="false">D230+D231*D240/2</f>
        <v>19.95</v>
      </c>
      <c r="E242" s="22" t="n">
        <f aca="false">E230+E231*E240/2</f>
        <v>27.93</v>
      </c>
      <c r="F242" s="22" t="n">
        <f aca="false">F230+F231*F240/2</f>
        <v>37.92</v>
      </c>
      <c r="G242" s="22" t="n">
        <f aca="false">G230+G231*G240/2</f>
        <v>49.92</v>
      </c>
      <c r="H242" s="22" t="n">
        <f aca="false">H230+H231*H240/2</f>
        <v>57.96</v>
      </c>
      <c r="I242" s="22" t="n">
        <f aca="false">I230+I231*I240/2</f>
        <v>67.92</v>
      </c>
      <c r="J242" s="22" t="n">
        <f aca="false">J230+J231*J240/2</f>
        <v>79.92</v>
      </c>
      <c r="K242" s="22" t="n">
        <f aca="false">K230+K231*K240/2</f>
        <v>91.92</v>
      </c>
      <c r="L242" s="22" t="n">
        <f aca="false">L230+L231*L240/2</f>
        <v>103.92</v>
      </c>
      <c r="M242" s="22" t="n">
        <f aca="false">M230+M231*M240/2</f>
        <v>115.92</v>
      </c>
      <c r="N242" s="22" t="n">
        <f aca="false">N230+N231*N240/2</f>
        <v>127.92</v>
      </c>
    </row>
    <row r="243" customFormat="false" ht="15" hidden="false" customHeight="false" outlineLevel="0" collapsed="false">
      <c r="A243" s="0" t="s">
        <v>3618</v>
      </c>
      <c r="B243" s="34" t="n">
        <f aca="false">(B236-B238)*B239-B237*SIGN(B239)</f>
        <v>-40.1164359656445</v>
      </c>
      <c r="C243" s="34" t="n">
        <f aca="false">(C236-C238)*C239-C237*SIGN(C239)</f>
        <v>-39.3552783650814</v>
      </c>
      <c r="D243" s="34" t="n">
        <f aca="false">(D236-D238)*D239-D237*SIGN(D239)</f>
        <v>-33.708622646019</v>
      </c>
      <c r="E243" s="34" t="n">
        <f aca="false">(E236-E238)*E239-E237*SIGN(E239)</f>
        <v>-16.7149362007343</v>
      </c>
      <c r="F243" s="34" t="n">
        <f aca="false">(F236-F238)*F239-F237*SIGN(F239)</f>
        <v>16.74451375</v>
      </c>
      <c r="G243" s="34" t="n">
        <f aca="false">(G236-G238)*G239-G237*SIGN(G239)</f>
        <v>16.74451375</v>
      </c>
      <c r="H243" s="34" t="n">
        <f aca="false">(H236-H238)*H239-H237*SIGN(H239)</f>
        <v>16.74451375</v>
      </c>
      <c r="I243" s="34" t="n">
        <f aca="false">(I236-I238)*I239-I237*SIGN(I239)</f>
        <v>16.74451375</v>
      </c>
      <c r="J243" s="34" t="n">
        <f aca="false">(J236-J238)*J239-J237*SIGN(J239)</f>
        <v>16.74451375</v>
      </c>
      <c r="K243" s="34" t="n">
        <f aca="false">(K236-K238)*K239-K237*SIGN(K239)</f>
        <v>16.74451375</v>
      </c>
      <c r="L243" s="34" t="n">
        <f aca="false">(L236-L238)*L239-L237*SIGN(L239)</f>
        <v>16.74451375</v>
      </c>
      <c r="M243" s="34" t="n">
        <f aca="false">(M236-M238)*M239-M237*SIGN(M239)</f>
        <v>5.693134675</v>
      </c>
      <c r="N243" s="34" t="n">
        <f aca="false">(N236-N238)*N239-N237*SIGN(N239)</f>
        <v>0</v>
      </c>
    </row>
    <row r="244" customFormat="false" ht="15" hidden="false" customHeight="false" outlineLevel="0" collapsed="false">
      <c r="A244" s="0" t="s">
        <v>3619</v>
      </c>
      <c r="B244" s="34" t="n">
        <f aca="false">B243</f>
        <v>-40.1164359656445</v>
      </c>
      <c r="C244" s="34" t="n">
        <f aca="false">B244+C243</f>
        <v>-79.4717143307259</v>
      </c>
      <c r="D244" s="34" t="n">
        <f aca="false">C244+D243</f>
        <v>-113.180336976745</v>
      </c>
      <c r="E244" s="34" t="n">
        <f aca="false">D244+E243</f>
        <v>-129.895273177479</v>
      </c>
      <c r="F244" s="34" t="n">
        <f aca="false">E244+F243</f>
        <v>-113.150759427479</v>
      </c>
      <c r="G244" s="34" t="n">
        <f aca="false">F244+G243</f>
        <v>-96.4062456774792</v>
      </c>
      <c r="H244" s="34" t="n">
        <f aca="false">G244+H243</f>
        <v>-79.6617319274792</v>
      </c>
      <c r="I244" s="34" t="n">
        <f aca="false">H244+I243</f>
        <v>-62.9172181774792</v>
      </c>
      <c r="J244" s="34" t="n">
        <f aca="false">I244+J243</f>
        <v>-46.1727044274792</v>
      </c>
      <c r="K244" s="34" t="n">
        <f aca="false">J244+K243</f>
        <v>-29.4281906774792</v>
      </c>
      <c r="L244" s="34" t="n">
        <f aca="false">K244+L243</f>
        <v>-12.6836769274792</v>
      </c>
      <c r="M244" s="34" t="n">
        <f aca="false">L244+M243</f>
        <v>-6.99054225247916</v>
      </c>
      <c r="N244" s="34" t="n">
        <f aca="false">M244+N243</f>
        <v>-6.99054225247916</v>
      </c>
    </row>
    <row r="245" customFormat="false" ht="15" hidden="false" customHeight="false" outlineLevel="0" collapsed="false">
      <c r="A245" s="0" t="s">
        <v>3620</v>
      </c>
      <c r="B245" s="22" t="str">
        <f aca="false">IF(AND((-B237*SIGN(B239))&lt;0,(-B237*SIGN(B239))+((B236-B238)*B239)&gt;=0,((B236-B238)*B239)&gt;0),B230+B231*B239*(-(-B237*SIGN(B239)))/((B236-B238)*B239),"-")</f>
        <v>-</v>
      </c>
      <c r="C245" s="22" t="str">
        <f aca="false">IF(AND((B244-C237*SIGN(C239))&lt;0,(B244-C237*SIGN(C239))+((C236-C238)*C239)&gt;=0,((C236-C238)*C239)&gt;0),C230+C231*C239*(-(B244-C237*SIGN(C239)))/((C236-C238)*C239),"-")</f>
        <v>-</v>
      </c>
      <c r="D245" s="22" t="str">
        <f aca="false">IF(AND((C244-D237*SIGN(D239))&lt;0,(C244-D237*SIGN(D239))+((D236-D238)*D239)&gt;=0,((D236-D238)*D239)&gt;0),D230+D231*D239*(-(C244-D237*SIGN(D239)))/((D236-D238)*D239),"-")</f>
        <v>-</v>
      </c>
      <c r="E245" s="22" t="str">
        <f aca="false">IF(AND((D244-E237*SIGN(E239))&lt;0,(D244-E237*SIGN(E239))+((E236-E238)*E239)&gt;=0,((E236-E238)*E239)&gt;0),E230+E231*E239*(-(D244-E237*SIGN(E239)))/((E236-E238)*E239),"-")</f>
        <v>-</v>
      </c>
      <c r="F245" s="22" t="str">
        <f aca="false">IF(AND((E244-F237*SIGN(F239))&lt;0,(E244-F237*SIGN(F239))+((F236-F238)*F239)&gt;=0,((F236-F238)*F239)&gt;0),F230+F231*F239*(-(E244-F237*SIGN(F239)))/((F236-F238)*F239),"-")</f>
        <v>-</v>
      </c>
      <c r="G245" s="22" t="str">
        <f aca="false">IF(AND((F244-G237*SIGN(G239))&lt;0,(F244-G237*SIGN(G239))+((G236-G238)*G239)&gt;=0,((G236-G238)*G239)&gt;0),G230+G231*G239*(-(F244-G237*SIGN(G239)))/((G236-G238)*G239),"-")</f>
        <v>-</v>
      </c>
      <c r="H245" s="22" t="str">
        <f aca="false">IF(AND((G244-H237*SIGN(H239))&lt;0,(G244-H237*SIGN(H239))+((H236-H238)*H239)&gt;=0,((H236-H238)*H239)&gt;0),H230+H231*H239*(-(G244-H237*SIGN(H239)))/((H236-H238)*H239),"-")</f>
        <v>-</v>
      </c>
      <c r="I245" s="22" t="str">
        <f aca="false">IF(AND((H244-I237*SIGN(I239))&lt;0,(H244-I237*SIGN(I239))+((I236-I238)*I239)&gt;=0,((I236-I238)*I239)&gt;0),I230+I231*I239*(-(H244-I237*SIGN(I239)))/((I236-I238)*I239),"-")</f>
        <v>-</v>
      </c>
      <c r="J245" s="22" t="str">
        <f aca="false">IF(AND((I244-J237*SIGN(J239))&lt;0,(I244-J237*SIGN(J239))+((J236-J238)*J239)&gt;=0,((J236-J238)*J239)&gt;0),J230+J231*J239*(-(I244-J237*SIGN(J239)))/((J236-J238)*J239),"-")</f>
        <v>-</v>
      </c>
      <c r="K245" s="22" t="str">
        <f aca="false">IF(AND((J244-K237*SIGN(K239))&lt;0,(J244-K237*SIGN(K239))+((K236-K238)*K239)&gt;=0,((K236-K238)*K239)&gt;0),K230+K231*K239*(-(J244-K237*SIGN(K239)))/((K236-K238)*K239),"-")</f>
        <v>-</v>
      </c>
      <c r="L245" s="22" t="str">
        <f aca="false">IF(AND((K244-L237*SIGN(L239))&lt;0,(K244-L237*SIGN(L239))+((L236-L238)*L239)&gt;=0,((L236-L238)*L239)&gt;0),L230+L231*L239*(-(K244-L237*SIGN(L239)))/((L236-L238)*L239),"-")</f>
        <v>-</v>
      </c>
      <c r="M245" s="22" t="str">
        <f aca="false">IF(AND((L244-M237*SIGN(M239))&lt;0,(L244-M237*SIGN(M239))+((M236-M238)*M239)&gt;=0,((M236-M238)*M239)&gt;0),M230+M231*M239*(-(L244-M237*SIGN(M239)))/((M236-M238)*M239),"-")</f>
        <v>-</v>
      </c>
      <c r="N245" s="22" t="str">
        <f aca="false">IF(AND((M244-N237*SIGN(N239))&lt;0,(M244-N237*SIGN(N239))+((N236-N238)*N239)&gt;=0,((N236-N238)*N239)&gt;0),N230+N231*N239*(-(M244-N237*SIGN(N239)))/((N236-N238)*N239),"-")</f>
        <v>-</v>
      </c>
    </row>
    <row r="246" customFormat="false" ht="15" hidden="false" customHeight="false" outlineLevel="0" collapsed="false">
      <c r="A246" s="3" t="s">
        <v>3621</v>
      </c>
      <c r="B246" s="36" t="str">
        <f aca="false">IF(COUNT($B$245:$N$245)=0,"none within ten years",MIN($B$245:$N$245))</f>
        <v>none within ten years</v>
      </c>
    </row>
    <row r="247" customFormat="false" ht="15" hidden="false" customHeight="false" outlineLevel="0" collapsed="false">
      <c r="A247" s="16" t="s">
        <v>3622</v>
      </c>
      <c r="B247" s="37" t="n">
        <f aca="false">-B244</f>
        <v>40.1164359656445</v>
      </c>
    </row>
    <row r="248" customFormat="false" ht="15" hidden="false" customHeight="false" outlineLevel="0" collapsed="false">
      <c r="A248" s="16" t="s">
        <v>3623</v>
      </c>
      <c r="B248" s="37" t="n">
        <f aca="false">-C244</f>
        <v>79.4717143307259</v>
      </c>
    </row>
    <row r="249" customFormat="false" ht="15" hidden="false" customHeight="false" outlineLevel="0" collapsed="false">
      <c r="A249" s="16" t="s">
        <v>3624</v>
      </c>
      <c r="B249" s="37" t="n">
        <f aca="false">-D244</f>
        <v>113.180336976745</v>
      </c>
    </row>
    <row r="250" customFormat="false" ht="15" hidden="false" customHeight="false" outlineLevel="0" collapsed="false">
      <c r="A250" s="16" t="s">
        <v>3625</v>
      </c>
      <c r="B250" s="37" t="n">
        <f aca="false">-E244</f>
        <v>129.895273177479</v>
      </c>
    </row>
    <row r="251" customFormat="false" ht="15" hidden="false" customHeight="false" outlineLevel="0" collapsed="false">
      <c r="A251" s="16" t="s">
        <v>3626</v>
      </c>
      <c r="B251" s="37" t="n">
        <f aca="false">SUMPRODUCT(($B$236:$N$236-$B$238:$N$238)*$B$240:$N$240/(1+stla_wacc_pretax_high_pct/100)^($B$242:$N$242/12))-SUMPRODUCT($B$237:$N$237*SIGN($B$240:$N$240)/(1+stla_wacc_pretax_high_pct/100)^($B$230:$N$230/12))</f>
        <v>-94.5318642674808</v>
      </c>
    </row>
    <row r="252" customFormat="false" ht="15" hidden="false" customHeight="false" outlineLevel="0" collapsed="false">
      <c r="A252" s="16" t="s">
        <v>3627</v>
      </c>
      <c r="B252" s="37" t="n">
        <f aca="false">SUMPRODUCT(($B$236:$N$236-$B$238:$N$238)*$B$240:$N$240/(1+stla_wacc_pretax_low_pct/100)^($B$242:$N$242/12))-SUMPRODUCT($B$237:$N$237*SIGN($B$240:$N$240)/(1+stla_wacc_pretax_low_pct/100)^($B$230:$N$230/12))</f>
        <v>-93.8968608053495</v>
      </c>
    </row>
    <row r="253" customFormat="false" ht="15" hidden="false" customHeight="false" outlineLevel="0" collapsed="false">
      <c r="A253" s="16" t="s">
        <v>3628</v>
      </c>
      <c r="B253" s="37" t="n">
        <f aca="false">SUMPRODUCT(($B$236:$N$236-$B$238:$N$238)*$B$239:$N$239/(1+stla_wacc_pretax_high_pct/100)^($B$241:$N$241/12))-SUMPRODUCT($B$237:$N$237*SIGN($B$239:$N$239)/(1+stla_wacc_pretax_high_pct/100)^($B$230:$N$230/12))</f>
        <v>-71.1290910193954</v>
      </c>
    </row>
    <row r="254" customFormat="false" ht="15" hidden="false" customHeight="false" outlineLevel="0" collapsed="false">
      <c r="A254" s="16" t="s">
        <v>3629</v>
      </c>
      <c r="B254" s="37" t="n">
        <f aca="false">SUMPRODUCT(($B$236:$N$236-$B$238:$N$238)*$B$239:$N$239/(1+stla_wacc_pretax_low_pct/100)^($B$241:$N$241/12))-SUMPRODUCT($B$237:$N$237*SIGN($B$239:$N$239)/(1+stla_wacc_pretax_low_pct/100)^($B$230:$N$230/12))</f>
        <v>-51.1599466247335</v>
      </c>
    </row>
    <row r="256" customFormat="false" ht="26.85" hidden="false" customHeight="false" outlineLevel="0" collapsed="false">
      <c r="A256" s="4" t="s">
        <v>3643</v>
      </c>
      <c r="B256" s="4" t="s">
        <v>3580</v>
      </c>
      <c r="C256" s="4" t="s">
        <v>3561</v>
      </c>
      <c r="D256" s="4" t="s">
        <v>3564</v>
      </c>
      <c r="E256" s="4" t="s">
        <v>3572</v>
      </c>
      <c r="F256" s="4" t="s">
        <v>3581</v>
      </c>
      <c r="G256" s="4" t="s">
        <v>3582</v>
      </c>
      <c r="H256" s="4" t="s">
        <v>3583</v>
      </c>
      <c r="I256" s="4" t="s">
        <v>3584</v>
      </c>
      <c r="J256" s="4" t="s">
        <v>3585</v>
      </c>
      <c r="K256" s="4" t="s">
        <v>3586</v>
      </c>
      <c r="L256" s="4" t="s">
        <v>3587</v>
      </c>
      <c r="M256" s="4" t="s">
        <v>3588</v>
      </c>
      <c r="N256" s="4" t="s">
        <v>3589</v>
      </c>
    </row>
    <row r="257" customFormat="false" ht="15" hidden="false" customHeight="false" outlineLevel="0" collapsed="false">
      <c r="A257" s="0" t="s">
        <v>3609</v>
      </c>
      <c r="B257" s="22" t="n">
        <v>0</v>
      </c>
      <c r="C257" s="22" t="n">
        <f aca="false">B257+B258</f>
        <v>7.98</v>
      </c>
      <c r="D257" s="22" t="n">
        <f aca="false">C257+C258</f>
        <v>15.96</v>
      </c>
      <c r="E257" s="22" t="n">
        <f aca="false">D257+D258</f>
        <v>23.94</v>
      </c>
      <c r="F257" s="22" t="n">
        <f aca="false">E257+E258</f>
        <v>31.92</v>
      </c>
      <c r="G257" s="22" t="n">
        <f aca="false">F257+F258</f>
        <v>43.92</v>
      </c>
      <c r="H257" s="22" t="n">
        <f aca="false">G257+G258</f>
        <v>55.92</v>
      </c>
      <c r="I257" s="22" t="n">
        <f aca="false">H257+H258</f>
        <v>67.92</v>
      </c>
      <c r="J257" s="22" t="n">
        <f aca="false">I257+I258</f>
        <v>79.92</v>
      </c>
      <c r="K257" s="22" t="n">
        <f aca="false">J257+J258</f>
        <v>91.92</v>
      </c>
      <c r="L257" s="22" t="n">
        <f aca="false">K257+K258</f>
        <v>103.92</v>
      </c>
      <c r="M257" s="22" t="n">
        <f aca="false">L257+L258</f>
        <v>115.92</v>
      </c>
      <c r="N257" s="22" t="n">
        <f aca="false">M257+M258</f>
        <v>127.92</v>
      </c>
    </row>
    <row r="258" customFormat="false" ht="15" hidden="false" customHeight="false" outlineLevel="0" collapsed="false">
      <c r="A258" s="0" t="s">
        <v>3610</v>
      </c>
      <c r="B258" s="22" t="n">
        <f aca="false">$D$25</f>
        <v>7.98</v>
      </c>
      <c r="C258" s="22" t="n">
        <f aca="false">$D$25</f>
        <v>7.98</v>
      </c>
      <c r="D258" s="22" t="n">
        <f aca="false">$D$25</f>
        <v>7.98</v>
      </c>
      <c r="E258" s="22" t="n">
        <f aca="false">$D$25</f>
        <v>7.98</v>
      </c>
      <c r="F258" s="22" t="n">
        <f aca="false">12</f>
        <v>12</v>
      </c>
      <c r="G258" s="22" t="n">
        <f aca="false">12</f>
        <v>12</v>
      </c>
      <c r="H258" s="22" t="n">
        <f aca="false">12</f>
        <v>12</v>
      </c>
      <c r="I258" s="22" t="n">
        <f aca="false">12</f>
        <v>12</v>
      </c>
      <c r="J258" s="22" t="n">
        <f aca="false">12</f>
        <v>12</v>
      </c>
      <c r="K258" s="22" t="n">
        <f aca="false">12</f>
        <v>12</v>
      </c>
      <c r="L258" s="22" t="n">
        <f aca="false">12</f>
        <v>12</v>
      </c>
      <c r="M258" s="22" t="n">
        <f aca="false">12</f>
        <v>12</v>
      </c>
      <c r="N258" s="22" t="n">
        <f aca="false">12</f>
        <v>12</v>
      </c>
    </row>
    <row r="259" customFormat="false" ht="15" hidden="false" customHeight="false" outlineLevel="0" collapsed="false">
      <c r="A259" s="0" t="s">
        <v>3559</v>
      </c>
      <c r="B259" s="34" t="n">
        <v>0</v>
      </c>
      <c r="C259" s="34" t="n">
        <f aca="false">$B$25*$D$6*C$16*C258/12</f>
        <v>2.1861397081125</v>
      </c>
      <c r="D259" s="34" t="n">
        <f aca="false">$B$25*$D$6*D$16*D258/12</f>
        <v>6.2939039995125</v>
      </c>
      <c r="E259" s="34" t="n">
        <f aca="false">$B$25*$D$6*E$16*E258/12</f>
        <v>6.2939039995125</v>
      </c>
      <c r="F259" s="34" t="n">
        <f aca="false">$B$25*$D$6*F$16*F258/12</f>
        <v>11.6990325</v>
      </c>
      <c r="G259" s="34" t="n">
        <f aca="false">$B$25*$D$6*G$16*G258/12</f>
        <v>11.6990325</v>
      </c>
      <c r="H259" s="34" t="n">
        <f aca="false">$B$25*$D$6*H$16*H258/12</f>
        <v>11.6990325</v>
      </c>
      <c r="I259" s="34" t="n">
        <f aca="false">$B$25*$D$6*I$16*I258/12</f>
        <v>11.6990325</v>
      </c>
      <c r="J259" s="34" t="n">
        <f aca="false">$B$25*$D$6*J$16*J258/12</f>
        <v>11.6990325</v>
      </c>
      <c r="K259" s="34" t="n">
        <f aca="false">$B$25*$D$6*K$16*K258/12</f>
        <v>11.6990325</v>
      </c>
      <c r="L259" s="34" t="n">
        <f aca="false">$B$25*$D$6*L$16*L258/12</f>
        <v>11.6990325</v>
      </c>
      <c r="M259" s="34" t="n">
        <f aca="false">$B$25*$D$6*M$16*M258/12</f>
        <v>11.6990325</v>
      </c>
      <c r="N259" s="34" t="n">
        <f aca="false">$B$25*$D$6*N$16*N258/12</f>
        <v>11.6990325</v>
      </c>
    </row>
    <row r="260" customFormat="false" ht="15" hidden="false" customHeight="false" outlineLevel="0" collapsed="false">
      <c r="A260" s="0" t="s">
        <v>3563</v>
      </c>
      <c r="B260" s="34" t="n">
        <v>0</v>
      </c>
      <c r="C260" s="34" t="n">
        <v>0</v>
      </c>
      <c r="D260" s="34" t="n">
        <f aca="false">$B$25*$D$7*D$16*D258/12</f>
        <v>10.4283765579</v>
      </c>
      <c r="E260" s="34" t="n">
        <f aca="false">$B$25*$D$7*E$16*E258/12</f>
        <v>10.4283765579</v>
      </c>
      <c r="F260" s="34" t="n">
        <f aca="false">$B$25*$D$7*F$16*F258/12</f>
        <v>19.38414</v>
      </c>
      <c r="G260" s="34" t="n">
        <f aca="false">$B$25*$D$7*G$16*G258/12</f>
        <v>19.38414</v>
      </c>
      <c r="H260" s="34" t="n">
        <f aca="false">$B$25*$D$7*H$16*H258/12</f>
        <v>19.38414</v>
      </c>
      <c r="I260" s="34" t="n">
        <f aca="false">$B$25*$D$7*I$16*I258/12</f>
        <v>19.38414</v>
      </c>
      <c r="J260" s="34" t="n">
        <f aca="false">$B$25*$D$7*J$16*J258/12</f>
        <v>19.38414</v>
      </c>
      <c r="K260" s="34" t="n">
        <f aca="false">$B$25*$D$7*K$16*K258/12</f>
        <v>19.38414</v>
      </c>
      <c r="L260" s="34" t="n">
        <f aca="false">$B$25*$D$7*L$16*L258/12</f>
        <v>19.38414</v>
      </c>
      <c r="M260" s="34" t="n">
        <f aca="false">$B$25*$D$7*M$16*M258/12</f>
        <v>19.38414</v>
      </c>
      <c r="N260" s="34" t="n">
        <f aca="false">$B$25*$D$7*N$16*N258/12</f>
        <v>19.38414</v>
      </c>
    </row>
    <row r="261" customFormat="false" ht="15" hidden="false" customHeight="false" outlineLevel="0" collapsed="false">
      <c r="A261" s="0" t="s">
        <v>3566</v>
      </c>
      <c r="B261" s="34" t="n">
        <v>0</v>
      </c>
      <c r="C261" s="34" t="n">
        <v>0</v>
      </c>
      <c r="D261" s="34" t="n">
        <f aca="false">$B$25*$D$8*D$16*D258/12</f>
        <v>4.387512458175</v>
      </c>
      <c r="E261" s="34" t="n">
        <f aca="false">$B$25*$D$8*E$16*E258/12</f>
        <v>4.387512458175</v>
      </c>
      <c r="F261" s="34" t="n">
        <f aca="false">$B$25*$D$8*F$16*F258/12</f>
        <v>8.155455</v>
      </c>
      <c r="G261" s="34" t="n">
        <f aca="false">$B$25*$D$8*G$16*G258/12</f>
        <v>8.155455</v>
      </c>
      <c r="H261" s="34" t="n">
        <f aca="false">$B$25*$D$8*H$16*H258/12</f>
        <v>8.155455</v>
      </c>
      <c r="I261" s="34" t="n">
        <f aca="false">$B$25*$D$8*I$16*I258/12</f>
        <v>8.155455</v>
      </c>
      <c r="J261" s="34" t="n">
        <f aca="false">$B$25*$D$8*J$16*J258/12</f>
        <v>8.155455</v>
      </c>
      <c r="K261" s="34" t="n">
        <f aca="false">$B$25*$D$8*K$16*K258/12</f>
        <v>8.155455</v>
      </c>
      <c r="L261" s="34" t="n">
        <f aca="false">$B$25*$D$8*L$16*L258/12</f>
        <v>8.155455</v>
      </c>
      <c r="M261" s="34" t="n">
        <f aca="false">$B$25*$D$8*M$16*M258/12</f>
        <v>8.155455</v>
      </c>
      <c r="N261" s="34" t="n">
        <f aca="false">$B$25*$D$8*N$16*N258/12</f>
        <v>8.155455</v>
      </c>
    </row>
    <row r="262" customFormat="false" ht="15" hidden="false" customHeight="false" outlineLevel="0" collapsed="false">
      <c r="A262" s="0" t="s">
        <v>3568</v>
      </c>
      <c r="B262" s="34" t="n">
        <v>0</v>
      </c>
      <c r="C262" s="34" t="n">
        <v>0</v>
      </c>
      <c r="D262" s="34" t="n">
        <f aca="false">$B$25*$D$9*D$16*D258/12</f>
        <v>2.286651444</v>
      </c>
      <c r="E262" s="34" t="n">
        <f aca="false">$B$25*$D$9*E$16*E258/12</f>
        <v>2.286651444</v>
      </c>
      <c r="F262" s="34" t="n">
        <f aca="false">$B$25*$D$9*F$16*F258/12</f>
        <v>4.2504</v>
      </c>
      <c r="G262" s="34" t="n">
        <f aca="false">$B$25*$D$9*G$16*G258/12</f>
        <v>4.2504</v>
      </c>
      <c r="H262" s="34" t="n">
        <f aca="false">$B$25*$D$9*H$16*H258/12</f>
        <v>4.2504</v>
      </c>
      <c r="I262" s="34" t="n">
        <f aca="false">$B$25*$D$9*I$16*I258/12</f>
        <v>4.2504</v>
      </c>
      <c r="J262" s="34" t="n">
        <f aca="false">$B$25*$D$9*J$16*J258/12</f>
        <v>4.2504</v>
      </c>
      <c r="K262" s="34" t="n">
        <f aca="false">$B$25*$D$9*K$16*K258/12</f>
        <v>4.2504</v>
      </c>
      <c r="L262" s="34" t="n">
        <f aca="false">$B$25*$D$9*L$16*L258/12</f>
        <v>4.2504</v>
      </c>
      <c r="M262" s="34" t="n">
        <f aca="false">$B$25*$D$9*M$16*M258/12</f>
        <v>4.2504</v>
      </c>
      <c r="N262" s="34" t="n">
        <f aca="false">$B$25*$D$9*N$16*N258/12</f>
        <v>4.2504</v>
      </c>
    </row>
    <row r="263" customFormat="false" ht="15" hidden="false" customHeight="false" outlineLevel="0" collapsed="false">
      <c r="A263" s="0" t="s">
        <v>3611</v>
      </c>
      <c r="B263" s="34" t="n">
        <f aca="false">SUM(B259:B262)</f>
        <v>0</v>
      </c>
      <c r="C263" s="34" t="n">
        <f aca="false">SUM(C259:C262)</f>
        <v>2.1861397081125</v>
      </c>
      <c r="D263" s="34" t="n">
        <f aca="false">SUM(D259:D262)</f>
        <v>23.3964444595875</v>
      </c>
      <c r="E263" s="34" t="n">
        <f aca="false">SUM(E259:E262)</f>
        <v>23.3964444595875</v>
      </c>
      <c r="F263" s="34" t="n">
        <f aca="false">SUM(F259:F262)</f>
        <v>43.4890275</v>
      </c>
      <c r="G263" s="34" t="n">
        <f aca="false">SUM(G259:G262)</f>
        <v>43.4890275</v>
      </c>
      <c r="H263" s="34" t="n">
        <f aca="false">SUM(H259:H262)</f>
        <v>43.4890275</v>
      </c>
      <c r="I263" s="34" t="n">
        <f aca="false">SUM(I259:I262)</f>
        <v>43.4890275</v>
      </c>
      <c r="J263" s="34" t="n">
        <f aca="false">SUM(J259:J262)</f>
        <v>43.4890275</v>
      </c>
      <c r="K263" s="34" t="n">
        <f aca="false">SUM(K259:K262)</f>
        <v>43.4890275</v>
      </c>
      <c r="L263" s="34" t="n">
        <f aca="false">SUM(L259:L262)</f>
        <v>43.4890275</v>
      </c>
      <c r="M263" s="34" t="n">
        <f aca="false">SUM(M259:M262)</f>
        <v>43.4890275</v>
      </c>
      <c r="N263" s="34" t="n">
        <f aca="false">SUM(N259:N262)</f>
        <v>43.4890275</v>
      </c>
    </row>
    <row r="264" customFormat="false" ht="15" hidden="false" customHeight="false" outlineLevel="0" collapsed="false">
      <c r="A264" s="0" t="s">
        <v>3612</v>
      </c>
      <c r="B264" s="34" t="n">
        <f aca="false">$C$25*'Programme cost'!$B$50</f>
        <v>40.1164359656445</v>
      </c>
      <c r="C264" s="34" t="n">
        <f aca="false">$C$25*'Programme cost'!$C$50</f>
        <v>40.4483482191377</v>
      </c>
      <c r="D264" s="34" t="n">
        <f aca="false">$C$25*'Programme cost'!$D$50</f>
        <v>45.4068448758128</v>
      </c>
      <c r="E264" s="34" t="n">
        <f aca="false">$C$25*'Programme cost'!$E$50</f>
        <v>28.413158430528</v>
      </c>
      <c r="F264" s="34" t="n">
        <v>0</v>
      </c>
      <c r="G264" s="34" t="n">
        <v>0</v>
      </c>
      <c r="H264" s="34" t="n">
        <v>0</v>
      </c>
      <c r="I264" s="34" t="n">
        <v>0</v>
      </c>
      <c r="J264" s="34" t="n">
        <v>0</v>
      </c>
      <c r="K264" s="34" t="n">
        <v>0</v>
      </c>
      <c r="L264" s="34" t="n">
        <v>0</v>
      </c>
      <c r="M264" s="34" t="n">
        <v>0</v>
      </c>
      <c r="N264" s="34" t="n">
        <v>0</v>
      </c>
    </row>
    <row r="265" customFormat="false" ht="15" hidden="false" customHeight="false" outlineLevel="0" collapsed="false">
      <c r="A265" s="0" t="s">
        <v>3613</v>
      </c>
      <c r="B265" s="34" t="n">
        <v>0</v>
      </c>
      <c r="C265" s="34" t="n">
        <v>0</v>
      </c>
      <c r="D265" s="34" t="n">
        <v>0</v>
      </c>
      <c r="E265" s="34" t="n">
        <v>0</v>
      </c>
      <c r="F265" s="34" t="n">
        <f aca="false">run_cost_eur_m_year*F258/12</f>
        <v>5</v>
      </c>
      <c r="G265" s="34" t="n">
        <f aca="false">run_cost_eur_m_year*G258/12</f>
        <v>5</v>
      </c>
      <c r="H265" s="34" t="n">
        <f aca="false">run_cost_eur_m_year*H258/12</f>
        <v>5</v>
      </c>
      <c r="I265" s="34" t="n">
        <f aca="false">run_cost_eur_m_year*I258/12</f>
        <v>5</v>
      </c>
      <c r="J265" s="34" t="n">
        <f aca="false">run_cost_eur_m_year*J258/12</f>
        <v>5</v>
      </c>
      <c r="K265" s="34" t="n">
        <f aca="false">run_cost_eur_m_year*K258/12</f>
        <v>5</v>
      </c>
      <c r="L265" s="34" t="n">
        <f aca="false">run_cost_eur_m_year*L258/12</f>
        <v>5</v>
      </c>
      <c r="M265" s="34" t="n">
        <f aca="false">run_cost_eur_m_year*M258/12</f>
        <v>5</v>
      </c>
      <c r="N265" s="34" t="n">
        <f aca="false">run_cost_eur_m_year*N258/12</f>
        <v>5</v>
      </c>
    </row>
    <row r="266" customFormat="false" ht="15" hidden="false" customHeight="false" outlineLevel="0" collapsed="false">
      <c r="A266" s="0" t="s">
        <v>3614</v>
      </c>
      <c r="B266" s="18" t="n">
        <f aca="false">MAX(0,MIN(1,($B$18-B257)/B258))</f>
        <v>1</v>
      </c>
      <c r="C266" s="18" t="n">
        <f aca="false">MAX(0,MIN(1,($B$18-C257)/C258))</f>
        <v>1</v>
      </c>
      <c r="D266" s="18" t="n">
        <f aca="false">MAX(0,MIN(1,($B$18-D257)/D258))</f>
        <v>1</v>
      </c>
      <c r="E266" s="18" t="n">
        <f aca="false">MAX(0,MIN(1,($B$18-E257)/E258))</f>
        <v>1</v>
      </c>
      <c r="F266" s="18" t="n">
        <f aca="false">MAX(0,MIN(1,($B$18-F257)/F258))</f>
        <v>1</v>
      </c>
      <c r="G266" s="18" t="n">
        <f aca="false">MAX(0,MIN(1,($B$18-G257)/G258))</f>
        <v>1</v>
      </c>
      <c r="H266" s="18" t="n">
        <f aca="false">MAX(0,MIN(1,($B$18-H257)/H258))</f>
        <v>1</v>
      </c>
      <c r="I266" s="18" t="n">
        <f aca="false">MAX(0,MIN(1,($B$18-I257)/I258))</f>
        <v>1</v>
      </c>
      <c r="J266" s="18" t="n">
        <f aca="false">MAX(0,MIN(1,($B$18-J257)/J258))</f>
        <v>1</v>
      </c>
      <c r="K266" s="18" t="n">
        <f aca="false">MAX(0,MIN(1,($B$18-K257)/K258))</f>
        <v>1</v>
      </c>
      <c r="L266" s="18" t="n">
        <f aca="false">MAX(0,MIN(1,($B$18-L257)/L258))</f>
        <v>1</v>
      </c>
      <c r="M266" s="18" t="n">
        <f aca="false">MAX(0,MIN(1,($B$18-M257)/M258))</f>
        <v>0.34</v>
      </c>
      <c r="N266" s="18" t="n">
        <f aca="false">MAX(0,MIN(1,($B$18-N257)/N258))</f>
        <v>0</v>
      </c>
    </row>
    <row r="267" customFormat="false" ht="15" hidden="false" customHeight="false" outlineLevel="0" collapsed="false">
      <c r="A267" s="0" t="s">
        <v>3615</v>
      </c>
      <c r="B267" s="18" t="n">
        <f aca="false">MAX(0,MIN(1,($B$17-B257)/B258))</f>
        <v>1</v>
      </c>
      <c r="C267" s="18" t="n">
        <f aca="false">MAX(0,MIN(1,($B$17-C257)/C258))</f>
        <v>1</v>
      </c>
      <c r="D267" s="18" t="n">
        <f aca="false">MAX(0,MIN(1,($B$17-D257)/D258))</f>
        <v>1</v>
      </c>
      <c r="E267" s="18" t="n">
        <f aca="false">MAX(0,MIN(1,($B$17-E257)/E258))</f>
        <v>1</v>
      </c>
      <c r="F267" s="18" t="n">
        <f aca="false">MAX(0,MIN(1,($B$17-F257)/F258))</f>
        <v>1</v>
      </c>
      <c r="G267" s="18" t="n">
        <f aca="false">MAX(0,MIN(1,($B$17-G257)/G258))</f>
        <v>1</v>
      </c>
      <c r="H267" s="18" t="n">
        <f aca="false">MAX(0,MIN(1,($B$17-H257)/H258))</f>
        <v>0.34</v>
      </c>
      <c r="I267" s="18" t="n">
        <f aca="false">MAX(0,MIN(1,($B$17-I257)/I258))</f>
        <v>0</v>
      </c>
      <c r="J267" s="18" t="n">
        <f aca="false">MAX(0,MIN(1,($B$17-J257)/J258))</f>
        <v>0</v>
      </c>
      <c r="K267" s="18" t="n">
        <f aca="false">MAX(0,MIN(1,($B$17-K257)/K258))</f>
        <v>0</v>
      </c>
      <c r="L267" s="18" t="n">
        <f aca="false">MAX(0,MIN(1,($B$17-L257)/L258))</f>
        <v>0</v>
      </c>
      <c r="M267" s="18" t="n">
        <f aca="false">MAX(0,MIN(1,($B$17-M257)/M258))</f>
        <v>0</v>
      </c>
      <c r="N267" s="18" t="n">
        <f aca="false">MAX(0,MIN(1,($B$17-N257)/N258))</f>
        <v>0</v>
      </c>
    </row>
    <row r="268" customFormat="false" ht="15" hidden="false" customHeight="false" outlineLevel="0" collapsed="false">
      <c r="A268" s="0" t="s">
        <v>3616</v>
      </c>
      <c r="B268" s="22" t="n">
        <f aca="false">B257+B258*B266/2</f>
        <v>3.99</v>
      </c>
      <c r="C268" s="22" t="n">
        <f aca="false">C257+C258*C266/2</f>
        <v>11.97</v>
      </c>
      <c r="D268" s="22" t="n">
        <f aca="false">D257+D258*D266/2</f>
        <v>19.95</v>
      </c>
      <c r="E268" s="22" t="n">
        <f aca="false">E257+E258*E266/2</f>
        <v>27.93</v>
      </c>
      <c r="F268" s="22" t="n">
        <f aca="false">F257+F258*F266/2</f>
        <v>37.92</v>
      </c>
      <c r="G268" s="22" t="n">
        <f aca="false">G257+G258*G266/2</f>
        <v>49.92</v>
      </c>
      <c r="H268" s="22" t="n">
        <f aca="false">H257+H258*H266/2</f>
        <v>61.92</v>
      </c>
      <c r="I268" s="22" t="n">
        <f aca="false">I257+I258*I266/2</f>
        <v>73.92</v>
      </c>
      <c r="J268" s="22" t="n">
        <f aca="false">J257+J258*J266/2</f>
        <v>85.92</v>
      </c>
      <c r="K268" s="22" t="n">
        <f aca="false">K257+K258*K266/2</f>
        <v>97.92</v>
      </c>
      <c r="L268" s="22" t="n">
        <f aca="false">L257+L258*L266/2</f>
        <v>109.92</v>
      </c>
      <c r="M268" s="22" t="n">
        <f aca="false">M257+M258*M266/2</f>
        <v>117.96</v>
      </c>
      <c r="N268" s="22" t="n">
        <f aca="false">N257+N258*N266/2</f>
        <v>127.92</v>
      </c>
    </row>
    <row r="269" customFormat="false" ht="15" hidden="false" customHeight="false" outlineLevel="0" collapsed="false">
      <c r="A269" s="0" t="s">
        <v>3617</v>
      </c>
      <c r="B269" s="22" t="n">
        <f aca="false">B257+B258*B267/2</f>
        <v>3.99</v>
      </c>
      <c r="C269" s="22" t="n">
        <f aca="false">C257+C258*C267/2</f>
        <v>11.97</v>
      </c>
      <c r="D269" s="22" t="n">
        <f aca="false">D257+D258*D267/2</f>
        <v>19.95</v>
      </c>
      <c r="E269" s="22" t="n">
        <f aca="false">E257+E258*E267/2</f>
        <v>27.93</v>
      </c>
      <c r="F269" s="22" t="n">
        <f aca="false">F257+F258*F267/2</f>
        <v>37.92</v>
      </c>
      <c r="G269" s="22" t="n">
        <f aca="false">G257+G258*G267/2</f>
        <v>49.92</v>
      </c>
      <c r="H269" s="22" t="n">
        <f aca="false">H257+H258*H267/2</f>
        <v>57.96</v>
      </c>
      <c r="I269" s="22" t="n">
        <f aca="false">I257+I258*I267/2</f>
        <v>67.92</v>
      </c>
      <c r="J269" s="22" t="n">
        <f aca="false">J257+J258*J267/2</f>
        <v>79.92</v>
      </c>
      <c r="K269" s="22" t="n">
        <f aca="false">K257+K258*K267/2</f>
        <v>91.92</v>
      </c>
      <c r="L269" s="22" t="n">
        <f aca="false">L257+L258*L267/2</f>
        <v>103.92</v>
      </c>
      <c r="M269" s="22" t="n">
        <f aca="false">M257+M258*M267/2</f>
        <v>115.92</v>
      </c>
      <c r="N269" s="22" t="n">
        <f aca="false">N257+N258*N267/2</f>
        <v>127.92</v>
      </c>
    </row>
    <row r="270" customFormat="false" ht="15" hidden="false" customHeight="false" outlineLevel="0" collapsed="false">
      <c r="A270" s="0" t="s">
        <v>3618</v>
      </c>
      <c r="B270" s="34" t="n">
        <f aca="false">(B263-B265)*B266-B264*SIGN(B266)</f>
        <v>-40.1164359656445</v>
      </c>
      <c r="C270" s="34" t="n">
        <f aca="false">(C263-C265)*C266-C264*SIGN(C266)</f>
        <v>-38.2622085110252</v>
      </c>
      <c r="D270" s="34" t="n">
        <f aca="false">(D263-D265)*D266-D264*SIGN(D266)</f>
        <v>-22.0104004162253</v>
      </c>
      <c r="E270" s="34" t="n">
        <f aca="false">(E263-E265)*E266-E264*SIGN(E266)</f>
        <v>-5.01671397094051</v>
      </c>
      <c r="F270" s="34" t="n">
        <f aca="false">(F263-F265)*F266-F264*SIGN(F266)</f>
        <v>38.4890275</v>
      </c>
      <c r="G270" s="34" t="n">
        <f aca="false">(G263-G265)*G266-G264*SIGN(G266)</f>
        <v>38.4890275</v>
      </c>
      <c r="H270" s="34" t="n">
        <f aca="false">(H263-H265)*H266-H264*SIGN(H266)</f>
        <v>38.4890275</v>
      </c>
      <c r="I270" s="34" t="n">
        <f aca="false">(I263-I265)*I266-I264*SIGN(I266)</f>
        <v>38.4890275</v>
      </c>
      <c r="J270" s="34" t="n">
        <f aca="false">(J263-J265)*J266-J264*SIGN(J266)</f>
        <v>38.4890275</v>
      </c>
      <c r="K270" s="34" t="n">
        <f aca="false">(K263-K265)*K266-K264*SIGN(K266)</f>
        <v>38.4890275</v>
      </c>
      <c r="L270" s="34" t="n">
        <f aca="false">(L263-L265)*L266-L264*SIGN(L266)</f>
        <v>38.4890275</v>
      </c>
      <c r="M270" s="34" t="n">
        <f aca="false">(M263-M265)*M266-M264*SIGN(M266)</f>
        <v>13.08626935</v>
      </c>
      <c r="N270" s="34" t="n">
        <f aca="false">(N263-N265)*N266-N264*SIGN(N266)</f>
        <v>0</v>
      </c>
    </row>
    <row r="271" customFormat="false" ht="15" hidden="false" customHeight="false" outlineLevel="0" collapsed="false">
      <c r="A271" s="0" t="s">
        <v>3619</v>
      </c>
      <c r="B271" s="34" t="n">
        <f aca="false">B270</f>
        <v>-40.1164359656445</v>
      </c>
      <c r="C271" s="34" t="n">
        <f aca="false">B271+C270</f>
        <v>-78.3786444766696</v>
      </c>
      <c r="D271" s="34" t="n">
        <f aca="false">C271+D270</f>
        <v>-100.389044892895</v>
      </c>
      <c r="E271" s="34" t="n">
        <f aca="false">D271+E270</f>
        <v>-105.405758863835</v>
      </c>
      <c r="F271" s="34" t="n">
        <f aca="false">E271+F270</f>
        <v>-66.9167313638354</v>
      </c>
      <c r="G271" s="34" t="n">
        <f aca="false">F271+G270</f>
        <v>-28.4277038638354</v>
      </c>
      <c r="H271" s="34" t="n">
        <f aca="false">G271+H270</f>
        <v>10.0613236361646</v>
      </c>
      <c r="I271" s="34" t="n">
        <f aca="false">H271+I270</f>
        <v>48.5503511361646</v>
      </c>
      <c r="J271" s="34" t="n">
        <f aca="false">I271+J270</f>
        <v>87.0393786361646</v>
      </c>
      <c r="K271" s="34" t="n">
        <f aca="false">J271+K270</f>
        <v>125.528406136165</v>
      </c>
      <c r="L271" s="34" t="n">
        <f aca="false">K271+L270</f>
        <v>164.017433636165</v>
      </c>
      <c r="M271" s="34" t="n">
        <f aca="false">L271+M270</f>
        <v>177.103702986165</v>
      </c>
      <c r="N271" s="34" t="n">
        <f aca="false">M271+N270</f>
        <v>177.103702986165</v>
      </c>
    </row>
    <row r="272" customFormat="false" ht="15" hidden="false" customHeight="false" outlineLevel="0" collapsed="false">
      <c r="A272" s="0" t="s">
        <v>3620</v>
      </c>
      <c r="B272" s="22" t="str">
        <f aca="false">IF(AND((-B264*SIGN(B266))&lt;0,(-B264*SIGN(B266))+((B263-B265)*B266)&gt;=0,((B263-B265)*B266)&gt;0),B257+B258*B266*(-(-B264*SIGN(B266)))/((B263-B265)*B266),"-")</f>
        <v>-</v>
      </c>
      <c r="C272" s="22" t="str">
        <f aca="false">IF(AND((B271-C264*SIGN(C266))&lt;0,(B271-C264*SIGN(C266))+((C263-C265)*C266)&gt;=0,((C263-C265)*C266)&gt;0),C257+C258*C266*(-(B271-C264*SIGN(C266)))/((C263-C265)*C266),"-")</f>
        <v>-</v>
      </c>
      <c r="D272" s="22" t="str">
        <f aca="false">IF(AND((C271-D264*SIGN(D266))&lt;0,(C271-D264*SIGN(D266))+((D263-D265)*D266)&gt;=0,((D263-D265)*D266)&gt;0),D257+D258*D266*(-(C271-D264*SIGN(D266)))/((D263-D265)*D266),"-")</f>
        <v>-</v>
      </c>
      <c r="E272" s="22" t="str">
        <f aca="false">IF(AND((D271-E264*SIGN(E266))&lt;0,(D271-E264*SIGN(E266))+((E263-E265)*E266)&gt;=0,((E263-E265)*E266)&gt;0),E257+E258*E266*(-(D271-E264*SIGN(E266)))/((E263-E265)*E266),"-")</f>
        <v>-</v>
      </c>
      <c r="F272" s="22" t="str">
        <f aca="false">IF(AND((E271-F264*SIGN(F266))&lt;0,(E271-F264*SIGN(F266))+((F263-F265)*F266)&gt;=0,((F263-F265)*F266)&gt;0),F257+F258*F266*(-(E271-F264*SIGN(F266)))/((F263-F265)*F266),"-")</f>
        <v>-</v>
      </c>
      <c r="G272" s="22" t="str">
        <f aca="false">IF(AND((F271-G264*SIGN(G266))&lt;0,(F271-G264*SIGN(G266))+((G263-G265)*G266)&gt;=0,((G263-G265)*G266)&gt;0),G257+G258*G266*(-(F271-G264*SIGN(G266)))/((G263-G265)*G266),"-")</f>
        <v>-</v>
      </c>
      <c r="H272" s="22" t="n">
        <f aca="false">IF(AND((G271-H264*SIGN(H266))&lt;0,(G271-H264*SIGN(H266))+((H263-H265)*H266)&gt;=0,((H263-H265)*H266)&gt;0),H257+H258*H266*(-(G271-H264*SIGN(H266)))/((H263-H265)*H266),"-")</f>
        <v>64.7831090085616</v>
      </c>
      <c r="I272" s="22" t="str">
        <f aca="false">IF(AND((H271-I264*SIGN(I266))&lt;0,(H271-I264*SIGN(I266))+((I263-I265)*I266)&gt;=0,((I263-I265)*I266)&gt;0),I257+I258*I266*(-(H271-I264*SIGN(I266)))/((I263-I265)*I266),"-")</f>
        <v>-</v>
      </c>
      <c r="J272" s="22" t="str">
        <f aca="false">IF(AND((I271-J264*SIGN(J266))&lt;0,(I271-J264*SIGN(J266))+((J263-J265)*J266)&gt;=0,((J263-J265)*J266)&gt;0),J257+J258*J266*(-(I271-J264*SIGN(J266)))/((J263-J265)*J266),"-")</f>
        <v>-</v>
      </c>
      <c r="K272" s="22" t="str">
        <f aca="false">IF(AND((J271-K264*SIGN(K266))&lt;0,(J271-K264*SIGN(K266))+((K263-K265)*K266)&gt;=0,((K263-K265)*K266)&gt;0),K257+K258*K266*(-(J271-K264*SIGN(K266)))/((K263-K265)*K266),"-")</f>
        <v>-</v>
      </c>
      <c r="L272" s="22" t="str">
        <f aca="false">IF(AND((K271-L264*SIGN(L266))&lt;0,(K271-L264*SIGN(L266))+((L263-L265)*L266)&gt;=0,((L263-L265)*L266)&gt;0),L257+L258*L266*(-(K271-L264*SIGN(L266)))/((L263-L265)*L266),"-")</f>
        <v>-</v>
      </c>
      <c r="M272" s="22" t="str">
        <f aca="false">IF(AND((L271-M264*SIGN(M266))&lt;0,(L271-M264*SIGN(M266))+((M263-M265)*M266)&gt;=0,((M263-M265)*M266)&gt;0),M257+M258*M266*(-(L271-M264*SIGN(M266)))/((M263-M265)*M266),"-")</f>
        <v>-</v>
      </c>
      <c r="N272" s="22" t="str">
        <f aca="false">IF(AND((M271-N264*SIGN(N266))&lt;0,(M271-N264*SIGN(N266))+((N263-N265)*N266)&gt;=0,((N263-N265)*N266)&gt;0),N257+N258*N266*(-(M271-N264*SIGN(N266)))/((N263-N265)*N266),"-")</f>
        <v>-</v>
      </c>
    </row>
    <row r="273" customFormat="false" ht="15" hidden="false" customHeight="false" outlineLevel="0" collapsed="false">
      <c r="A273" s="3" t="s">
        <v>3621</v>
      </c>
      <c r="B273" s="36" t="n">
        <f aca="false">IF(COUNT($B$272:$N$272)=0,"none within ten years",MIN($B$272:$N$272))</f>
        <v>64.7831090085616</v>
      </c>
    </row>
    <row r="274" customFormat="false" ht="15" hidden="false" customHeight="false" outlineLevel="0" collapsed="false">
      <c r="A274" s="16" t="s">
        <v>3622</v>
      </c>
      <c r="B274" s="37" t="n">
        <f aca="false">-B271</f>
        <v>40.1164359656445</v>
      </c>
    </row>
    <row r="275" customFormat="false" ht="15" hidden="false" customHeight="false" outlineLevel="0" collapsed="false">
      <c r="A275" s="16" t="s">
        <v>3623</v>
      </c>
      <c r="B275" s="37" t="n">
        <f aca="false">-C271</f>
        <v>78.3786444766696</v>
      </c>
    </row>
    <row r="276" customFormat="false" ht="15" hidden="false" customHeight="false" outlineLevel="0" collapsed="false">
      <c r="A276" s="16" t="s">
        <v>3624</v>
      </c>
      <c r="B276" s="37" t="n">
        <f aca="false">-D271</f>
        <v>100.389044892895</v>
      </c>
    </row>
    <row r="277" customFormat="false" ht="15" hidden="false" customHeight="false" outlineLevel="0" collapsed="false">
      <c r="A277" s="16" t="s">
        <v>3625</v>
      </c>
      <c r="B277" s="37" t="n">
        <f aca="false">-E271</f>
        <v>105.405758863835</v>
      </c>
    </row>
    <row r="278" customFormat="false" ht="15" hidden="false" customHeight="false" outlineLevel="0" collapsed="false">
      <c r="A278" s="16" t="s">
        <v>3626</v>
      </c>
      <c r="B278" s="37" t="n">
        <f aca="false">SUMPRODUCT(($B$263:$N$263-$B$265:$N$265)*$B$267:$N$267/(1+stla_wacc_pretax_high_pct/100)^($B$269:$N$269/12))-SUMPRODUCT($B$264:$N$264*SIGN($B$267:$N$267)/(1+stla_wacc_pretax_high_pct/100)^($B$257:$N$257/12))</f>
        <v>-50.7630292029072</v>
      </c>
    </row>
    <row r="279" customFormat="false" ht="15" hidden="false" customHeight="false" outlineLevel="0" collapsed="false">
      <c r="A279" s="16" t="s">
        <v>3627</v>
      </c>
      <c r="B279" s="37" t="n">
        <f aca="false">SUMPRODUCT(($B$263:$N$263-$B$265:$N$265)*$B$267:$N$267/(1+stla_wacc_pretax_low_pct/100)^($B$269:$N$269/12))-SUMPRODUCT($B$264:$N$264*SIGN($B$267:$N$267)/(1+stla_wacc_pretax_low_pct/100)^($B$257:$N$257/12))</f>
        <v>-37.3684904031557</v>
      </c>
    </row>
    <row r="280" customFormat="false" ht="15" hidden="false" customHeight="false" outlineLevel="0" collapsed="false">
      <c r="A280" s="16" t="s">
        <v>3628</v>
      </c>
      <c r="B280" s="37" t="n">
        <f aca="false">SUMPRODUCT(($B$263:$N$263-$B$265:$N$265)*$B$266:$N$266/(1+stla_wacc_pretax_high_pct/100)^($B$268:$N$268/12))-SUMPRODUCT($B$264:$N$264*SIGN($B$266:$N$266)/(1+stla_wacc_pretax_high_pct/100)^($B$257:$N$257/12))</f>
        <v>3.0307086488011</v>
      </c>
    </row>
    <row r="281" customFormat="false" ht="15" hidden="false" customHeight="false" outlineLevel="0" collapsed="false">
      <c r="A281" s="16" t="s">
        <v>3629</v>
      </c>
      <c r="B281" s="37" t="n">
        <f aca="false">SUMPRODUCT(($B$263:$N$263-$B$265:$N$265)*$B$266:$N$266/(1+stla_wacc_pretax_low_pct/100)^($B$268:$N$268/12))-SUMPRODUCT($B$264:$N$264*SIGN($B$266:$N$266)/(1+stla_wacc_pretax_low_pct/100)^($B$257:$N$257/12))</f>
        <v>60.8668056300222</v>
      </c>
    </row>
    <row r="283" customFormat="false" ht="26.85" hidden="false" customHeight="false" outlineLevel="0" collapsed="false">
      <c r="A283" s="4" t="s">
        <v>3644</v>
      </c>
      <c r="B283" s="4" t="s">
        <v>3580</v>
      </c>
      <c r="C283" s="4" t="s">
        <v>3561</v>
      </c>
      <c r="D283" s="4" t="s">
        <v>3564</v>
      </c>
      <c r="E283" s="4" t="s">
        <v>3572</v>
      </c>
      <c r="F283" s="4" t="s">
        <v>3581</v>
      </c>
      <c r="G283" s="4" t="s">
        <v>3582</v>
      </c>
      <c r="H283" s="4" t="s">
        <v>3583</v>
      </c>
      <c r="I283" s="4" t="s">
        <v>3584</v>
      </c>
      <c r="J283" s="4" t="s">
        <v>3585</v>
      </c>
      <c r="K283" s="4" t="s">
        <v>3586</v>
      </c>
      <c r="L283" s="4" t="s">
        <v>3587</v>
      </c>
      <c r="M283" s="4" t="s">
        <v>3588</v>
      </c>
      <c r="N283" s="4" t="s">
        <v>3589</v>
      </c>
    </row>
    <row r="284" customFormat="false" ht="15" hidden="false" customHeight="false" outlineLevel="0" collapsed="false">
      <c r="A284" s="0" t="s">
        <v>3609</v>
      </c>
      <c r="B284" s="22" t="n">
        <v>0</v>
      </c>
      <c r="C284" s="22" t="n">
        <f aca="false">B284+B285</f>
        <v>7.98</v>
      </c>
      <c r="D284" s="22" t="n">
        <f aca="false">C284+C285</f>
        <v>15.96</v>
      </c>
      <c r="E284" s="22" t="n">
        <f aca="false">D284+D285</f>
        <v>23.94</v>
      </c>
      <c r="F284" s="22" t="n">
        <f aca="false">E284+E285</f>
        <v>31.92</v>
      </c>
      <c r="G284" s="22" t="n">
        <f aca="false">F284+F285</f>
        <v>43.92</v>
      </c>
      <c r="H284" s="22" t="n">
        <f aca="false">G284+G285</f>
        <v>55.92</v>
      </c>
      <c r="I284" s="22" t="n">
        <f aca="false">H284+H285</f>
        <v>67.92</v>
      </c>
      <c r="J284" s="22" t="n">
        <f aca="false">I284+I285</f>
        <v>79.92</v>
      </c>
      <c r="K284" s="22" t="n">
        <f aca="false">J284+J285</f>
        <v>91.92</v>
      </c>
      <c r="L284" s="22" t="n">
        <f aca="false">K284+K285</f>
        <v>103.92</v>
      </c>
      <c r="M284" s="22" t="n">
        <f aca="false">L284+L285</f>
        <v>115.92</v>
      </c>
      <c r="N284" s="22" t="n">
        <f aca="false">M284+M285</f>
        <v>127.92</v>
      </c>
    </row>
    <row r="285" customFormat="false" ht="15" hidden="false" customHeight="false" outlineLevel="0" collapsed="false">
      <c r="A285" s="0" t="s">
        <v>3610</v>
      </c>
      <c r="B285" s="22" t="n">
        <f aca="false">$D$26</f>
        <v>7.98</v>
      </c>
      <c r="C285" s="22" t="n">
        <f aca="false">$D$26</f>
        <v>7.98</v>
      </c>
      <c r="D285" s="22" t="n">
        <f aca="false">$D$26</f>
        <v>7.98</v>
      </c>
      <c r="E285" s="22" t="n">
        <f aca="false">$D$26</f>
        <v>7.98</v>
      </c>
      <c r="F285" s="22" t="n">
        <f aca="false">12</f>
        <v>12</v>
      </c>
      <c r="G285" s="22" t="n">
        <f aca="false">12</f>
        <v>12</v>
      </c>
      <c r="H285" s="22" t="n">
        <f aca="false">12</f>
        <v>12</v>
      </c>
      <c r="I285" s="22" t="n">
        <f aca="false">12</f>
        <v>12</v>
      </c>
      <c r="J285" s="22" t="n">
        <f aca="false">12</f>
        <v>12</v>
      </c>
      <c r="K285" s="22" t="n">
        <f aca="false">12</f>
        <v>12</v>
      </c>
      <c r="L285" s="22" t="n">
        <f aca="false">12</f>
        <v>12</v>
      </c>
      <c r="M285" s="22" t="n">
        <f aca="false">12</f>
        <v>12</v>
      </c>
      <c r="N285" s="22" t="n">
        <f aca="false">12</f>
        <v>12</v>
      </c>
    </row>
    <row r="286" customFormat="false" ht="15" hidden="false" customHeight="false" outlineLevel="0" collapsed="false">
      <c r="A286" s="0" t="s">
        <v>3559</v>
      </c>
      <c r="B286" s="34" t="n">
        <v>0</v>
      </c>
      <c r="C286" s="34" t="n">
        <f aca="false">$B$26*$G$6*C$16*C285/12</f>
        <v>0.302415992955563</v>
      </c>
      <c r="D286" s="34" t="n">
        <f aca="false">$B$26*$G$6*D$16*D285/12</f>
        <v>0.870656719932563</v>
      </c>
      <c r="E286" s="34" t="n">
        <f aca="false">$B$26*$G$6*E$16*E285/12</f>
        <v>0.870656719932563</v>
      </c>
      <c r="F286" s="34" t="n">
        <f aca="false">$B$26*$G$6*F$16*F285/12</f>
        <v>1.6183661625</v>
      </c>
      <c r="G286" s="34" t="n">
        <f aca="false">$B$26*$G$6*G$16*G285/12</f>
        <v>1.6183661625</v>
      </c>
      <c r="H286" s="34" t="n">
        <f aca="false">$B$26*$G$6*H$16*H285/12</f>
        <v>1.6183661625</v>
      </c>
      <c r="I286" s="34" t="n">
        <f aca="false">$B$26*$G$6*I$16*I285/12</f>
        <v>1.6183661625</v>
      </c>
      <c r="J286" s="34" t="n">
        <f aca="false">$B$26*$G$6*J$16*J285/12</f>
        <v>1.6183661625</v>
      </c>
      <c r="K286" s="34" t="n">
        <f aca="false">$B$26*$G$6*K$16*K285/12</f>
        <v>1.6183661625</v>
      </c>
      <c r="L286" s="34" t="n">
        <f aca="false">$B$26*$G$6*L$16*L285/12</f>
        <v>1.6183661625</v>
      </c>
      <c r="M286" s="34" t="n">
        <f aca="false">$B$26*$G$6*M$16*M285/12</f>
        <v>1.6183661625</v>
      </c>
      <c r="N286" s="34" t="n">
        <f aca="false">$B$26*$G$6*N$16*N285/12</f>
        <v>1.6183661625</v>
      </c>
    </row>
    <row r="287" customFormat="false" ht="15" hidden="false" customHeight="false" outlineLevel="0" collapsed="false">
      <c r="A287" s="0" t="s">
        <v>3563</v>
      </c>
      <c r="B287" s="34" t="n">
        <v>0</v>
      </c>
      <c r="C287" s="34" t="n">
        <v>0</v>
      </c>
      <c r="D287" s="34" t="n">
        <f aca="false">$B$26*$G$7*D$16*D285/12</f>
        <v>2.885184181019</v>
      </c>
      <c r="E287" s="34" t="n">
        <f aca="false">$B$26*$G$7*E$16*E285/12</f>
        <v>2.885184181019</v>
      </c>
      <c r="F287" s="34" t="n">
        <f aca="false">$B$26*$G$7*F$16*F285/12</f>
        <v>5.3629454</v>
      </c>
      <c r="G287" s="34" t="n">
        <f aca="false">$B$26*$G$7*G$16*G285/12</f>
        <v>5.3629454</v>
      </c>
      <c r="H287" s="34" t="n">
        <f aca="false">$B$26*$G$7*H$16*H285/12</f>
        <v>5.3629454</v>
      </c>
      <c r="I287" s="34" t="n">
        <f aca="false">$B$26*$G$7*I$16*I285/12</f>
        <v>5.3629454</v>
      </c>
      <c r="J287" s="34" t="n">
        <f aca="false">$B$26*$G$7*J$16*J285/12</f>
        <v>5.3629454</v>
      </c>
      <c r="K287" s="34" t="n">
        <f aca="false">$B$26*$G$7*K$16*K285/12</f>
        <v>5.3629454</v>
      </c>
      <c r="L287" s="34" t="n">
        <f aca="false">$B$26*$G$7*L$16*L285/12</f>
        <v>5.3629454</v>
      </c>
      <c r="M287" s="34" t="n">
        <f aca="false">$B$26*$G$7*M$16*M285/12</f>
        <v>5.3629454</v>
      </c>
      <c r="N287" s="34" t="n">
        <f aca="false">$B$26*$G$7*N$16*N285/12</f>
        <v>5.3629454</v>
      </c>
    </row>
    <row r="288" customFormat="false" ht="15" hidden="false" customHeight="false" outlineLevel="0" collapsed="false">
      <c r="A288" s="0" t="s">
        <v>3566</v>
      </c>
      <c r="B288" s="34" t="n">
        <v>0</v>
      </c>
      <c r="C288" s="34" t="n">
        <v>0</v>
      </c>
      <c r="D288" s="34" t="n">
        <f aca="false">$B$26*$G$8*D$16*D285/12</f>
        <v>3.64163534028525</v>
      </c>
      <c r="E288" s="34" t="n">
        <f aca="false">$B$26*$G$8*E$16*E285/12</f>
        <v>3.64163534028525</v>
      </c>
      <c r="F288" s="34" t="n">
        <f aca="false">$B$26*$G$8*F$16*F285/12</f>
        <v>6.76902765</v>
      </c>
      <c r="G288" s="34" t="n">
        <f aca="false">$B$26*$G$8*G$16*G285/12</f>
        <v>6.76902765</v>
      </c>
      <c r="H288" s="34" t="n">
        <f aca="false">$B$26*$G$8*H$16*H285/12</f>
        <v>6.76902765</v>
      </c>
      <c r="I288" s="34" t="n">
        <f aca="false">$B$26*$G$8*I$16*I285/12</f>
        <v>6.76902765</v>
      </c>
      <c r="J288" s="34" t="n">
        <f aca="false">$B$26*$G$8*J$16*J285/12</f>
        <v>6.76902765</v>
      </c>
      <c r="K288" s="34" t="n">
        <f aca="false">$B$26*$G$8*K$16*K285/12</f>
        <v>6.76902765</v>
      </c>
      <c r="L288" s="34" t="n">
        <f aca="false">$B$26*$G$8*L$16*L285/12</f>
        <v>6.76902765</v>
      </c>
      <c r="M288" s="34" t="n">
        <f aca="false">$B$26*$G$8*M$16*M285/12</f>
        <v>6.76902765</v>
      </c>
      <c r="N288" s="34" t="n">
        <f aca="false">$B$26*$G$8*N$16*N285/12</f>
        <v>6.76902765</v>
      </c>
    </row>
    <row r="289" customFormat="false" ht="15" hidden="false" customHeight="false" outlineLevel="0" collapsed="false">
      <c r="A289" s="0" t="s">
        <v>3568</v>
      </c>
      <c r="B289" s="34" t="n">
        <v>0</v>
      </c>
      <c r="C289" s="34" t="n">
        <v>0</v>
      </c>
      <c r="D289" s="34" t="n">
        <f aca="false">$B$26*$G$9*D$16*D285/12</f>
        <v>1.518336558816</v>
      </c>
      <c r="E289" s="34" t="n">
        <f aca="false">$B$26*$G$9*E$16*E285/12</f>
        <v>1.518336558816</v>
      </c>
      <c r="F289" s="34" t="n">
        <f aca="false">$B$26*$G$9*F$16*F285/12</f>
        <v>2.8222656</v>
      </c>
      <c r="G289" s="34" t="n">
        <f aca="false">$B$26*$G$9*G$16*G285/12</f>
        <v>2.8222656</v>
      </c>
      <c r="H289" s="34" t="n">
        <f aca="false">$B$26*$G$9*H$16*H285/12</f>
        <v>2.8222656</v>
      </c>
      <c r="I289" s="34" t="n">
        <f aca="false">$B$26*$G$9*I$16*I285/12</f>
        <v>2.8222656</v>
      </c>
      <c r="J289" s="34" t="n">
        <f aca="false">$B$26*$G$9*J$16*J285/12</f>
        <v>2.8222656</v>
      </c>
      <c r="K289" s="34" t="n">
        <f aca="false">$B$26*$G$9*K$16*K285/12</f>
        <v>2.8222656</v>
      </c>
      <c r="L289" s="34" t="n">
        <f aca="false">$B$26*$G$9*L$16*L285/12</f>
        <v>2.8222656</v>
      </c>
      <c r="M289" s="34" t="n">
        <f aca="false">$B$26*$G$9*M$16*M285/12</f>
        <v>2.8222656</v>
      </c>
      <c r="N289" s="34" t="n">
        <f aca="false">$B$26*$G$9*N$16*N285/12</f>
        <v>2.8222656</v>
      </c>
    </row>
    <row r="290" customFormat="false" ht="15" hidden="false" customHeight="false" outlineLevel="0" collapsed="false">
      <c r="A290" s="0" t="s">
        <v>3611</v>
      </c>
      <c r="B290" s="34" t="n">
        <f aca="false">SUM(B286:B289)</f>
        <v>0</v>
      </c>
      <c r="C290" s="34" t="n">
        <f aca="false">SUM(C286:C289)</f>
        <v>0.302415992955563</v>
      </c>
      <c r="D290" s="34" t="n">
        <f aca="false">SUM(D286:D289)</f>
        <v>8.91581280005281</v>
      </c>
      <c r="E290" s="34" t="n">
        <f aca="false">SUM(E286:E289)</f>
        <v>8.91581280005281</v>
      </c>
      <c r="F290" s="34" t="n">
        <f aca="false">SUM(F286:F289)</f>
        <v>16.5726048125</v>
      </c>
      <c r="G290" s="34" t="n">
        <f aca="false">SUM(G286:G289)</f>
        <v>16.5726048125</v>
      </c>
      <c r="H290" s="34" t="n">
        <f aca="false">SUM(H286:H289)</f>
        <v>16.5726048125</v>
      </c>
      <c r="I290" s="34" t="n">
        <f aca="false">SUM(I286:I289)</f>
        <v>16.5726048125</v>
      </c>
      <c r="J290" s="34" t="n">
        <f aca="false">SUM(J286:J289)</f>
        <v>16.5726048125</v>
      </c>
      <c r="K290" s="34" t="n">
        <f aca="false">SUM(K286:K289)</f>
        <v>16.5726048125</v>
      </c>
      <c r="L290" s="34" t="n">
        <f aca="false">SUM(L286:L289)</f>
        <v>16.5726048125</v>
      </c>
      <c r="M290" s="34" t="n">
        <f aca="false">SUM(M286:M289)</f>
        <v>16.5726048125</v>
      </c>
      <c r="N290" s="34" t="n">
        <f aca="false">SUM(N286:N289)</f>
        <v>16.5726048125</v>
      </c>
    </row>
    <row r="291" customFormat="false" ht="15" hidden="false" customHeight="false" outlineLevel="0" collapsed="false">
      <c r="A291" s="0" t="s">
        <v>3612</v>
      </c>
      <c r="B291" s="34" t="n">
        <f aca="false">$C$26*'Programme cost'!$B$50</f>
        <v>13.318656740594</v>
      </c>
      <c r="C291" s="34" t="n">
        <f aca="false">$C$26*'Programme cost'!$C$50</f>
        <v>13.4288516087537</v>
      </c>
      <c r="D291" s="34" t="n">
        <f aca="false">$C$26*'Programme cost'!$D$50</f>
        <v>15.0750724987698</v>
      </c>
      <c r="E291" s="34" t="n">
        <f aca="false">$C$26*'Programme cost'!$E$50</f>
        <v>9.4331685989353</v>
      </c>
      <c r="F291" s="34" t="n">
        <v>0</v>
      </c>
      <c r="G291" s="34" t="n">
        <v>0</v>
      </c>
      <c r="H291" s="34" t="n">
        <v>0</v>
      </c>
      <c r="I291" s="34" t="n">
        <v>0</v>
      </c>
      <c r="J291" s="34" t="n">
        <v>0</v>
      </c>
      <c r="K291" s="34" t="n">
        <v>0</v>
      </c>
      <c r="L291" s="34" t="n">
        <v>0</v>
      </c>
      <c r="M291" s="34" t="n">
        <v>0</v>
      </c>
      <c r="N291" s="34" t="n">
        <v>0</v>
      </c>
    </row>
    <row r="292" customFormat="false" ht="15" hidden="false" customHeight="false" outlineLevel="0" collapsed="false">
      <c r="A292" s="0" t="s">
        <v>3613</v>
      </c>
      <c r="B292" s="34" t="n">
        <v>0</v>
      </c>
      <c r="C292" s="34" t="n">
        <v>0</v>
      </c>
      <c r="D292" s="34" t="n">
        <v>0</v>
      </c>
      <c r="E292" s="34" t="n">
        <v>0</v>
      </c>
      <c r="F292" s="34" t="n">
        <f aca="false">Assumptions!$E$763*F285/12</f>
        <v>8</v>
      </c>
      <c r="G292" s="34" t="n">
        <f aca="false">Assumptions!$E$763*G285/12</f>
        <v>8</v>
      </c>
      <c r="H292" s="34" t="n">
        <f aca="false">Assumptions!$E$763*H285/12</f>
        <v>8</v>
      </c>
      <c r="I292" s="34" t="n">
        <f aca="false">Assumptions!$E$763*I285/12</f>
        <v>8</v>
      </c>
      <c r="J292" s="34" t="n">
        <f aca="false">Assumptions!$E$763*J285/12</f>
        <v>8</v>
      </c>
      <c r="K292" s="34" t="n">
        <f aca="false">Assumptions!$E$763*K285/12</f>
        <v>8</v>
      </c>
      <c r="L292" s="34" t="n">
        <f aca="false">Assumptions!$E$763*L285/12</f>
        <v>8</v>
      </c>
      <c r="M292" s="34" t="n">
        <f aca="false">Assumptions!$E$763*M285/12</f>
        <v>8</v>
      </c>
      <c r="N292" s="34" t="n">
        <f aca="false">Assumptions!$E$763*N285/12</f>
        <v>8</v>
      </c>
    </row>
    <row r="293" customFormat="false" ht="15" hidden="false" customHeight="false" outlineLevel="0" collapsed="false">
      <c r="A293" s="0" t="s">
        <v>3614</v>
      </c>
      <c r="B293" s="18" t="n">
        <f aca="false">MAX(0,MIN(1,($B$18-B284)/B285))</f>
        <v>1</v>
      </c>
      <c r="C293" s="18" t="n">
        <f aca="false">MAX(0,MIN(1,($B$18-C284)/C285))</f>
        <v>1</v>
      </c>
      <c r="D293" s="18" t="n">
        <f aca="false">MAX(0,MIN(1,($B$18-D284)/D285))</f>
        <v>1</v>
      </c>
      <c r="E293" s="18" t="n">
        <f aca="false">MAX(0,MIN(1,($B$18-E284)/E285))</f>
        <v>1</v>
      </c>
      <c r="F293" s="18" t="n">
        <f aca="false">MAX(0,MIN(1,($B$18-F284)/F285))</f>
        <v>1</v>
      </c>
      <c r="G293" s="18" t="n">
        <f aca="false">MAX(0,MIN(1,($B$18-G284)/G285))</f>
        <v>1</v>
      </c>
      <c r="H293" s="18" t="n">
        <f aca="false">MAX(0,MIN(1,($B$18-H284)/H285))</f>
        <v>1</v>
      </c>
      <c r="I293" s="18" t="n">
        <f aca="false">MAX(0,MIN(1,($B$18-I284)/I285))</f>
        <v>1</v>
      </c>
      <c r="J293" s="18" t="n">
        <f aca="false">MAX(0,MIN(1,($B$18-J284)/J285))</f>
        <v>1</v>
      </c>
      <c r="K293" s="18" t="n">
        <f aca="false">MAX(0,MIN(1,($B$18-K284)/K285))</f>
        <v>1</v>
      </c>
      <c r="L293" s="18" t="n">
        <f aca="false">MAX(0,MIN(1,($B$18-L284)/L285))</f>
        <v>1</v>
      </c>
      <c r="M293" s="18" t="n">
        <f aca="false">MAX(0,MIN(1,($B$18-M284)/M285))</f>
        <v>0.34</v>
      </c>
      <c r="N293" s="18" t="n">
        <f aca="false">MAX(0,MIN(1,($B$18-N284)/N285))</f>
        <v>0</v>
      </c>
    </row>
    <row r="294" customFormat="false" ht="15" hidden="false" customHeight="false" outlineLevel="0" collapsed="false">
      <c r="A294" s="0" t="s">
        <v>3615</v>
      </c>
      <c r="B294" s="18" t="n">
        <f aca="false">MAX(0,MIN(1,($B$17-B284)/B285))</f>
        <v>1</v>
      </c>
      <c r="C294" s="18" t="n">
        <f aca="false">MAX(0,MIN(1,($B$17-C284)/C285))</f>
        <v>1</v>
      </c>
      <c r="D294" s="18" t="n">
        <f aca="false">MAX(0,MIN(1,($B$17-D284)/D285))</f>
        <v>1</v>
      </c>
      <c r="E294" s="18" t="n">
        <f aca="false">MAX(0,MIN(1,($B$17-E284)/E285))</f>
        <v>1</v>
      </c>
      <c r="F294" s="18" t="n">
        <f aca="false">MAX(0,MIN(1,($B$17-F284)/F285))</f>
        <v>1</v>
      </c>
      <c r="G294" s="18" t="n">
        <f aca="false">MAX(0,MIN(1,($B$17-G284)/G285))</f>
        <v>1</v>
      </c>
      <c r="H294" s="18" t="n">
        <f aca="false">MAX(0,MIN(1,($B$17-H284)/H285))</f>
        <v>0.34</v>
      </c>
      <c r="I294" s="18" t="n">
        <f aca="false">MAX(0,MIN(1,($B$17-I284)/I285))</f>
        <v>0</v>
      </c>
      <c r="J294" s="18" t="n">
        <f aca="false">MAX(0,MIN(1,($B$17-J284)/J285))</f>
        <v>0</v>
      </c>
      <c r="K294" s="18" t="n">
        <f aca="false">MAX(0,MIN(1,($B$17-K284)/K285))</f>
        <v>0</v>
      </c>
      <c r="L294" s="18" t="n">
        <f aca="false">MAX(0,MIN(1,($B$17-L284)/L285))</f>
        <v>0</v>
      </c>
      <c r="M294" s="18" t="n">
        <f aca="false">MAX(0,MIN(1,($B$17-M284)/M285))</f>
        <v>0</v>
      </c>
      <c r="N294" s="18" t="n">
        <f aca="false">MAX(0,MIN(1,($B$17-N284)/N285))</f>
        <v>0</v>
      </c>
    </row>
    <row r="295" customFormat="false" ht="15" hidden="false" customHeight="false" outlineLevel="0" collapsed="false">
      <c r="A295" s="0" t="s">
        <v>3616</v>
      </c>
      <c r="B295" s="22" t="n">
        <f aca="false">B284+B285*B293/2</f>
        <v>3.99</v>
      </c>
      <c r="C295" s="22" t="n">
        <f aca="false">C284+C285*C293/2</f>
        <v>11.97</v>
      </c>
      <c r="D295" s="22" t="n">
        <f aca="false">D284+D285*D293/2</f>
        <v>19.95</v>
      </c>
      <c r="E295" s="22" t="n">
        <f aca="false">E284+E285*E293/2</f>
        <v>27.93</v>
      </c>
      <c r="F295" s="22" t="n">
        <f aca="false">F284+F285*F293/2</f>
        <v>37.92</v>
      </c>
      <c r="G295" s="22" t="n">
        <f aca="false">G284+G285*G293/2</f>
        <v>49.92</v>
      </c>
      <c r="H295" s="22" t="n">
        <f aca="false">H284+H285*H293/2</f>
        <v>61.92</v>
      </c>
      <c r="I295" s="22" t="n">
        <f aca="false">I284+I285*I293/2</f>
        <v>73.92</v>
      </c>
      <c r="J295" s="22" t="n">
        <f aca="false">J284+J285*J293/2</f>
        <v>85.92</v>
      </c>
      <c r="K295" s="22" t="n">
        <f aca="false">K284+K285*K293/2</f>
        <v>97.92</v>
      </c>
      <c r="L295" s="22" t="n">
        <f aca="false">L284+L285*L293/2</f>
        <v>109.92</v>
      </c>
      <c r="M295" s="22" t="n">
        <f aca="false">M284+M285*M293/2</f>
        <v>117.96</v>
      </c>
      <c r="N295" s="22" t="n">
        <f aca="false">N284+N285*N293/2</f>
        <v>127.92</v>
      </c>
    </row>
    <row r="296" customFormat="false" ht="15" hidden="false" customHeight="false" outlineLevel="0" collapsed="false">
      <c r="A296" s="0" t="s">
        <v>3617</v>
      </c>
      <c r="B296" s="22" t="n">
        <f aca="false">B284+B285*B294/2</f>
        <v>3.99</v>
      </c>
      <c r="C296" s="22" t="n">
        <f aca="false">C284+C285*C294/2</f>
        <v>11.97</v>
      </c>
      <c r="D296" s="22" t="n">
        <f aca="false">D284+D285*D294/2</f>
        <v>19.95</v>
      </c>
      <c r="E296" s="22" t="n">
        <f aca="false">E284+E285*E294/2</f>
        <v>27.93</v>
      </c>
      <c r="F296" s="22" t="n">
        <f aca="false">F284+F285*F294/2</f>
        <v>37.92</v>
      </c>
      <c r="G296" s="22" t="n">
        <f aca="false">G284+G285*G294/2</f>
        <v>49.92</v>
      </c>
      <c r="H296" s="22" t="n">
        <f aca="false">H284+H285*H294/2</f>
        <v>57.96</v>
      </c>
      <c r="I296" s="22" t="n">
        <f aca="false">I284+I285*I294/2</f>
        <v>67.92</v>
      </c>
      <c r="J296" s="22" t="n">
        <f aca="false">J284+J285*J294/2</f>
        <v>79.92</v>
      </c>
      <c r="K296" s="22" t="n">
        <f aca="false">K284+K285*K294/2</f>
        <v>91.92</v>
      </c>
      <c r="L296" s="22" t="n">
        <f aca="false">L284+L285*L294/2</f>
        <v>103.92</v>
      </c>
      <c r="M296" s="22" t="n">
        <f aca="false">M284+M285*M294/2</f>
        <v>115.92</v>
      </c>
      <c r="N296" s="22" t="n">
        <f aca="false">N284+N285*N294/2</f>
        <v>127.92</v>
      </c>
    </row>
    <row r="297" customFormat="false" ht="15" hidden="false" customHeight="false" outlineLevel="0" collapsed="false">
      <c r="A297" s="0" t="s">
        <v>3618</v>
      </c>
      <c r="B297" s="34" t="n">
        <f aca="false">(B290-B292)*B293-B291*SIGN(B293)</f>
        <v>-13.318656740594</v>
      </c>
      <c r="C297" s="34" t="n">
        <f aca="false">(C290-C292)*C293-C291*SIGN(C293)</f>
        <v>-13.1264356157981</v>
      </c>
      <c r="D297" s="34" t="n">
        <f aca="false">(D290-D292)*D293-D291*SIGN(D293)</f>
        <v>-6.15925969871703</v>
      </c>
      <c r="E297" s="34" t="n">
        <f aca="false">(E290-E292)*E293-E291*SIGN(E293)</f>
        <v>-0.517355798882488</v>
      </c>
      <c r="F297" s="34" t="n">
        <f aca="false">(F290-F292)*F293-F291*SIGN(F293)</f>
        <v>8.5726048125</v>
      </c>
      <c r="G297" s="34" t="n">
        <f aca="false">(G290-G292)*G293-G291*SIGN(G293)</f>
        <v>8.5726048125</v>
      </c>
      <c r="H297" s="34" t="n">
        <f aca="false">(H290-H292)*H293-H291*SIGN(H293)</f>
        <v>8.5726048125</v>
      </c>
      <c r="I297" s="34" t="n">
        <f aca="false">(I290-I292)*I293-I291*SIGN(I293)</f>
        <v>8.5726048125</v>
      </c>
      <c r="J297" s="34" t="n">
        <f aca="false">(J290-J292)*J293-J291*SIGN(J293)</f>
        <v>8.5726048125</v>
      </c>
      <c r="K297" s="34" t="n">
        <f aca="false">(K290-K292)*K293-K291*SIGN(K293)</f>
        <v>8.5726048125</v>
      </c>
      <c r="L297" s="34" t="n">
        <f aca="false">(L290-L292)*L293-L291*SIGN(L293)</f>
        <v>8.5726048125</v>
      </c>
      <c r="M297" s="34" t="n">
        <f aca="false">(M290-M292)*M293-M291*SIGN(M293)</f>
        <v>2.91468563625</v>
      </c>
      <c r="N297" s="34" t="n">
        <f aca="false">(N290-N292)*N293-N291*SIGN(N293)</f>
        <v>0</v>
      </c>
    </row>
    <row r="298" customFormat="false" ht="15" hidden="false" customHeight="false" outlineLevel="0" collapsed="false">
      <c r="A298" s="0" t="s">
        <v>3619</v>
      </c>
      <c r="B298" s="34" t="n">
        <f aca="false">B297</f>
        <v>-13.318656740594</v>
      </c>
      <c r="C298" s="34" t="n">
        <f aca="false">B298+C297</f>
        <v>-26.4450923563921</v>
      </c>
      <c r="D298" s="34" t="n">
        <f aca="false">C298+D297</f>
        <v>-32.6043520551091</v>
      </c>
      <c r="E298" s="34" t="n">
        <f aca="false">D298+E297</f>
        <v>-33.1217078539916</v>
      </c>
      <c r="F298" s="34" t="n">
        <f aca="false">E298+F297</f>
        <v>-24.5491030414916</v>
      </c>
      <c r="G298" s="34" t="n">
        <f aca="false">F298+G297</f>
        <v>-15.9764982289916</v>
      </c>
      <c r="H298" s="34" t="n">
        <f aca="false">G298+H297</f>
        <v>-7.40389341649161</v>
      </c>
      <c r="I298" s="34" t="n">
        <f aca="false">H298+I297</f>
        <v>1.16871139600839</v>
      </c>
      <c r="J298" s="34" t="n">
        <f aca="false">I298+J297</f>
        <v>9.74131620850839</v>
      </c>
      <c r="K298" s="34" t="n">
        <f aca="false">J298+K297</f>
        <v>18.3139210210084</v>
      </c>
      <c r="L298" s="34" t="n">
        <f aca="false">K298+L297</f>
        <v>26.8865258335084</v>
      </c>
      <c r="M298" s="34" t="n">
        <f aca="false">L298+M297</f>
        <v>29.8012114697584</v>
      </c>
      <c r="N298" s="34" t="n">
        <f aca="false">M298+N297</f>
        <v>29.8012114697584</v>
      </c>
    </row>
    <row r="299" customFormat="false" ht="15" hidden="false" customHeight="false" outlineLevel="0" collapsed="false">
      <c r="A299" s="0" t="s">
        <v>3620</v>
      </c>
      <c r="B299" s="22" t="str">
        <f aca="false">IF(AND((-B291*SIGN(B293))&lt;0,(-B291*SIGN(B293))+((B290-B292)*B293)&gt;=0,((B290-B292)*B293)&gt;0),B284+B285*B293*(-(-B291*SIGN(B293)))/((B290-B292)*B293),"-")</f>
        <v>-</v>
      </c>
      <c r="C299" s="22" t="str">
        <f aca="false">IF(AND((B298-C291*SIGN(C293))&lt;0,(B298-C291*SIGN(C293))+((C290-C292)*C293)&gt;=0,((C290-C292)*C293)&gt;0),C284+C285*C293*(-(B298-C291*SIGN(C293)))/((C290-C292)*C293),"-")</f>
        <v>-</v>
      </c>
      <c r="D299" s="22" t="str">
        <f aca="false">IF(AND((C298-D291*SIGN(D293))&lt;0,(C298-D291*SIGN(D293))+((D290-D292)*D293)&gt;=0,((D290-D292)*D293)&gt;0),D284+D285*D293*(-(C298-D291*SIGN(D293)))/((D290-D292)*D293),"-")</f>
        <v>-</v>
      </c>
      <c r="E299" s="22" t="str">
        <f aca="false">IF(AND((D298-E291*SIGN(E293))&lt;0,(D298-E291*SIGN(E293))+((E290-E292)*E293)&gt;=0,((E290-E292)*E293)&gt;0),E284+E285*E293*(-(D298-E291*SIGN(E293)))/((E290-E292)*E293),"-")</f>
        <v>-</v>
      </c>
      <c r="F299" s="22" t="str">
        <f aca="false">IF(AND((E298-F291*SIGN(F293))&lt;0,(E298-F291*SIGN(F293))+((F290-F292)*F293)&gt;=0,((F290-F292)*F293)&gt;0),F284+F285*F293*(-(E298-F291*SIGN(F293)))/((F290-F292)*F293),"-")</f>
        <v>-</v>
      </c>
      <c r="G299" s="22" t="str">
        <f aca="false">IF(AND((F298-G291*SIGN(G293))&lt;0,(F298-G291*SIGN(G293))+((G290-G292)*G293)&gt;=0,((G290-G292)*G293)&gt;0),G284+G285*G293*(-(F298-G291*SIGN(G293)))/((G290-G292)*G293),"-")</f>
        <v>-</v>
      </c>
      <c r="H299" s="22" t="str">
        <f aca="false">IF(AND((G298-H291*SIGN(H293))&lt;0,(G298-H291*SIGN(H293))+((H290-H292)*H293)&gt;=0,((H290-H292)*H293)&gt;0),H284+H285*H293*(-(G298-H291*SIGN(H293)))/((H290-H292)*H293),"-")</f>
        <v>-</v>
      </c>
      <c r="I299" s="22" t="n">
        <f aca="false">IF(AND((H298-I291*SIGN(I293))&lt;0,(H298-I291*SIGN(I293))+((I290-I292)*I293)&gt;=0,((I290-I292)*I293)&gt;0),I284+I285*I293*(-(H298-I291*SIGN(I293)))/((I290-I292)*I293),"-")</f>
        <v>78.2840285468833</v>
      </c>
      <c r="J299" s="22" t="str">
        <f aca="false">IF(AND((I298-J291*SIGN(J293))&lt;0,(I298-J291*SIGN(J293))+((J290-J292)*J293)&gt;=0,((J290-J292)*J293)&gt;0),J284+J285*J293*(-(I298-J291*SIGN(J293)))/((J290-J292)*J293),"-")</f>
        <v>-</v>
      </c>
      <c r="K299" s="22" t="str">
        <f aca="false">IF(AND((J298-K291*SIGN(K293))&lt;0,(J298-K291*SIGN(K293))+((K290-K292)*K293)&gt;=0,((K290-K292)*K293)&gt;0),K284+K285*K293*(-(J298-K291*SIGN(K293)))/((K290-K292)*K293),"-")</f>
        <v>-</v>
      </c>
      <c r="L299" s="22" t="str">
        <f aca="false">IF(AND((K298-L291*SIGN(L293))&lt;0,(K298-L291*SIGN(L293))+((L290-L292)*L293)&gt;=0,((L290-L292)*L293)&gt;0),L284+L285*L293*(-(K298-L291*SIGN(L293)))/((L290-L292)*L293),"-")</f>
        <v>-</v>
      </c>
      <c r="M299" s="22" t="str">
        <f aca="false">IF(AND((L298-M291*SIGN(M293))&lt;0,(L298-M291*SIGN(M293))+((M290-M292)*M293)&gt;=0,((M290-M292)*M293)&gt;0),M284+M285*M293*(-(L298-M291*SIGN(M293)))/((M290-M292)*M293),"-")</f>
        <v>-</v>
      </c>
      <c r="N299" s="22" t="str">
        <f aca="false">IF(AND((M298-N291*SIGN(N293))&lt;0,(M298-N291*SIGN(N293))+((N290-N292)*N293)&gt;=0,((N290-N292)*N293)&gt;0),N284+N285*N293*(-(M298-N291*SIGN(N293)))/((N290-N292)*N293),"-")</f>
        <v>-</v>
      </c>
    </row>
    <row r="300" customFormat="false" ht="15" hidden="false" customHeight="false" outlineLevel="0" collapsed="false">
      <c r="A300" s="3" t="s">
        <v>3621</v>
      </c>
      <c r="B300" s="36" t="n">
        <f aca="false">IF(COUNT($B$299:$N$299)=0,"none within ten years",MIN($B$299:$N$299))</f>
        <v>78.2840285468833</v>
      </c>
    </row>
    <row r="301" customFormat="false" ht="15" hidden="false" customHeight="false" outlineLevel="0" collapsed="false">
      <c r="A301" s="16" t="s">
        <v>3622</v>
      </c>
      <c r="B301" s="37" t="n">
        <f aca="false">-B298</f>
        <v>13.318656740594</v>
      </c>
    </row>
    <row r="302" customFormat="false" ht="15" hidden="false" customHeight="false" outlineLevel="0" collapsed="false">
      <c r="A302" s="16" t="s">
        <v>3623</v>
      </c>
      <c r="B302" s="37" t="n">
        <f aca="false">-C298</f>
        <v>26.4450923563921</v>
      </c>
    </row>
    <row r="303" customFormat="false" ht="15" hidden="false" customHeight="false" outlineLevel="0" collapsed="false">
      <c r="A303" s="16" t="s">
        <v>3624</v>
      </c>
      <c r="B303" s="37" t="n">
        <f aca="false">-D298</f>
        <v>32.6043520551091</v>
      </c>
    </row>
    <row r="304" customFormat="false" ht="15" hidden="false" customHeight="false" outlineLevel="0" collapsed="false">
      <c r="A304" s="16" t="s">
        <v>3625</v>
      </c>
      <c r="B304" s="37" t="n">
        <f aca="false">-E298</f>
        <v>33.1217078539916</v>
      </c>
    </row>
    <row r="305" customFormat="false" ht="15" hidden="false" customHeight="false" outlineLevel="0" collapsed="false">
      <c r="A305" s="16" t="s">
        <v>3626</v>
      </c>
      <c r="B305" s="37" t="n">
        <f aca="false">SUMPRODUCT(($B$290:$N$290-$B$292:$N$292)*$B$294:$N$294/(1+stla_wacc_pretax_high_pct/100)^($B$296:$N$296/12))-SUMPRODUCT($B$291:$N$291*SIGN($B$294:$N$294)/(1+stla_wacc_pretax_high_pct/100)^($B$284:$N$284/12))</f>
        <v>-20.6676808422874</v>
      </c>
    </row>
    <row r="306" customFormat="false" ht="15" hidden="false" customHeight="false" outlineLevel="0" collapsed="false">
      <c r="A306" s="16" t="s">
        <v>3627</v>
      </c>
      <c r="B306" s="37" t="n">
        <f aca="false">SUMPRODUCT(($B$290:$N$290-$B$292:$N$292)*$B$294:$N$294/(1+stla_wacc_pretax_low_pct/100)^($B$296:$N$296/12))-SUMPRODUCT($B$291:$N$291*SIGN($B$294:$N$294)/(1+stla_wacc_pretax_low_pct/100)^($B$284:$N$284/12))</f>
        <v>-17.8389843297044</v>
      </c>
    </row>
    <row r="307" customFormat="false" ht="15" hidden="false" customHeight="false" outlineLevel="0" collapsed="false">
      <c r="A307" s="16" t="s">
        <v>3628</v>
      </c>
      <c r="B307" s="37" t="n">
        <f aca="false">SUMPRODUCT(($B$290:$N$290-$B$292:$N$292)*$B$293:$N$293/(1+stla_wacc_pretax_high_pct/100)^($B$295:$N$295/12))-SUMPRODUCT($B$291:$N$291*SIGN($B$293:$N$293)/(1+stla_wacc_pretax_high_pct/100)^($B$284:$N$284/12))</f>
        <v>-8.6862802732572</v>
      </c>
    </row>
    <row r="308" customFormat="false" ht="15" hidden="false" customHeight="false" outlineLevel="0" collapsed="false">
      <c r="A308" s="16" t="s">
        <v>3629</v>
      </c>
      <c r="B308" s="37" t="n">
        <f aca="false">SUMPRODUCT(($B$290:$N$290-$B$292:$N$292)*$B$293:$N$293/(1+stla_wacc_pretax_low_pct/100)^($B$295:$N$295/12))-SUMPRODUCT($B$291:$N$291*SIGN($B$293:$N$293)/(1+stla_wacc_pretax_low_pct/100)^($B$284:$N$284/12))</f>
        <v>4.04081950611305</v>
      </c>
    </row>
    <row r="310" customFormat="false" ht="26.85" hidden="false" customHeight="false" outlineLevel="0" collapsed="false">
      <c r="A310" s="4" t="s">
        <v>3645</v>
      </c>
      <c r="B310" s="4" t="s">
        <v>3580</v>
      </c>
      <c r="C310" s="4" t="s">
        <v>3561</v>
      </c>
      <c r="D310" s="4" t="s">
        <v>3564</v>
      </c>
      <c r="E310" s="4" t="s">
        <v>3572</v>
      </c>
      <c r="F310" s="4" t="s">
        <v>3581</v>
      </c>
      <c r="G310" s="4" t="s">
        <v>3582</v>
      </c>
      <c r="H310" s="4" t="s">
        <v>3583</v>
      </c>
      <c r="I310" s="4" t="s">
        <v>3584</v>
      </c>
      <c r="J310" s="4" t="s">
        <v>3585</v>
      </c>
      <c r="K310" s="4" t="s">
        <v>3586</v>
      </c>
      <c r="L310" s="4" t="s">
        <v>3587</v>
      </c>
      <c r="M310" s="4" t="s">
        <v>3588</v>
      </c>
      <c r="N310" s="4" t="s">
        <v>3589</v>
      </c>
    </row>
    <row r="311" customFormat="false" ht="15" hidden="false" customHeight="false" outlineLevel="0" collapsed="false">
      <c r="A311" s="0" t="s">
        <v>3609</v>
      </c>
      <c r="B311" s="22" t="n">
        <v>0</v>
      </c>
      <c r="C311" s="22" t="n">
        <f aca="false">B311+B312</f>
        <v>6</v>
      </c>
      <c r="D311" s="22" t="n">
        <f aca="false">C311+C312</f>
        <v>12</v>
      </c>
      <c r="E311" s="22" t="n">
        <f aca="false">D311+D312</f>
        <v>18</v>
      </c>
      <c r="F311" s="22" t="n">
        <f aca="false">E311+E312</f>
        <v>24</v>
      </c>
      <c r="G311" s="22" t="n">
        <f aca="false">F311+F312</f>
        <v>36</v>
      </c>
      <c r="H311" s="22" t="n">
        <f aca="false">G311+G312</f>
        <v>48</v>
      </c>
      <c r="I311" s="22" t="n">
        <f aca="false">H311+H312</f>
        <v>60</v>
      </c>
      <c r="J311" s="22" t="n">
        <f aca="false">I311+I312</f>
        <v>72</v>
      </c>
      <c r="K311" s="22" t="n">
        <f aca="false">J311+J312</f>
        <v>84</v>
      </c>
      <c r="L311" s="22" t="n">
        <f aca="false">K311+K312</f>
        <v>96</v>
      </c>
      <c r="M311" s="22" t="n">
        <f aca="false">L311+L312</f>
        <v>108</v>
      </c>
      <c r="N311" s="22" t="n">
        <f aca="false">M311+M312</f>
        <v>120</v>
      </c>
    </row>
    <row r="312" customFormat="false" ht="15" hidden="false" customHeight="false" outlineLevel="0" collapsed="false">
      <c r="A312" s="0" t="s">
        <v>3610</v>
      </c>
      <c r="B312" s="22" t="n">
        <f aca="false">$D$22</f>
        <v>6</v>
      </c>
      <c r="C312" s="22" t="n">
        <f aca="false">$D$22</f>
        <v>6</v>
      </c>
      <c r="D312" s="22" t="n">
        <f aca="false">$D$22</f>
        <v>6</v>
      </c>
      <c r="E312" s="22" t="n">
        <f aca="false">$D$22</f>
        <v>6</v>
      </c>
      <c r="F312" s="22" t="n">
        <f aca="false">12</f>
        <v>12</v>
      </c>
      <c r="G312" s="22" t="n">
        <f aca="false">12</f>
        <v>12</v>
      </c>
      <c r="H312" s="22" t="n">
        <f aca="false">12</f>
        <v>12</v>
      </c>
      <c r="I312" s="22" t="n">
        <f aca="false">12</f>
        <v>12</v>
      </c>
      <c r="J312" s="22" t="n">
        <f aca="false">12</f>
        <v>12</v>
      </c>
      <c r="K312" s="22" t="n">
        <f aca="false">12</f>
        <v>12</v>
      </c>
      <c r="L312" s="22" t="n">
        <f aca="false">12</f>
        <v>12</v>
      </c>
      <c r="M312" s="22" t="n">
        <f aca="false">12</f>
        <v>12</v>
      </c>
      <c r="N312" s="22" t="n">
        <f aca="false">12</f>
        <v>12</v>
      </c>
    </row>
    <row r="313" customFormat="false" ht="15" hidden="false" customHeight="false" outlineLevel="0" collapsed="false">
      <c r="A313" s="0" t="s">
        <v>3559</v>
      </c>
      <c r="B313" s="34" t="n">
        <v>0</v>
      </c>
      <c r="C313" s="34" t="n">
        <f aca="false">$B$22*$D$6*C$16*C312/12</f>
        <v>3.2874281325</v>
      </c>
      <c r="D313" s="34" t="n">
        <f aca="false">$B$22*$D$6*D$16*D312/12</f>
        <v>9.4645172925</v>
      </c>
      <c r="E313" s="34" t="n">
        <f aca="false">$B$22*$D$6*E$16*E312/12</f>
        <v>9.4645172925</v>
      </c>
      <c r="F313" s="34" t="n">
        <f aca="false">$B$22*$D$6*F$16*F312/12</f>
        <v>23.398065</v>
      </c>
      <c r="G313" s="34" t="n">
        <f aca="false">$B$22*$D$6*G$16*G312/12</f>
        <v>23.398065</v>
      </c>
      <c r="H313" s="34" t="n">
        <f aca="false">$B$22*$D$6*H$16*H312/12</f>
        <v>23.398065</v>
      </c>
      <c r="I313" s="34" t="n">
        <f aca="false">$B$22*$D$6*I$16*I312/12</f>
        <v>23.398065</v>
      </c>
      <c r="J313" s="34" t="n">
        <f aca="false">$B$22*$D$6*J$16*J312/12</f>
        <v>23.398065</v>
      </c>
      <c r="K313" s="34" t="n">
        <f aca="false">$B$22*$D$6*K$16*K312/12</f>
        <v>23.398065</v>
      </c>
      <c r="L313" s="34" t="n">
        <f aca="false">$B$22*$D$6*L$16*L312/12</f>
        <v>23.398065</v>
      </c>
      <c r="M313" s="34" t="n">
        <f aca="false">$B$22*$D$6*M$16*M312/12</f>
        <v>23.398065</v>
      </c>
      <c r="N313" s="34" t="n">
        <f aca="false">$B$22*$D$6*N$16*N312/12</f>
        <v>23.398065</v>
      </c>
    </row>
    <row r="314" customFormat="false" ht="15" hidden="false" customHeight="false" outlineLevel="0" collapsed="false">
      <c r="A314" s="0" t="s">
        <v>3563</v>
      </c>
      <c r="B314" s="34" t="n">
        <v>0</v>
      </c>
      <c r="C314" s="34" t="n">
        <v>0</v>
      </c>
      <c r="D314" s="34" t="n">
        <f aca="false">$B$22*$D$7*D$16*D312/12</f>
        <v>15.68176926</v>
      </c>
      <c r="E314" s="34" t="n">
        <f aca="false">$B$22*$D$7*E$16*E312/12</f>
        <v>15.68176926</v>
      </c>
      <c r="F314" s="34" t="n">
        <f aca="false">$B$22*$D$7*F$16*F312/12</f>
        <v>38.76828</v>
      </c>
      <c r="G314" s="34" t="n">
        <f aca="false">$B$22*$D$7*G$16*G312/12</f>
        <v>38.76828</v>
      </c>
      <c r="H314" s="34" t="n">
        <f aca="false">$B$22*$D$7*H$16*H312/12</f>
        <v>38.76828</v>
      </c>
      <c r="I314" s="34" t="n">
        <f aca="false">$B$22*$D$7*I$16*I312/12</f>
        <v>38.76828</v>
      </c>
      <c r="J314" s="34" t="n">
        <f aca="false">$B$22*$D$7*J$16*J312/12</f>
        <v>38.76828</v>
      </c>
      <c r="K314" s="34" t="n">
        <f aca="false">$B$22*$D$7*K$16*K312/12</f>
        <v>38.76828</v>
      </c>
      <c r="L314" s="34" t="n">
        <f aca="false">$B$22*$D$7*L$16*L312/12</f>
        <v>38.76828</v>
      </c>
      <c r="M314" s="34" t="n">
        <f aca="false">$B$22*$D$7*M$16*M312/12</f>
        <v>38.76828</v>
      </c>
      <c r="N314" s="34" t="n">
        <f aca="false">$B$22*$D$7*N$16*N312/12</f>
        <v>38.76828</v>
      </c>
    </row>
    <row r="315" customFormat="false" ht="15" hidden="false" customHeight="false" outlineLevel="0" collapsed="false">
      <c r="A315" s="0" t="s">
        <v>3566</v>
      </c>
      <c r="B315" s="34" t="n">
        <v>0</v>
      </c>
      <c r="C315" s="34" t="n">
        <v>0</v>
      </c>
      <c r="D315" s="34" t="n">
        <f aca="false">$B$22*$D$8*D$16*D312/12</f>
        <v>6.597763095</v>
      </c>
      <c r="E315" s="34" t="n">
        <f aca="false">$B$22*$D$8*E$16*E312/12</f>
        <v>6.597763095</v>
      </c>
      <c r="F315" s="34" t="n">
        <f aca="false">$B$22*$D$8*F$16*F312/12</f>
        <v>16.31091</v>
      </c>
      <c r="G315" s="34" t="n">
        <f aca="false">$B$22*$D$8*G$16*G312/12</f>
        <v>16.31091</v>
      </c>
      <c r="H315" s="34" t="n">
        <f aca="false">$B$22*$D$8*H$16*H312/12</f>
        <v>16.31091</v>
      </c>
      <c r="I315" s="34" t="n">
        <f aca="false">$B$22*$D$8*I$16*I312/12</f>
        <v>16.31091</v>
      </c>
      <c r="J315" s="34" t="n">
        <f aca="false">$B$22*$D$8*J$16*J312/12</f>
        <v>16.31091</v>
      </c>
      <c r="K315" s="34" t="n">
        <f aca="false">$B$22*$D$8*K$16*K312/12</f>
        <v>16.31091</v>
      </c>
      <c r="L315" s="34" t="n">
        <f aca="false">$B$22*$D$8*L$16*L312/12</f>
        <v>16.31091</v>
      </c>
      <c r="M315" s="34" t="n">
        <f aca="false">$B$22*$D$8*M$16*M312/12</f>
        <v>16.31091</v>
      </c>
      <c r="N315" s="34" t="n">
        <f aca="false">$B$22*$D$8*N$16*N312/12</f>
        <v>16.31091</v>
      </c>
    </row>
    <row r="316" customFormat="false" ht="15" hidden="false" customHeight="false" outlineLevel="0" collapsed="false">
      <c r="A316" s="0" t="s">
        <v>3568</v>
      </c>
      <c r="B316" s="34" t="n">
        <v>0</v>
      </c>
      <c r="C316" s="34" t="n">
        <v>0</v>
      </c>
      <c r="D316" s="34" t="n">
        <f aca="false">$B$22*$D$9*D$16*D312/12</f>
        <v>3.4385736</v>
      </c>
      <c r="E316" s="34" t="n">
        <f aca="false">$B$22*$D$9*E$16*E312/12</f>
        <v>3.4385736</v>
      </c>
      <c r="F316" s="34" t="n">
        <f aca="false">$B$22*$D$9*F$16*F312/12</f>
        <v>8.5008</v>
      </c>
      <c r="G316" s="34" t="n">
        <f aca="false">$B$22*$D$9*G$16*G312/12</f>
        <v>8.5008</v>
      </c>
      <c r="H316" s="34" t="n">
        <f aca="false">$B$22*$D$9*H$16*H312/12</f>
        <v>8.5008</v>
      </c>
      <c r="I316" s="34" t="n">
        <f aca="false">$B$22*$D$9*I$16*I312/12</f>
        <v>8.5008</v>
      </c>
      <c r="J316" s="34" t="n">
        <f aca="false">$B$22*$D$9*J$16*J312/12</f>
        <v>8.5008</v>
      </c>
      <c r="K316" s="34" t="n">
        <f aca="false">$B$22*$D$9*K$16*K312/12</f>
        <v>8.5008</v>
      </c>
      <c r="L316" s="34" t="n">
        <f aca="false">$B$22*$D$9*L$16*L312/12</f>
        <v>8.5008</v>
      </c>
      <c r="M316" s="34" t="n">
        <f aca="false">$B$22*$D$9*M$16*M312/12</f>
        <v>8.5008</v>
      </c>
      <c r="N316" s="34" t="n">
        <f aca="false">$B$22*$D$9*N$16*N312/12</f>
        <v>8.5008</v>
      </c>
    </row>
    <row r="317" customFormat="false" ht="15" hidden="false" customHeight="false" outlineLevel="0" collapsed="false">
      <c r="A317" s="0" t="s">
        <v>3611</v>
      </c>
      <c r="B317" s="34" t="n">
        <f aca="false">SUM(B313:B316)</f>
        <v>0</v>
      </c>
      <c r="C317" s="34" t="n">
        <f aca="false">SUM(C313:C316)</f>
        <v>3.2874281325</v>
      </c>
      <c r="D317" s="34" t="n">
        <f aca="false">SUM(D313:D316)</f>
        <v>35.1826232475</v>
      </c>
      <c r="E317" s="34" t="n">
        <f aca="false">SUM(E313:E316)</f>
        <v>35.1826232475</v>
      </c>
      <c r="F317" s="34" t="n">
        <f aca="false">SUM(F313:F316)</f>
        <v>86.978055</v>
      </c>
      <c r="G317" s="34" t="n">
        <f aca="false">SUM(G313:G316)</f>
        <v>86.978055</v>
      </c>
      <c r="H317" s="34" t="n">
        <f aca="false">SUM(H313:H316)</f>
        <v>86.978055</v>
      </c>
      <c r="I317" s="34" t="n">
        <f aca="false">SUM(I313:I316)</f>
        <v>86.978055</v>
      </c>
      <c r="J317" s="34" t="n">
        <f aca="false">SUM(J313:J316)</f>
        <v>86.978055</v>
      </c>
      <c r="K317" s="34" t="n">
        <f aca="false">SUM(K313:K316)</f>
        <v>86.978055</v>
      </c>
      <c r="L317" s="34" t="n">
        <f aca="false">SUM(L313:L316)</f>
        <v>86.978055</v>
      </c>
      <c r="M317" s="34" t="n">
        <f aca="false">SUM(M313:M316)</f>
        <v>86.978055</v>
      </c>
      <c r="N317" s="34" t="n">
        <f aca="false">SUM(N313:N316)</f>
        <v>86.978055</v>
      </c>
    </row>
    <row r="318" customFormat="false" ht="15" hidden="false" customHeight="false" outlineLevel="0" collapsed="false">
      <c r="A318" s="0" t="s">
        <v>3612</v>
      </c>
      <c r="B318" s="34" t="n">
        <f aca="false">$C$22*'Programme cost'!$B$51</f>
        <v>3.94280091943421</v>
      </c>
      <c r="C318" s="34" t="n">
        <f aca="false">$C$22*'Programme cost'!$C$51</f>
        <v>3.92510212914987</v>
      </c>
      <c r="D318" s="34" t="n">
        <f aca="false">$C$22*'Programme cost'!$D$51</f>
        <v>4.25720725975217</v>
      </c>
      <c r="E318" s="34" t="n">
        <f aca="false">$C$22*'Programme cost'!$E$51</f>
        <v>3.12016501636564</v>
      </c>
      <c r="F318" s="34" t="n">
        <v>0</v>
      </c>
      <c r="G318" s="34" t="n">
        <v>0</v>
      </c>
      <c r="H318" s="34" t="n">
        <v>0</v>
      </c>
      <c r="I318" s="34" t="n">
        <v>0</v>
      </c>
      <c r="J318" s="34" t="n">
        <v>0</v>
      </c>
      <c r="K318" s="34" t="n">
        <v>0</v>
      </c>
      <c r="L318" s="34" t="n">
        <v>0</v>
      </c>
      <c r="M318" s="34" t="n">
        <v>0</v>
      </c>
      <c r="N318" s="34" t="n">
        <v>0</v>
      </c>
    </row>
    <row r="319" customFormat="false" ht="15" hidden="false" customHeight="false" outlineLevel="0" collapsed="false">
      <c r="A319" s="0" t="s">
        <v>3613</v>
      </c>
      <c r="B319" s="34" t="n">
        <v>0</v>
      </c>
      <c r="C319" s="34" t="n">
        <v>0</v>
      </c>
      <c r="D319" s="34" t="n">
        <v>0</v>
      </c>
      <c r="E319" s="34" t="n">
        <v>0</v>
      </c>
      <c r="F319" s="34" t="n">
        <f aca="false">run_cost_eur_m_year*F312/12</f>
        <v>5</v>
      </c>
      <c r="G319" s="34" t="n">
        <f aca="false">run_cost_eur_m_year*G312/12</f>
        <v>5</v>
      </c>
      <c r="H319" s="34" t="n">
        <f aca="false">run_cost_eur_m_year*H312/12</f>
        <v>5</v>
      </c>
      <c r="I319" s="34" t="n">
        <f aca="false">run_cost_eur_m_year*I312/12</f>
        <v>5</v>
      </c>
      <c r="J319" s="34" t="n">
        <f aca="false">run_cost_eur_m_year*J312/12</f>
        <v>5</v>
      </c>
      <c r="K319" s="34" t="n">
        <f aca="false">run_cost_eur_m_year*K312/12</f>
        <v>5</v>
      </c>
      <c r="L319" s="34" t="n">
        <f aca="false">run_cost_eur_m_year*L312/12</f>
        <v>5</v>
      </c>
      <c r="M319" s="34" t="n">
        <f aca="false">run_cost_eur_m_year*M312/12</f>
        <v>5</v>
      </c>
      <c r="N319" s="34" t="n">
        <f aca="false">run_cost_eur_m_year*N312/12</f>
        <v>5</v>
      </c>
    </row>
    <row r="320" customFormat="false" ht="15" hidden="false" customHeight="false" outlineLevel="0" collapsed="false">
      <c r="A320" s="0" t="s">
        <v>3614</v>
      </c>
      <c r="B320" s="18" t="n">
        <f aca="false">MAX(0,MIN(1,($B$18-B311)/B312))</f>
        <v>1</v>
      </c>
      <c r="C320" s="18" t="n">
        <f aca="false">MAX(0,MIN(1,($B$18-C311)/C312))</f>
        <v>1</v>
      </c>
      <c r="D320" s="18" t="n">
        <f aca="false">MAX(0,MIN(1,($B$18-D311)/D312))</f>
        <v>1</v>
      </c>
      <c r="E320" s="18" t="n">
        <f aca="false">MAX(0,MIN(1,($B$18-E311)/E312))</f>
        <v>1</v>
      </c>
      <c r="F320" s="18" t="n">
        <f aca="false">MAX(0,MIN(1,($B$18-F311)/F312))</f>
        <v>1</v>
      </c>
      <c r="G320" s="18" t="n">
        <f aca="false">MAX(0,MIN(1,($B$18-G311)/G312))</f>
        <v>1</v>
      </c>
      <c r="H320" s="18" t="n">
        <f aca="false">MAX(0,MIN(1,($B$18-H311)/H312))</f>
        <v>1</v>
      </c>
      <c r="I320" s="18" t="n">
        <f aca="false">MAX(0,MIN(1,($B$18-I311)/I312))</f>
        <v>1</v>
      </c>
      <c r="J320" s="18" t="n">
        <f aca="false">MAX(0,MIN(1,($B$18-J311)/J312))</f>
        <v>1</v>
      </c>
      <c r="K320" s="18" t="n">
        <f aca="false">MAX(0,MIN(1,($B$18-K311)/K312))</f>
        <v>1</v>
      </c>
      <c r="L320" s="18" t="n">
        <f aca="false">MAX(0,MIN(1,($B$18-L311)/L312))</f>
        <v>1</v>
      </c>
      <c r="M320" s="18" t="n">
        <f aca="false">MAX(0,MIN(1,($B$18-M311)/M312))</f>
        <v>1</v>
      </c>
      <c r="N320" s="18" t="n">
        <f aca="false">MAX(0,MIN(1,($B$18-N311)/N312))</f>
        <v>0</v>
      </c>
    </row>
    <row r="321" customFormat="false" ht="15" hidden="false" customHeight="false" outlineLevel="0" collapsed="false">
      <c r="A321" s="0" t="s">
        <v>3615</v>
      </c>
      <c r="B321" s="18" t="n">
        <f aca="false">MAX(0,MIN(1,($B$17-B311)/B312))</f>
        <v>1</v>
      </c>
      <c r="C321" s="18" t="n">
        <f aca="false">MAX(0,MIN(1,($B$17-C311)/C312))</f>
        <v>1</v>
      </c>
      <c r="D321" s="18" t="n">
        <f aca="false">MAX(0,MIN(1,($B$17-D311)/D312))</f>
        <v>1</v>
      </c>
      <c r="E321" s="18" t="n">
        <f aca="false">MAX(0,MIN(1,($B$17-E311)/E312))</f>
        <v>1</v>
      </c>
      <c r="F321" s="18" t="n">
        <f aca="false">MAX(0,MIN(1,($B$17-F311)/F312))</f>
        <v>1</v>
      </c>
      <c r="G321" s="18" t="n">
        <f aca="false">MAX(0,MIN(1,($B$17-G311)/G312))</f>
        <v>1</v>
      </c>
      <c r="H321" s="18" t="n">
        <f aca="false">MAX(0,MIN(1,($B$17-H311)/H312))</f>
        <v>1</v>
      </c>
      <c r="I321" s="18" t="n">
        <f aca="false">MAX(0,MIN(1,($B$17-I311)/I312))</f>
        <v>0</v>
      </c>
      <c r="J321" s="18" t="n">
        <f aca="false">MAX(0,MIN(1,($B$17-J311)/J312))</f>
        <v>0</v>
      </c>
      <c r="K321" s="18" t="n">
        <f aca="false">MAX(0,MIN(1,($B$17-K311)/K312))</f>
        <v>0</v>
      </c>
      <c r="L321" s="18" t="n">
        <f aca="false">MAX(0,MIN(1,($B$17-L311)/L312))</f>
        <v>0</v>
      </c>
      <c r="M321" s="18" t="n">
        <f aca="false">MAX(0,MIN(1,($B$17-M311)/M312))</f>
        <v>0</v>
      </c>
      <c r="N321" s="18" t="n">
        <f aca="false">MAX(0,MIN(1,($B$17-N311)/N312))</f>
        <v>0</v>
      </c>
    </row>
    <row r="322" customFormat="false" ht="15" hidden="false" customHeight="false" outlineLevel="0" collapsed="false">
      <c r="A322" s="0" t="s">
        <v>3616</v>
      </c>
      <c r="B322" s="22" t="n">
        <f aca="false">B311+B312*B320/2</f>
        <v>3</v>
      </c>
      <c r="C322" s="22" t="n">
        <f aca="false">C311+C312*C320/2</f>
        <v>9</v>
      </c>
      <c r="D322" s="22" t="n">
        <f aca="false">D311+D312*D320/2</f>
        <v>15</v>
      </c>
      <c r="E322" s="22" t="n">
        <f aca="false">E311+E312*E320/2</f>
        <v>21</v>
      </c>
      <c r="F322" s="22" t="n">
        <f aca="false">F311+F312*F320/2</f>
        <v>30</v>
      </c>
      <c r="G322" s="22" t="n">
        <f aca="false">G311+G312*G320/2</f>
        <v>42</v>
      </c>
      <c r="H322" s="22" t="n">
        <f aca="false">H311+H312*H320/2</f>
        <v>54</v>
      </c>
      <c r="I322" s="22" t="n">
        <f aca="false">I311+I312*I320/2</f>
        <v>66</v>
      </c>
      <c r="J322" s="22" t="n">
        <f aca="false">J311+J312*J320/2</f>
        <v>78</v>
      </c>
      <c r="K322" s="22" t="n">
        <f aca="false">K311+K312*K320/2</f>
        <v>90</v>
      </c>
      <c r="L322" s="22" t="n">
        <f aca="false">L311+L312*L320/2</f>
        <v>102</v>
      </c>
      <c r="M322" s="22" t="n">
        <f aca="false">M311+M312*M320/2</f>
        <v>114</v>
      </c>
      <c r="N322" s="22" t="n">
        <f aca="false">N311+N312*N320/2</f>
        <v>120</v>
      </c>
    </row>
    <row r="323" customFormat="false" ht="15" hidden="false" customHeight="false" outlineLevel="0" collapsed="false">
      <c r="A323" s="0" t="s">
        <v>3617</v>
      </c>
      <c r="B323" s="22" t="n">
        <f aca="false">B311+B312*B321/2</f>
        <v>3</v>
      </c>
      <c r="C323" s="22" t="n">
        <f aca="false">C311+C312*C321/2</f>
        <v>9</v>
      </c>
      <c r="D323" s="22" t="n">
        <f aca="false">D311+D312*D321/2</f>
        <v>15</v>
      </c>
      <c r="E323" s="22" t="n">
        <f aca="false">E311+E312*E321/2</f>
        <v>21</v>
      </c>
      <c r="F323" s="22" t="n">
        <f aca="false">F311+F312*F321/2</f>
        <v>30</v>
      </c>
      <c r="G323" s="22" t="n">
        <f aca="false">G311+G312*G321/2</f>
        <v>42</v>
      </c>
      <c r="H323" s="22" t="n">
        <f aca="false">H311+H312*H321/2</f>
        <v>54</v>
      </c>
      <c r="I323" s="22" t="n">
        <f aca="false">I311+I312*I321/2</f>
        <v>60</v>
      </c>
      <c r="J323" s="22" t="n">
        <f aca="false">J311+J312*J321/2</f>
        <v>72</v>
      </c>
      <c r="K323" s="22" t="n">
        <f aca="false">K311+K312*K321/2</f>
        <v>84</v>
      </c>
      <c r="L323" s="22" t="n">
        <f aca="false">L311+L312*L321/2</f>
        <v>96</v>
      </c>
      <c r="M323" s="22" t="n">
        <f aca="false">M311+M312*M321/2</f>
        <v>108</v>
      </c>
      <c r="N323" s="22" t="n">
        <f aca="false">N311+N312*N321/2</f>
        <v>120</v>
      </c>
    </row>
    <row r="324" customFormat="false" ht="15" hidden="false" customHeight="false" outlineLevel="0" collapsed="false">
      <c r="A324" s="0" t="s">
        <v>3618</v>
      </c>
      <c r="B324" s="34" t="n">
        <f aca="false">(B317-B319)*B320-B318*SIGN(B320)</f>
        <v>-3.94280091943421</v>
      </c>
      <c r="C324" s="34" t="n">
        <f aca="false">(C317-C319)*C320-C318*SIGN(C320)</f>
        <v>-0.637673996649866</v>
      </c>
      <c r="D324" s="34" t="n">
        <f aca="false">(D317-D319)*D320-D318*SIGN(D320)</f>
        <v>30.9254159877478</v>
      </c>
      <c r="E324" s="34" t="n">
        <f aca="false">(E317-E319)*E320-E318*SIGN(E320)</f>
        <v>32.0624582311344</v>
      </c>
      <c r="F324" s="34" t="n">
        <f aca="false">(F317-F319)*F320-F318*SIGN(F320)</f>
        <v>81.978055</v>
      </c>
      <c r="G324" s="34" t="n">
        <f aca="false">(G317-G319)*G320-G318*SIGN(G320)</f>
        <v>81.978055</v>
      </c>
      <c r="H324" s="34" t="n">
        <f aca="false">(H317-H319)*H320-H318*SIGN(H320)</f>
        <v>81.978055</v>
      </c>
      <c r="I324" s="34" t="n">
        <f aca="false">(I317-I319)*I320-I318*SIGN(I320)</f>
        <v>81.978055</v>
      </c>
      <c r="J324" s="34" t="n">
        <f aca="false">(J317-J319)*J320-J318*SIGN(J320)</f>
        <v>81.978055</v>
      </c>
      <c r="K324" s="34" t="n">
        <f aca="false">(K317-K319)*K320-K318*SIGN(K320)</f>
        <v>81.978055</v>
      </c>
      <c r="L324" s="34" t="n">
        <f aca="false">(L317-L319)*L320-L318*SIGN(L320)</f>
        <v>81.978055</v>
      </c>
      <c r="M324" s="34" t="n">
        <f aca="false">(M317-M319)*M320-M318*SIGN(M320)</f>
        <v>81.978055</v>
      </c>
      <c r="N324" s="34" t="n">
        <f aca="false">(N317-N319)*N320-N318*SIGN(N320)</f>
        <v>0</v>
      </c>
    </row>
    <row r="325" customFormat="false" ht="15" hidden="false" customHeight="false" outlineLevel="0" collapsed="false">
      <c r="A325" s="0" t="s">
        <v>3619</v>
      </c>
      <c r="B325" s="34" t="n">
        <f aca="false">B324</f>
        <v>-3.94280091943421</v>
      </c>
      <c r="C325" s="34" t="n">
        <f aca="false">B325+C324</f>
        <v>-4.58047491608408</v>
      </c>
      <c r="D325" s="34" t="n">
        <f aca="false">C325+D324</f>
        <v>26.3449410716638</v>
      </c>
      <c r="E325" s="34" t="n">
        <f aca="false">D325+E324</f>
        <v>58.4073993027981</v>
      </c>
      <c r="F325" s="34" t="n">
        <f aca="false">E325+F324</f>
        <v>140.385454302798</v>
      </c>
      <c r="G325" s="34" t="n">
        <f aca="false">F325+G324</f>
        <v>222.363509302798</v>
      </c>
      <c r="H325" s="34" t="n">
        <f aca="false">G325+H324</f>
        <v>304.341564302798</v>
      </c>
      <c r="I325" s="34" t="n">
        <f aca="false">H325+I324</f>
        <v>386.319619302798</v>
      </c>
      <c r="J325" s="34" t="n">
        <f aca="false">I325+J324</f>
        <v>468.297674302798</v>
      </c>
      <c r="K325" s="34" t="n">
        <f aca="false">J325+K324</f>
        <v>550.275729302798</v>
      </c>
      <c r="L325" s="34" t="n">
        <f aca="false">K325+L324</f>
        <v>632.253784302798</v>
      </c>
      <c r="M325" s="34" t="n">
        <f aca="false">L325+M324</f>
        <v>714.231839302798</v>
      </c>
      <c r="N325" s="34" t="n">
        <f aca="false">M325+N324</f>
        <v>714.231839302798</v>
      </c>
    </row>
    <row r="326" customFormat="false" ht="15" hidden="false" customHeight="false" outlineLevel="0" collapsed="false">
      <c r="A326" s="0" t="s">
        <v>3620</v>
      </c>
      <c r="B326" s="22" t="str">
        <f aca="false">IF(AND((-B318*SIGN(B320))&lt;0,(-B318*SIGN(B320))+((B317-B319)*B320)&gt;=0,((B317-B319)*B320)&gt;0),B311+B312*B320*(-(-B318*SIGN(B320)))/((B317-B319)*B320),"-")</f>
        <v>-</v>
      </c>
      <c r="C326" s="22" t="str">
        <f aca="false">IF(AND((B325-C318*SIGN(C320))&lt;0,(B325-C318*SIGN(C320))+((C317-C319)*C320)&gt;=0,((C317-C319)*C320)&gt;0),C311+C312*C320*(-(B325-C318*SIGN(C320)))/((C317-C319)*C320),"-")</f>
        <v>-</v>
      </c>
      <c r="D326" s="22" t="n">
        <f aca="false">IF(AND((C325-D318*SIGN(D320))&lt;0,(C325-D318*SIGN(D320))+((D317-D319)*D320)&gt;=0,((D317-D319)*D320)&gt;0),D311+D312*D320*(-(C325-D318*SIGN(D320)))/((D317-D319)*D320),"-")</f>
        <v>13.5071671228718</v>
      </c>
      <c r="E326" s="22" t="str">
        <f aca="false">IF(AND((D325-E318*SIGN(E320))&lt;0,(D325-E318*SIGN(E320))+((E317-E319)*E320)&gt;=0,((E317-E319)*E320)&gt;0),E311+E312*E320*(-(D325-E318*SIGN(E320)))/((E317-E319)*E320),"-")</f>
        <v>-</v>
      </c>
      <c r="F326" s="22" t="str">
        <f aca="false">IF(AND((E325-F318*SIGN(F320))&lt;0,(E325-F318*SIGN(F320))+((F317-F319)*F320)&gt;=0,((F317-F319)*F320)&gt;0),F311+F312*F320*(-(E325-F318*SIGN(F320)))/((F317-F319)*F320),"-")</f>
        <v>-</v>
      </c>
      <c r="G326" s="22" t="str">
        <f aca="false">IF(AND((F325-G318*SIGN(G320))&lt;0,(F325-G318*SIGN(G320))+((G317-G319)*G320)&gt;=0,((G317-G319)*G320)&gt;0),G311+G312*G320*(-(F325-G318*SIGN(G320)))/((G317-G319)*G320),"-")</f>
        <v>-</v>
      </c>
      <c r="H326" s="22" t="str">
        <f aca="false">IF(AND((G325-H318*SIGN(H320))&lt;0,(G325-H318*SIGN(H320))+((H317-H319)*H320)&gt;=0,((H317-H319)*H320)&gt;0),H311+H312*H320*(-(G325-H318*SIGN(H320)))/((H317-H319)*H320),"-")</f>
        <v>-</v>
      </c>
      <c r="I326" s="22" t="str">
        <f aca="false">IF(AND((H325-I318*SIGN(I320))&lt;0,(H325-I318*SIGN(I320))+((I317-I319)*I320)&gt;=0,((I317-I319)*I320)&gt;0),I311+I312*I320*(-(H325-I318*SIGN(I320)))/((I317-I319)*I320),"-")</f>
        <v>-</v>
      </c>
      <c r="J326" s="22" t="str">
        <f aca="false">IF(AND((I325-J318*SIGN(J320))&lt;0,(I325-J318*SIGN(J320))+((J317-J319)*J320)&gt;=0,((J317-J319)*J320)&gt;0),J311+J312*J320*(-(I325-J318*SIGN(J320)))/((J317-J319)*J320),"-")</f>
        <v>-</v>
      </c>
      <c r="K326" s="22" t="str">
        <f aca="false">IF(AND((J325-K318*SIGN(K320))&lt;0,(J325-K318*SIGN(K320))+((K317-K319)*K320)&gt;=0,((K317-K319)*K320)&gt;0),K311+K312*K320*(-(J325-K318*SIGN(K320)))/((K317-K319)*K320),"-")</f>
        <v>-</v>
      </c>
      <c r="L326" s="22" t="str">
        <f aca="false">IF(AND((K325-L318*SIGN(L320))&lt;0,(K325-L318*SIGN(L320))+((L317-L319)*L320)&gt;=0,((L317-L319)*L320)&gt;0),L311+L312*L320*(-(K325-L318*SIGN(L320)))/((L317-L319)*L320),"-")</f>
        <v>-</v>
      </c>
      <c r="M326" s="22" t="str">
        <f aca="false">IF(AND((L325-M318*SIGN(M320))&lt;0,(L325-M318*SIGN(M320))+((M317-M319)*M320)&gt;=0,((M317-M319)*M320)&gt;0),M311+M312*M320*(-(L325-M318*SIGN(M320)))/((M317-M319)*M320),"-")</f>
        <v>-</v>
      </c>
      <c r="N326" s="22" t="str">
        <f aca="false">IF(AND((M325-N318*SIGN(N320))&lt;0,(M325-N318*SIGN(N320))+((N317-N319)*N320)&gt;=0,((N317-N319)*N320)&gt;0),N311+N312*N320*(-(M325-N318*SIGN(N320)))/((N317-N319)*N320),"-")</f>
        <v>-</v>
      </c>
    </row>
    <row r="327" customFormat="false" ht="15" hidden="false" customHeight="false" outlineLevel="0" collapsed="false">
      <c r="A327" s="3" t="s">
        <v>3621</v>
      </c>
      <c r="B327" s="36" t="n">
        <f aca="false">IF(COUNT($B$326:$N$326)=0,"none within ten years",MIN($B$326:$N$326))</f>
        <v>13.5071671228718</v>
      </c>
    </row>
    <row r="328" customFormat="false" ht="15" hidden="false" customHeight="false" outlineLevel="0" collapsed="false">
      <c r="A328" s="16" t="s">
        <v>3622</v>
      </c>
      <c r="B328" s="37" t="n">
        <f aca="false">-B325</f>
        <v>3.94280091943421</v>
      </c>
    </row>
    <row r="329" customFormat="false" ht="15" hidden="false" customHeight="false" outlineLevel="0" collapsed="false">
      <c r="A329" s="16" t="s">
        <v>3623</v>
      </c>
      <c r="B329" s="37" t="n">
        <f aca="false">-C325</f>
        <v>4.58047491608408</v>
      </c>
    </row>
    <row r="330" customFormat="false" ht="15" hidden="false" customHeight="false" outlineLevel="0" collapsed="false">
      <c r="A330" s="16" t="s">
        <v>3624</v>
      </c>
      <c r="B330" s="37" t="n">
        <f aca="false">-D325</f>
        <v>-26.3449410716638</v>
      </c>
    </row>
    <row r="331" customFormat="false" ht="15" hidden="false" customHeight="false" outlineLevel="0" collapsed="false">
      <c r="A331" s="16" t="s">
        <v>3625</v>
      </c>
      <c r="B331" s="37" t="n">
        <f aca="false">-E325</f>
        <v>-58.4073993027981</v>
      </c>
    </row>
    <row r="332" customFormat="false" ht="15" hidden="false" customHeight="false" outlineLevel="0" collapsed="false">
      <c r="A332" s="16" t="s">
        <v>3626</v>
      </c>
      <c r="B332" s="37" t="n">
        <f aca="false">SUMPRODUCT(($B$317:$N$317-$B$319:$N$319)*$B$321:$N$321/(1+stla_wacc_pretax_high_pct/100)^($B$323:$N$323/12))-SUMPRODUCT($B$318:$N$318*SIGN($B$321:$N$321)/(1+stla_wacc_pretax_high_pct/100)^($B$311:$N$311/12))</f>
        <v>178.756339093591</v>
      </c>
    </row>
    <row r="333" customFormat="false" ht="15" hidden="false" customHeight="false" outlineLevel="0" collapsed="false">
      <c r="A333" s="16" t="s">
        <v>3627</v>
      </c>
      <c r="B333" s="37" t="n">
        <f aca="false">SUMPRODUCT(($B$317:$N$317-$B$319:$N$319)*$B$321:$N$321/(1+stla_wacc_pretax_low_pct/100)^($B$323:$N$323/12))-SUMPRODUCT($B$318:$N$318*SIGN($B$321:$N$321)/(1+stla_wacc_pretax_low_pct/100)^($B$311:$N$311/12))</f>
        <v>229.690496516739</v>
      </c>
    </row>
    <row r="334" customFormat="false" ht="15" hidden="false" customHeight="false" outlineLevel="0" collapsed="false">
      <c r="A334" s="16" t="s">
        <v>3628</v>
      </c>
      <c r="B334" s="37" t="n">
        <f aca="false">SUMPRODUCT(($B$317:$N$317-$B$319:$N$319)*$B$320:$N$320/(1+stla_wacc_pretax_high_pct/100)^($B$322:$N$322/12))-SUMPRODUCT($B$318:$N$318*SIGN($B$320:$N$320)/(1+stla_wacc_pretax_high_pct/100)^($B$311:$N$311/12))</f>
        <v>293.339793017199</v>
      </c>
    </row>
    <row r="335" customFormat="false" ht="15" hidden="false" customHeight="false" outlineLevel="0" collapsed="false">
      <c r="A335" s="16" t="s">
        <v>3629</v>
      </c>
      <c r="B335" s="37" t="n">
        <f aca="false">SUMPRODUCT(($B$317:$N$317-$B$319:$N$319)*$B$320:$N$320/(1+stla_wacc_pretax_low_pct/100)^($B$322:$N$322/12))-SUMPRODUCT($B$318:$N$318*SIGN($B$320:$N$320)/(1+stla_wacc_pretax_low_pct/100)^($B$311:$N$311/12))</f>
        <v>438.924546477369</v>
      </c>
    </row>
    <row r="337" customFormat="false" ht="26.85" hidden="false" customHeight="false" outlineLevel="0" collapsed="false">
      <c r="A337" s="4" t="s">
        <v>3646</v>
      </c>
      <c r="B337" s="4" t="s">
        <v>3580</v>
      </c>
      <c r="C337" s="4" t="s">
        <v>3561</v>
      </c>
      <c r="D337" s="4" t="s">
        <v>3564</v>
      </c>
      <c r="E337" s="4" t="s">
        <v>3572</v>
      </c>
      <c r="F337" s="4" t="s">
        <v>3581</v>
      </c>
      <c r="G337" s="4" t="s">
        <v>3582</v>
      </c>
      <c r="H337" s="4" t="s">
        <v>3583</v>
      </c>
      <c r="I337" s="4" t="s">
        <v>3584</v>
      </c>
      <c r="J337" s="4" t="s">
        <v>3585</v>
      </c>
      <c r="K337" s="4" t="s">
        <v>3586</v>
      </c>
      <c r="L337" s="4" t="s">
        <v>3587</v>
      </c>
      <c r="M337" s="4" t="s">
        <v>3588</v>
      </c>
      <c r="N337" s="4" t="s">
        <v>3589</v>
      </c>
    </row>
    <row r="338" customFormat="false" ht="15" hidden="false" customHeight="false" outlineLevel="0" collapsed="false">
      <c r="A338" s="0" t="s">
        <v>3609</v>
      </c>
      <c r="B338" s="22" t="n">
        <v>0</v>
      </c>
      <c r="C338" s="22" t="n">
        <f aca="false">B338+B339</f>
        <v>7.98</v>
      </c>
      <c r="D338" s="22" t="n">
        <f aca="false">C338+C339</f>
        <v>15.96</v>
      </c>
      <c r="E338" s="22" t="n">
        <f aca="false">D338+D339</f>
        <v>23.94</v>
      </c>
      <c r="F338" s="22" t="n">
        <f aca="false">E338+E339</f>
        <v>31.92</v>
      </c>
      <c r="G338" s="22" t="n">
        <f aca="false">F338+F339</f>
        <v>43.92</v>
      </c>
      <c r="H338" s="22" t="n">
        <f aca="false">G338+G339</f>
        <v>55.92</v>
      </c>
      <c r="I338" s="22" t="n">
        <f aca="false">H338+H339</f>
        <v>67.92</v>
      </c>
      <c r="J338" s="22" t="n">
        <f aca="false">I338+I339</f>
        <v>79.92</v>
      </c>
      <c r="K338" s="22" t="n">
        <f aca="false">J338+J339</f>
        <v>91.92</v>
      </c>
      <c r="L338" s="22" t="n">
        <f aca="false">K338+K339</f>
        <v>103.92</v>
      </c>
      <c r="M338" s="22" t="n">
        <f aca="false">L338+L339</f>
        <v>115.92</v>
      </c>
      <c r="N338" s="22" t="n">
        <f aca="false">M338+M339</f>
        <v>127.92</v>
      </c>
    </row>
    <row r="339" customFormat="false" ht="15" hidden="false" customHeight="false" outlineLevel="0" collapsed="false">
      <c r="A339" s="0" t="s">
        <v>3610</v>
      </c>
      <c r="B339" s="22" t="n">
        <f aca="false">$D$23</f>
        <v>7.98</v>
      </c>
      <c r="C339" s="22" t="n">
        <f aca="false">$D$23</f>
        <v>7.98</v>
      </c>
      <c r="D339" s="22" t="n">
        <f aca="false">$D$23</f>
        <v>7.98</v>
      </c>
      <c r="E339" s="22" t="n">
        <f aca="false">$D$23</f>
        <v>7.98</v>
      </c>
      <c r="F339" s="22" t="n">
        <f aca="false">12</f>
        <v>12</v>
      </c>
      <c r="G339" s="22" t="n">
        <f aca="false">12</f>
        <v>12</v>
      </c>
      <c r="H339" s="22" t="n">
        <f aca="false">12</f>
        <v>12</v>
      </c>
      <c r="I339" s="22" t="n">
        <f aca="false">12</f>
        <v>12</v>
      </c>
      <c r="J339" s="22" t="n">
        <f aca="false">12</f>
        <v>12</v>
      </c>
      <c r="K339" s="22" t="n">
        <f aca="false">12</f>
        <v>12</v>
      </c>
      <c r="L339" s="22" t="n">
        <f aca="false">12</f>
        <v>12</v>
      </c>
      <c r="M339" s="22" t="n">
        <f aca="false">12</f>
        <v>12</v>
      </c>
      <c r="N339" s="22" t="n">
        <f aca="false">12</f>
        <v>12</v>
      </c>
    </row>
    <row r="340" customFormat="false" ht="15" hidden="false" customHeight="false" outlineLevel="0" collapsed="false">
      <c r="A340" s="0" t="s">
        <v>3559</v>
      </c>
      <c r="B340" s="34" t="n">
        <v>0</v>
      </c>
      <c r="C340" s="34" t="n">
        <f aca="false">$B$23*$D$6*C$16*C339/12</f>
        <v>3.62899191546675</v>
      </c>
      <c r="D340" s="34" t="n">
        <f aca="false">$B$23*$D$6*D$16*D339/12</f>
        <v>10.4478806391908</v>
      </c>
      <c r="E340" s="34" t="n">
        <f aca="false">$B$23*$D$6*E$16*E339/12</f>
        <v>10.4478806391908</v>
      </c>
      <c r="F340" s="34" t="n">
        <f aca="false">$B$23*$D$6*F$16*F339/12</f>
        <v>19.42039395</v>
      </c>
      <c r="G340" s="34" t="n">
        <f aca="false">$B$23*$D$6*G$16*G339/12</f>
        <v>19.42039395</v>
      </c>
      <c r="H340" s="34" t="n">
        <f aca="false">$B$23*$D$6*H$16*H339/12</f>
        <v>19.42039395</v>
      </c>
      <c r="I340" s="34" t="n">
        <f aca="false">$B$23*$D$6*I$16*I339/12</f>
        <v>19.42039395</v>
      </c>
      <c r="J340" s="34" t="n">
        <f aca="false">$B$23*$D$6*J$16*J339/12</f>
        <v>19.42039395</v>
      </c>
      <c r="K340" s="34" t="n">
        <f aca="false">$B$23*$D$6*K$16*K339/12</f>
        <v>19.42039395</v>
      </c>
      <c r="L340" s="34" t="n">
        <f aca="false">$B$23*$D$6*L$16*L339/12</f>
        <v>19.42039395</v>
      </c>
      <c r="M340" s="34" t="n">
        <f aca="false">$B$23*$D$6*M$16*M339/12</f>
        <v>19.42039395</v>
      </c>
      <c r="N340" s="34" t="n">
        <f aca="false">$B$23*$D$6*N$16*N339/12</f>
        <v>19.42039395</v>
      </c>
    </row>
    <row r="341" customFormat="false" ht="15" hidden="false" customHeight="false" outlineLevel="0" collapsed="false">
      <c r="A341" s="0" t="s">
        <v>3563</v>
      </c>
      <c r="B341" s="34" t="n">
        <v>0</v>
      </c>
      <c r="C341" s="34" t="n">
        <v>0</v>
      </c>
      <c r="D341" s="34" t="n">
        <f aca="false">$B$23*$D$7*D$16*D339/12</f>
        <v>17.311105086114</v>
      </c>
      <c r="E341" s="34" t="n">
        <f aca="false">$B$23*$D$7*E$16*E339/12</f>
        <v>17.311105086114</v>
      </c>
      <c r="F341" s="34" t="n">
        <f aca="false">$B$23*$D$7*F$16*F339/12</f>
        <v>32.1776724</v>
      </c>
      <c r="G341" s="34" t="n">
        <f aca="false">$B$23*$D$7*G$16*G339/12</f>
        <v>32.1776724</v>
      </c>
      <c r="H341" s="34" t="n">
        <f aca="false">$B$23*$D$7*H$16*H339/12</f>
        <v>32.1776724</v>
      </c>
      <c r="I341" s="34" t="n">
        <f aca="false">$B$23*$D$7*I$16*I339/12</f>
        <v>32.1776724</v>
      </c>
      <c r="J341" s="34" t="n">
        <f aca="false">$B$23*$D$7*J$16*J339/12</f>
        <v>32.1776724</v>
      </c>
      <c r="K341" s="34" t="n">
        <f aca="false">$B$23*$D$7*K$16*K339/12</f>
        <v>32.1776724</v>
      </c>
      <c r="L341" s="34" t="n">
        <f aca="false">$B$23*$D$7*L$16*L339/12</f>
        <v>32.1776724</v>
      </c>
      <c r="M341" s="34" t="n">
        <f aca="false">$B$23*$D$7*M$16*M339/12</f>
        <v>32.1776724</v>
      </c>
      <c r="N341" s="34" t="n">
        <f aca="false">$B$23*$D$7*N$16*N339/12</f>
        <v>32.1776724</v>
      </c>
    </row>
    <row r="342" customFormat="false" ht="15" hidden="false" customHeight="false" outlineLevel="0" collapsed="false">
      <c r="A342" s="0" t="s">
        <v>3566</v>
      </c>
      <c r="B342" s="34" t="n">
        <v>0</v>
      </c>
      <c r="C342" s="34" t="n">
        <v>0</v>
      </c>
      <c r="D342" s="34" t="n">
        <f aca="false">$B$23*$D$8*D$16*D339/12</f>
        <v>7.2832706805705</v>
      </c>
      <c r="E342" s="34" t="n">
        <f aca="false">$B$23*$D$8*E$16*E339/12</f>
        <v>7.2832706805705</v>
      </c>
      <c r="F342" s="34" t="n">
        <f aca="false">$B$23*$D$8*F$16*F339/12</f>
        <v>13.5380553</v>
      </c>
      <c r="G342" s="34" t="n">
        <f aca="false">$B$23*$D$8*G$16*G339/12</f>
        <v>13.5380553</v>
      </c>
      <c r="H342" s="34" t="n">
        <f aca="false">$B$23*$D$8*H$16*H339/12</f>
        <v>13.5380553</v>
      </c>
      <c r="I342" s="34" t="n">
        <f aca="false">$B$23*$D$8*I$16*I339/12</f>
        <v>13.5380553</v>
      </c>
      <c r="J342" s="34" t="n">
        <f aca="false">$B$23*$D$8*J$16*J339/12</f>
        <v>13.5380553</v>
      </c>
      <c r="K342" s="34" t="n">
        <f aca="false">$B$23*$D$8*K$16*K339/12</f>
        <v>13.5380553</v>
      </c>
      <c r="L342" s="34" t="n">
        <f aca="false">$B$23*$D$8*L$16*L339/12</f>
        <v>13.5380553</v>
      </c>
      <c r="M342" s="34" t="n">
        <f aca="false">$B$23*$D$8*M$16*M339/12</f>
        <v>13.5380553</v>
      </c>
      <c r="N342" s="34" t="n">
        <f aca="false">$B$23*$D$8*N$16*N339/12</f>
        <v>13.5380553</v>
      </c>
    </row>
    <row r="343" customFormat="false" ht="15" hidden="false" customHeight="false" outlineLevel="0" collapsed="false">
      <c r="A343" s="0" t="s">
        <v>3568</v>
      </c>
      <c r="B343" s="34" t="n">
        <v>0</v>
      </c>
      <c r="C343" s="34" t="n">
        <v>0</v>
      </c>
      <c r="D343" s="34" t="n">
        <f aca="false">$B$23*$D$9*D$16*D339/12</f>
        <v>3.79584139704</v>
      </c>
      <c r="E343" s="34" t="n">
        <f aca="false">$B$23*$D$9*E$16*E339/12</f>
        <v>3.79584139704</v>
      </c>
      <c r="F343" s="34" t="n">
        <f aca="false">$B$23*$D$9*F$16*F339/12</f>
        <v>7.055664</v>
      </c>
      <c r="G343" s="34" t="n">
        <f aca="false">$B$23*$D$9*G$16*G339/12</f>
        <v>7.055664</v>
      </c>
      <c r="H343" s="34" t="n">
        <f aca="false">$B$23*$D$9*H$16*H339/12</f>
        <v>7.055664</v>
      </c>
      <c r="I343" s="34" t="n">
        <f aca="false">$B$23*$D$9*I$16*I339/12</f>
        <v>7.055664</v>
      </c>
      <c r="J343" s="34" t="n">
        <f aca="false">$B$23*$D$9*J$16*J339/12</f>
        <v>7.055664</v>
      </c>
      <c r="K343" s="34" t="n">
        <f aca="false">$B$23*$D$9*K$16*K339/12</f>
        <v>7.055664</v>
      </c>
      <c r="L343" s="34" t="n">
        <f aca="false">$B$23*$D$9*L$16*L339/12</f>
        <v>7.055664</v>
      </c>
      <c r="M343" s="34" t="n">
        <f aca="false">$B$23*$D$9*M$16*M339/12</f>
        <v>7.055664</v>
      </c>
      <c r="N343" s="34" t="n">
        <f aca="false">$B$23*$D$9*N$16*N339/12</f>
        <v>7.055664</v>
      </c>
    </row>
    <row r="344" customFormat="false" ht="15" hidden="false" customHeight="false" outlineLevel="0" collapsed="false">
      <c r="A344" s="0" t="s">
        <v>3611</v>
      </c>
      <c r="B344" s="34" t="n">
        <f aca="false">SUM(B340:B343)</f>
        <v>0</v>
      </c>
      <c r="C344" s="34" t="n">
        <f aca="false">SUM(C340:C343)</f>
        <v>3.62899191546675</v>
      </c>
      <c r="D344" s="34" t="n">
        <f aca="false">SUM(D340:D343)</f>
        <v>38.8380978029153</v>
      </c>
      <c r="E344" s="34" t="n">
        <f aca="false">SUM(E340:E343)</f>
        <v>38.8380978029153</v>
      </c>
      <c r="F344" s="34" t="n">
        <f aca="false">SUM(F340:F343)</f>
        <v>72.19178565</v>
      </c>
      <c r="G344" s="34" t="n">
        <f aca="false">SUM(G340:G343)</f>
        <v>72.19178565</v>
      </c>
      <c r="H344" s="34" t="n">
        <f aca="false">SUM(H340:H343)</f>
        <v>72.19178565</v>
      </c>
      <c r="I344" s="34" t="n">
        <f aca="false">SUM(I340:I343)</f>
        <v>72.19178565</v>
      </c>
      <c r="J344" s="34" t="n">
        <f aca="false">SUM(J340:J343)</f>
        <v>72.19178565</v>
      </c>
      <c r="K344" s="34" t="n">
        <f aca="false">SUM(K340:K343)</f>
        <v>72.19178565</v>
      </c>
      <c r="L344" s="34" t="n">
        <f aca="false">SUM(L340:L343)</f>
        <v>72.19178565</v>
      </c>
      <c r="M344" s="34" t="n">
        <f aca="false">SUM(M340:M343)</f>
        <v>72.19178565</v>
      </c>
      <c r="N344" s="34" t="n">
        <f aca="false">SUM(N340:N343)</f>
        <v>72.19178565</v>
      </c>
    </row>
    <row r="345" customFormat="false" ht="15" hidden="false" customHeight="false" outlineLevel="0" collapsed="false">
      <c r="A345" s="0" t="s">
        <v>3612</v>
      </c>
      <c r="B345" s="34" t="n">
        <f aca="false">$C$23*'Programme cost'!$B$51</f>
        <v>6.54504952626079</v>
      </c>
      <c r="C345" s="34" t="n">
        <f aca="false">$C$23*'Programme cost'!$C$51</f>
        <v>6.51566953438878</v>
      </c>
      <c r="D345" s="34" t="n">
        <f aca="false">$C$23*'Programme cost'!$D$51</f>
        <v>7.0669640511886</v>
      </c>
      <c r="E345" s="34" t="n">
        <f aca="false">$C$23*'Programme cost'!$E$51</f>
        <v>5.17947392716696</v>
      </c>
      <c r="F345" s="34" t="n">
        <v>0</v>
      </c>
      <c r="G345" s="34" t="n">
        <v>0</v>
      </c>
      <c r="H345" s="34" t="n">
        <v>0</v>
      </c>
      <c r="I345" s="34" t="n">
        <v>0</v>
      </c>
      <c r="J345" s="34" t="n">
        <v>0</v>
      </c>
      <c r="K345" s="34" t="n">
        <v>0</v>
      </c>
      <c r="L345" s="34" t="n">
        <v>0</v>
      </c>
      <c r="M345" s="34" t="n">
        <v>0</v>
      </c>
      <c r="N345" s="34" t="n">
        <v>0</v>
      </c>
    </row>
    <row r="346" customFormat="false" ht="15" hidden="false" customHeight="false" outlineLevel="0" collapsed="false">
      <c r="A346" s="0" t="s">
        <v>3613</v>
      </c>
      <c r="B346" s="34" t="n">
        <v>0</v>
      </c>
      <c r="C346" s="34" t="n">
        <v>0</v>
      </c>
      <c r="D346" s="34" t="n">
        <v>0</v>
      </c>
      <c r="E346" s="34" t="n">
        <v>0</v>
      </c>
      <c r="F346" s="34" t="n">
        <f aca="false">run_cost_eur_m_year*F339/12</f>
        <v>5</v>
      </c>
      <c r="G346" s="34" t="n">
        <f aca="false">run_cost_eur_m_year*G339/12</f>
        <v>5</v>
      </c>
      <c r="H346" s="34" t="n">
        <f aca="false">run_cost_eur_m_year*H339/12</f>
        <v>5</v>
      </c>
      <c r="I346" s="34" t="n">
        <f aca="false">run_cost_eur_m_year*I339/12</f>
        <v>5</v>
      </c>
      <c r="J346" s="34" t="n">
        <f aca="false">run_cost_eur_m_year*J339/12</f>
        <v>5</v>
      </c>
      <c r="K346" s="34" t="n">
        <f aca="false">run_cost_eur_m_year*K339/12</f>
        <v>5</v>
      </c>
      <c r="L346" s="34" t="n">
        <f aca="false">run_cost_eur_m_year*L339/12</f>
        <v>5</v>
      </c>
      <c r="M346" s="34" t="n">
        <f aca="false">run_cost_eur_m_year*M339/12</f>
        <v>5</v>
      </c>
      <c r="N346" s="34" t="n">
        <f aca="false">run_cost_eur_m_year*N339/12</f>
        <v>5</v>
      </c>
    </row>
    <row r="347" customFormat="false" ht="15" hidden="false" customHeight="false" outlineLevel="0" collapsed="false">
      <c r="A347" s="0" t="s">
        <v>3614</v>
      </c>
      <c r="B347" s="18" t="n">
        <f aca="false">MAX(0,MIN(1,($B$18-B338)/B339))</f>
        <v>1</v>
      </c>
      <c r="C347" s="18" t="n">
        <f aca="false">MAX(0,MIN(1,($B$18-C338)/C339))</f>
        <v>1</v>
      </c>
      <c r="D347" s="18" t="n">
        <f aca="false">MAX(0,MIN(1,($B$18-D338)/D339))</f>
        <v>1</v>
      </c>
      <c r="E347" s="18" t="n">
        <f aca="false">MAX(0,MIN(1,($B$18-E338)/E339))</f>
        <v>1</v>
      </c>
      <c r="F347" s="18" t="n">
        <f aca="false">MAX(0,MIN(1,($B$18-F338)/F339))</f>
        <v>1</v>
      </c>
      <c r="G347" s="18" t="n">
        <f aca="false">MAX(0,MIN(1,($B$18-G338)/G339))</f>
        <v>1</v>
      </c>
      <c r="H347" s="18" t="n">
        <f aca="false">MAX(0,MIN(1,($B$18-H338)/H339))</f>
        <v>1</v>
      </c>
      <c r="I347" s="18" t="n">
        <f aca="false">MAX(0,MIN(1,($B$18-I338)/I339))</f>
        <v>1</v>
      </c>
      <c r="J347" s="18" t="n">
        <f aca="false">MAX(0,MIN(1,($B$18-J338)/J339))</f>
        <v>1</v>
      </c>
      <c r="K347" s="18" t="n">
        <f aca="false">MAX(0,MIN(1,($B$18-K338)/K339))</f>
        <v>1</v>
      </c>
      <c r="L347" s="18" t="n">
        <f aca="false">MAX(0,MIN(1,($B$18-L338)/L339))</f>
        <v>1</v>
      </c>
      <c r="M347" s="18" t="n">
        <f aca="false">MAX(0,MIN(1,($B$18-M338)/M339))</f>
        <v>0.34</v>
      </c>
      <c r="N347" s="18" t="n">
        <f aca="false">MAX(0,MIN(1,($B$18-N338)/N339))</f>
        <v>0</v>
      </c>
    </row>
    <row r="348" customFormat="false" ht="15" hidden="false" customHeight="false" outlineLevel="0" collapsed="false">
      <c r="A348" s="0" t="s">
        <v>3615</v>
      </c>
      <c r="B348" s="18" t="n">
        <f aca="false">MAX(0,MIN(1,($B$17-B338)/B339))</f>
        <v>1</v>
      </c>
      <c r="C348" s="18" t="n">
        <f aca="false">MAX(0,MIN(1,($B$17-C338)/C339))</f>
        <v>1</v>
      </c>
      <c r="D348" s="18" t="n">
        <f aca="false">MAX(0,MIN(1,($B$17-D338)/D339))</f>
        <v>1</v>
      </c>
      <c r="E348" s="18" t="n">
        <f aca="false">MAX(0,MIN(1,($B$17-E338)/E339))</f>
        <v>1</v>
      </c>
      <c r="F348" s="18" t="n">
        <f aca="false">MAX(0,MIN(1,($B$17-F338)/F339))</f>
        <v>1</v>
      </c>
      <c r="G348" s="18" t="n">
        <f aca="false">MAX(0,MIN(1,($B$17-G338)/G339))</f>
        <v>1</v>
      </c>
      <c r="H348" s="18" t="n">
        <f aca="false">MAX(0,MIN(1,($B$17-H338)/H339))</f>
        <v>0.34</v>
      </c>
      <c r="I348" s="18" t="n">
        <f aca="false">MAX(0,MIN(1,($B$17-I338)/I339))</f>
        <v>0</v>
      </c>
      <c r="J348" s="18" t="n">
        <f aca="false">MAX(0,MIN(1,($B$17-J338)/J339))</f>
        <v>0</v>
      </c>
      <c r="K348" s="18" t="n">
        <f aca="false">MAX(0,MIN(1,($B$17-K338)/K339))</f>
        <v>0</v>
      </c>
      <c r="L348" s="18" t="n">
        <f aca="false">MAX(0,MIN(1,($B$17-L338)/L339))</f>
        <v>0</v>
      </c>
      <c r="M348" s="18" t="n">
        <f aca="false">MAX(0,MIN(1,($B$17-M338)/M339))</f>
        <v>0</v>
      </c>
      <c r="N348" s="18" t="n">
        <f aca="false">MAX(0,MIN(1,($B$17-N338)/N339))</f>
        <v>0</v>
      </c>
    </row>
    <row r="349" customFormat="false" ht="15" hidden="false" customHeight="false" outlineLevel="0" collapsed="false">
      <c r="A349" s="0" t="s">
        <v>3616</v>
      </c>
      <c r="B349" s="22" t="n">
        <f aca="false">B338+B339*B347/2</f>
        <v>3.99</v>
      </c>
      <c r="C349" s="22" t="n">
        <f aca="false">C338+C339*C347/2</f>
        <v>11.97</v>
      </c>
      <c r="D349" s="22" t="n">
        <f aca="false">D338+D339*D347/2</f>
        <v>19.95</v>
      </c>
      <c r="E349" s="22" t="n">
        <f aca="false">E338+E339*E347/2</f>
        <v>27.93</v>
      </c>
      <c r="F349" s="22" t="n">
        <f aca="false">F338+F339*F347/2</f>
        <v>37.92</v>
      </c>
      <c r="G349" s="22" t="n">
        <f aca="false">G338+G339*G347/2</f>
        <v>49.92</v>
      </c>
      <c r="H349" s="22" t="n">
        <f aca="false">H338+H339*H347/2</f>
        <v>61.92</v>
      </c>
      <c r="I349" s="22" t="n">
        <f aca="false">I338+I339*I347/2</f>
        <v>73.92</v>
      </c>
      <c r="J349" s="22" t="n">
        <f aca="false">J338+J339*J347/2</f>
        <v>85.92</v>
      </c>
      <c r="K349" s="22" t="n">
        <f aca="false">K338+K339*K347/2</f>
        <v>97.92</v>
      </c>
      <c r="L349" s="22" t="n">
        <f aca="false">L338+L339*L347/2</f>
        <v>109.92</v>
      </c>
      <c r="M349" s="22" t="n">
        <f aca="false">M338+M339*M347/2</f>
        <v>117.96</v>
      </c>
      <c r="N349" s="22" t="n">
        <f aca="false">N338+N339*N347/2</f>
        <v>127.92</v>
      </c>
    </row>
    <row r="350" customFormat="false" ht="15" hidden="false" customHeight="false" outlineLevel="0" collapsed="false">
      <c r="A350" s="0" t="s">
        <v>3617</v>
      </c>
      <c r="B350" s="22" t="n">
        <f aca="false">B338+B339*B348/2</f>
        <v>3.99</v>
      </c>
      <c r="C350" s="22" t="n">
        <f aca="false">C338+C339*C348/2</f>
        <v>11.97</v>
      </c>
      <c r="D350" s="22" t="n">
        <f aca="false">D338+D339*D348/2</f>
        <v>19.95</v>
      </c>
      <c r="E350" s="22" t="n">
        <f aca="false">E338+E339*E348/2</f>
        <v>27.93</v>
      </c>
      <c r="F350" s="22" t="n">
        <f aca="false">F338+F339*F348/2</f>
        <v>37.92</v>
      </c>
      <c r="G350" s="22" t="n">
        <f aca="false">G338+G339*G348/2</f>
        <v>49.92</v>
      </c>
      <c r="H350" s="22" t="n">
        <f aca="false">H338+H339*H348/2</f>
        <v>57.96</v>
      </c>
      <c r="I350" s="22" t="n">
        <f aca="false">I338+I339*I348/2</f>
        <v>67.92</v>
      </c>
      <c r="J350" s="22" t="n">
        <f aca="false">J338+J339*J348/2</f>
        <v>79.92</v>
      </c>
      <c r="K350" s="22" t="n">
        <f aca="false">K338+K339*K348/2</f>
        <v>91.92</v>
      </c>
      <c r="L350" s="22" t="n">
        <f aca="false">L338+L339*L348/2</f>
        <v>103.92</v>
      </c>
      <c r="M350" s="22" t="n">
        <f aca="false">M338+M339*M348/2</f>
        <v>115.92</v>
      </c>
      <c r="N350" s="22" t="n">
        <f aca="false">N338+N339*N348/2</f>
        <v>127.92</v>
      </c>
    </row>
    <row r="351" customFormat="false" ht="15" hidden="false" customHeight="false" outlineLevel="0" collapsed="false">
      <c r="A351" s="0" t="s">
        <v>3618</v>
      </c>
      <c r="B351" s="34" t="n">
        <f aca="false">(B344-B346)*B347-B345*SIGN(B347)</f>
        <v>-6.54504952626079</v>
      </c>
      <c r="C351" s="34" t="n">
        <f aca="false">(C344-C346)*C347-C345*SIGN(C347)</f>
        <v>-2.88667761892203</v>
      </c>
      <c r="D351" s="34" t="n">
        <f aca="false">(D344-D346)*D347-D345*SIGN(D347)</f>
        <v>31.7711337517267</v>
      </c>
      <c r="E351" s="34" t="n">
        <f aca="false">(E344-E346)*E347-E345*SIGN(E347)</f>
        <v>33.6586238757483</v>
      </c>
      <c r="F351" s="34" t="n">
        <f aca="false">(F344-F346)*F347-F345*SIGN(F347)</f>
        <v>67.19178565</v>
      </c>
      <c r="G351" s="34" t="n">
        <f aca="false">(G344-G346)*G347-G345*SIGN(G347)</f>
        <v>67.19178565</v>
      </c>
      <c r="H351" s="34" t="n">
        <f aca="false">(H344-H346)*H347-H345*SIGN(H347)</f>
        <v>67.19178565</v>
      </c>
      <c r="I351" s="34" t="n">
        <f aca="false">(I344-I346)*I347-I345*SIGN(I347)</f>
        <v>67.19178565</v>
      </c>
      <c r="J351" s="34" t="n">
        <f aca="false">(J344-J346)*J347-J345*SIGN(J347)</f>
        <v>67.19178565</v>
      </c>
      <c r="K351" s="34" t="n">
        <f aca="false">(K344-K346)*K347-K345*SIGN(K347)</f>
        <v>67.19178565</v>
      </c>
      <c r="L351" s="34" t="n">
        <f aca="false">(L344-L346)*L347-L345*SIGN(L347)</f>
        <v>67.19178565</v>
      </c>
      <c r="M351" s="34" t="n">
        <f aca="false">(M344-M346)*M347-M345*SIGN(M347)</f>
        <v>22.845207121</v>
      </c>
      <c r="N351" s="34" t="n">
        <f aca="false">(N344-N346)*N347-N345*SIGN(N347)</f>
        <v>0</v>
      </c>
    </row>
    <row r="352" customFormat="false" ht="15" hidden="false" customHeight="false" outlineLevel="0" collapsed="false">
      <c r="A352" s="0" t="s">
        <v>3619</v>
      </c>
      <c r="B352" s="34" t="n">
        <f aca="false">B351</f>
        <v>-6.54504952626079</v>
      </c>
      <c r="C352" s="34" t="n">
        <f aca="false">B352+C351</f>
        <v>-9.43172714518282</v>
      </c>
      <c r="D352" s="34" t="n">
        <f aca="false">C352+D351</f>
        <v>22.3394066065438</v>
      </c>
      <c r="E352" s="34" t="n">
        <f aca="false">D352+E351</f>
        <v>55.9980304822921</v>
      </c>
      <c r="F352" s="34" t="n">
        <f aca="false">E352+F351</f>
        <v>123.189816132292</v>
      </c>
      <c r="G352" s="34" t="n">
        <f aca="false">F352+G351</f>
        <v>190.381601782292</v>
      </c>
      <c r="H352" s="34" t="n">
        <f aca="false">G352+H351</f>
        <v>257.573387432292</v>
      </c>
      <c r="I352" s="34" t="n">
        <f aca="false">H352+I351</f>
        <v>324.765173082292</v>
      </c>
      <c r="J352" s="34" t="n">
        <f aca="false">I352+J351</f>
        <v>391.956958732292</v>
      </c>
      <c r="K352" s="34" t="n">
        <f aca="false">J352+K351</f>
        <v>459.148744382292</v>
      </c>
      <c r="L352" s="34" t="n">
        <f aca="false">K352+L351</f>
        <v>526.340530032292</v>
      </c>
      <c r="M352" s="34" t="n">
        <f aca="false">L352+M351</f>
        <v>549.185737153292</v>
      </c>
      <c r="N352" s="34" t="n">
        <f aca="false">M352+N351</f>
        <v>549.185737153292</v>
      </c>
    </row>
    <row r="353" customFormat="false" ht="15" hidden="false" customHeight="false" outlineLevel="0" collapsed="false">
      <c r="A353" s="0" t="s">
        <v>3620</v>
      </c>
      <c r="B353" s="22" t="str">
        <f aca="false">IF(AND((-B345*SIGN(B347))&lt;0,(-B345*SIGN(B347))+((B344-B346)*B347)&gt;=0,((B344-B346)*B347)&gt;0),B338+B339*B347*(-(-B345*SIGN(B347)))/((B344-B346)*B347),"-")</f>
        <v>-</v>
      </c>
      <c r="C353" s="22" t="str">
        <f aca="false">IF(AND((B352-C345*SIGN(C347))&lt;0,(B352-C345*SIGN(C347))+((C344-C346)*C347)&gt;=0,((C344-C346)*C347)&gt;0),C338+C339*C347*(-(B352-C345*SIGN(C347)))/((C344-C346)*C347),"-")</f>
        <v>-</v>
      </c>
      <c r="D353" s="22" t="n">
        <f aca="false">IF(AND((C352-D345*SIGN(D347))&lt;0,(C352-D345*SIGN(D347))+((D344-D346)*D347)&gt;=0,((D344-D346)*D347)&gt;0),D338+D339*D347*(-(C352-D345*SIGN(D347)))/((D344-D346)*D347),"-")</f>
        <v>19.3499589113543</v>
      </c>
      <c r="E353" s="22" t="str">
        <f aca="false">IF(AND((D352-E345*SIGN(E347))&lt;0,(D352-E345*SIGN(E347))+((E344-E346)*E347)&gt;=0,((E344-E346)*E347)&gt;0),E338+E339*E347*(-(D352-E345*SIGN(E347)))/((E344-E346)*E347),"-")</f>
        <v>-</v>
      </c>
      <c r="F353" s="22" t="str">
        <f aca="false">IF(AND((E352-F345*SIGN(F347))&lt;0,(E352-F345*SIGN(F347))+((F344-F346)*F347)&gt;=0,((F344-F346)*F347)&gt;0),F338+F339*F347*(-(E352-F345*SIGN(F347)))/((F344-F346)*F347),"-")</f>
        <v>-</v>
      </c>
      <c r="G353" s="22" t="str">
        <f aca="false">IF(AND((F352-G345*SIGN(G347))&lt;0,(F352-G345*SIGN(G347))+((G344-G346)*G347)&gt;=0,((G344-G346)*G347)&gt;0),G338+G339*G347*(-(F352-G345*SIGN(G347)))/((G344-G346)*G347),"-")</f>
        <v>-</v>
      </c>
      <c r="H353" s="22" t="str">
        <f aca="false">IF(AND((G352-H345*SIGN(H347))&lt;0,(G352-H345*SIGN(H347))+((H344-H346)*H347)&gt;=0,((H344-H346)*H347)&gt;0),H338+H339*H347*(-(G352-H345*SIGN(H347)))/((H344-H346)*H347),"-")</f>
        <v>-</v>
      </c>
      <c r="I353" s="22" t="str">
        <f aca="false">IF(AND((H352-I345*SIGN(I347))&lt;0,(H352-I345*SIGN(I347))+((I344-I346)*I347)&gt;=0,((I344-I346)*I347)&gt;0),I338+I339*I347*(-(H352-I345*SIGN(I347)))/((I344-I346)*I347),"-")</f>
        <v>-</v>
      </c>
      <c r="J353" s="22" t="str">
        <f aca="false">IF(AND((I352-J345*SIGN(J347))&lt;0,(I352-J345*SIGN(J347))+((J344-J346)*J347)&gt;=0,((J344-J346)*J347)&gt;0),J338+J339*J347*(-(I352-J345*SIGN(J347)))/((J344-J346)*J347),"-")</f>
        <v>-</v>
      </c>
      <c r="K353" s="22" t="str">
        <f aca="false">IF(AND((J352-K345*SIGN(K347))&lt;0,(J352-K345*SIGN(K347))+((K344-K346)*K347)&gt;=0,((K344-K346)*K347)&gt;0),K338+K339*K347*(-(J352-K345*SIGN(K347)))/((K344-K346)*K347),"-")</f>
        <v>-</v>
      </c>
      <c r="L353" s="22" t="str">
        <f aca="false">IF(AND((K352-L345*SIGN(L347))&lt;0,(K352-L345*SIGN(L347))+((L344-L346)*L347)&gt;=0,((L344-L346)*L347)&gt;0),L338+L339*L347*(-(K352-L345*SIGN(L347)))/((L344-L346)*L347),"-")</f>
        <v>-</v>
      </c>
      <c r="M353" s="22" t="str">
        <f aca="false">IF(AND((L352-M345*SIGN(M347))&lt;0,(L352-M345*SIGN(M347))+((M344-M346)*M347)&gt;=0,((M344-M346)*M347)&gt;0),M338+M339*M347*(-(L352-M345*SIGN(M347)))/((M344-M346)*M347),"-")</f>
        <v>-</v>
      </c>
      <c r="N353" s="22" t="str">
        <f aca="false">IF(AND((M352-N345*SIGN(N347))&lt;0,(M352-N345*SIGN(N347))+((N344-N346)*N347)&gt;=0,((N344-N346)*N347)&gt;0),N338+N339*N347*(-(M352-N345*SIGN(N347)))/((N344-N346)*N347),"-")</f>
        <v>-</v>
      </c>
    </row>
    <row r="354" customFormat="false" ht="15" hidden="false" customHeight="false" outlineLevel="0" collapsed="false">
      <c r="A354" s="3" t="s">
        <v>3621</v>
      </c>
      <c r="B354" s="36" t="n">
        <f aca="false">IF(COUNT($B$353:$N$353)=0,"none within ten years",MIN($B$353:$N$353))</f>
        <v>19.3499589113543</v>
      </c>
    </row>
    <row r="355" customFormat="false" ht="15" hidden="false" customHeight="false" outlineLevel="0" collapsed="false">
      <c r="A355" s="16" t="s">
        <v>3622</v>
      </c>
      <c r="B355" s="37" t="n">
        <f aca="false">-B352</f>
        <v>6.54504952626079</v>
      </c>
    </row>
    <row r="356" customFormat="false" ht="15" hidden="false" customHeight="false" outlineLevel="0" collapsed="false">
      <c r="A356" s="16" t="s">
        <v>3623</v>
      </c>
      <c r="B356" s="37" t="n">
        <f aca="false">-C352</f>
        <v>9.43172714518282</v>
      </c>
    </row>
    <row r="357" customFormat="false" ht="15" hidden="false" customHeight="false" outlineLevel="0" collapsed="false">
      <c r="A357" s="16" t="s">
        <v>3624</v>
      </c>
      <c r="B357" s="37" t="n">
        <f aca="false">-D352</f>
        <v>-22.3394066065438</v>
      </c>
    </row>
    <row r="358" customFormat="false" ht="15" hidden="false" customHeight="false" outlineLevel="0" collapsed="false">
      <c r="A358" s="16" t="s">
        <v>3625</v>
      </c>
      <c r="B358" s="37" t="n">
        <f aca="false">-E352</f>
        <v>-55.9980304822921</v>
      </c>
    </row>
    <row r="359" customFormat="false" ht="15" hidden="false" customHeight="false" outlineLevel="0" collapsed="false">
      <c r="A359" s="16" t="s">
        <v>3626</v>
      </c>
      <c r="B359" s="37" t="n">
        <f aca="false">SUMPRODUCT(($B$344:$N$344-$B$346:$N$346)*$B$348:$N$348/(1+stla_wacc_pretax_high_pct/100)^($B$350:$N$350/12))-SUMPRODUCT($B$345:$N$345*SIGN($B$348:$N$348)/(1+stla_wacc_pretax_high_pct/100)^($B$338:$N$338/12))</f>
        <v>117.651205516793</v>
      </c>
    </row>
    <row r="360" customFormat="false" ht="15" hidden="false" customHeight="false" outlineLevel="0" collapsed="false">
      <c r="A360" s="16" t="s">
        <v>3627</v>
      </c>
      <c r="B360" s="37" t="n">
        <f aca="false">SUMPRODUCT(($B$344:$N$344-$B$346:$N$346)*$B$348:$N$348/(1+stla_wacc_pretax_low_pct/100)^($B$350:$N$350/12))-SUMPRODUCT($B$345:$N$345*SIGN($B$348:$N$348)/(1+stla_wacc_pretax_low_pct/100)^($B$338:$N$338/12))</f>
        <v>156.132161989572</v>
      </c>
    </row>
    <row r="361" customFormat="false" ht="15" hidden="false" customHeight="false" outlineLevel="0" collapsed="false">
      <c r="A361" s="16" t="s">
        <v>3628</v>
      </c>
      <c r="B361" s="37" t="n">
        <f aca="false">SUMPRODUCT(($B$344:$N$344-$B$346:$N$346)*$B$347:$N$347/(1+stla_wacc_pretax_high_pct/100)^($B$349:$N$349/12))-SUMPRODUCT($B$345:$N$345*SIGN($B$347:$N$347)/(1+stla_wacc_pretax_high_pct/100)^($B$338:$N$338/12))</f>
        <v>211.561016645284</v>
      </c>
    </row>
    <row r="362" customFormat="false" ht="15" hidden="false" customHeight="false" outlineLevel="0" collapsed="false">
      <c r="A362" s="16" t="s">
        <v>3629</v>
      </c>
      <c r="B362" s="37" t="n">
        <f aca="false">SUMPRODUCT(($B$344:$N$344-$B$346:$N$346)*$B$347:$N$347/(1+stla_wacc_pretax_low_pct/100)^($B$349:$N$349/12))-SUMPRODUCT($B$345:$N$345*SIGN($B$347:$N$347)/(1+stla_wacc_pretax_low_pct/100)^($B$338:$N$338/12))</f>
        <v>327.625322068132</v>
      </c>
    </row>
    <row r="363" customFormat="false" ht="15" hidden="false" customHeight="false" outlineLevel="0" collapsed="false">
      <c r="A363" s="16" t="s">
        <v>3631</v>
      </c>
      <c r="B363" s="37" t="n">
        <f aca="false">SUMPRODUCT($B$340:$N$340*$B$348:$N$348/(1+stla_wacc_pretax_high_pct/100)^($B$350:$N$350/12))</f>
        <v>41.3208623792171</v>
      </c>
    </row>
    <row r="364" customFormat="false" ht="15" hidden="false" customHeight="false" outlineLevel="0" collapsed="false">
      <c r="A364" s="16" t="s">
        <v>3632</v>
      </c>
      <c r="B364" s="37" t="n">
        <f aca="false">SUMPRODUCT($B$341:$N$341*$B$348:$N$348/(1+stla_wacc_pretax_high_pct/100)^($B$350:$N$350/12))</f>
        <v>63.4095441284432</v>
      </c>
    </row>
    <row r="365" customFormat="false" ht="15" hidden="false" customHeight="false" outlineLevel="0" collapsed="false">
      <c r="A365" s="16" t="s">
        <v>3633</v>
      </c>
      <c r="B365" s="37" t="n">
        <f aca="false">SUMPRODUCT($B$342:$N$342*$B$348:$N$348/(1+stla_wacc_pretax_high_pct/100)^($B$350:$N$350/12))</f>
        <v>26.6781855532426</v>
      </c>
    </row>
    <row r="366" customFormat="false" ht="15" hidden="false" customHeight="false" outlineLevel="0" collapsed="false">
      <c r="A366" s="16" t="s">
        <v>3634</v>
      </c>
      <c r="B366" s="37" t="n">
        <f aca="false">SUMPRODUCT($B$343:$N$343*$B$348:$N$348/(1+stla_wacc_pretax_high_pct/100)^($B$350:$N$350/12))</f>
        <v>13.9039403534815</v>
      </c>
    </row>
    <row r="367" customFormat="false" ht="15" hidden="false" customHeight="false" outlineLevel="0" collapsed="false">
      <c r="A367" s="16" t="s">
        <v>3635</v>
      </c>
      <c r="B367" s="37" t="n">
        <f aca="false">SUMPRODUCT($B$345:$N$345*SIGN($B$348:$N$348)/(1+stla_wacc_pretax_high_pct/100)^($B$338:$N$338/12))</f>
        <v>21.6170207973798</v>
      </c>
    </row>
    <row r="368" customFormat="false" ht="15" hidden="false" customHeight="false" outlineLevel="0" collapsed="false">
      <c r="A368" s="16" t="s">
        <v>3636</v>
      </c>
      <c r="B368" s="37" t="n">
        <f aca="false">SUMPRODUCT($B$346:$N$346*$B$348:$N$348/(1+stla_wacc_pretax_high_pct/100)^($B$350:$N$350/12))</f>
        <v>6.04430610021123</v>
      </c>
    </row>
    <row r="370" customFormat="false" ht="26.85" hidden="false" customHeight="false" outlineLevel="0" collapsed="false">
      <c r="A370" s="4" t="s">
        <v>3647</v>
      </c>
      <c r="B370" s="4" t="s">
        <v>3580</v>
      </c>
      <c r="C370" s="4" t="s">
        <v>3561</v>
      </c>
      <c r="D370" s="4" t="s">
        <v>3564</v>
      </c>
      <c r="E370" s="4" t="s">
        <v>3572</v>
      </c>
      <c r="F370" s="4" t="s">
        <v>3581</v>
      </c>
      <c r="G370" s="4" t="s">
        <v>3582</v>
      </c>
      <c r="H370" s="4" t="s">
        <v>3583</v>
      </c>
      <c r="I370" s="4" t="s">
        <v>3584</v>
      </c>
      <c r="J370" s="4" t="s">
        <v>3585</v>
      </c>
      <c r="K370" s="4" t="s">
        <v>3586</v>
      </c>
      <c r="L370" s="4" t="s">
        <v>3587</v>
      </c>
      <c r="M370" s="4" t="s">
        <v>3588</v>
      </c>
      <c r="N370" s="4" t="s">
        <v>3589</v>
      </c>
    </row>
    <row r="371" customFormat="false" ht="15" hidden="false" customHeight="false" outlineLevel="0" collapsed="false">
      <c r="A371" s="0" t="s">
        <v>3609</v>
      </c>
      <c r="B371" s="22" t="n">
        <v>0</v>
      </c>
      <c r="C371" s="22" t="n">
        <f aca="false">B371+B372</f>
        <v>7.98</v>
      </c>
      <c r="D371" s="22" t="n">
        <f aca="false">C371+C372</f>
        <v>15.96</v>
      </c>
      <c r="E371" s="22" t="n">
        <f aca="false">D371+D372</f>
        <v>23.94</v>
      </c>
      <c r="F371" s="22" t="n">
        <f aca="false">E371+E372</f>
        <v>31.92</v>
      </c>
      <c r="G371" s="22" t="n">
        <f aca="false">F371+F372</f>
        <v>43.92</v>
      </c>
      <c r="H371" s="22" t="n">
        <f aca="false">G371+G372</f>
        <v>55.92</v>
      </c>
      <c r="I371" s="22" t="n">
        <f aca="false">H371+H372</f>
        <v>67.92</v>
      </c>
      <c r="J371" s="22" t="n">
        <f aca="false">I371+I372</f>
        <v>79.92</v>
      </c>
      <c r="K371" s="22" t="n">
        <f aca="false">J371+J372</f>
        <v>91.92</v>
      </c>
      <c r="L371" s="22" t="n">
        <f aca="false">K371+K372</f>
        <v>103.92</v>
      </c>
      <c r="M371" s="22" t="n">
        <f aca="false">L371+L372</f>
        <v>115.92</v>
      </c>
      <c r="N371" s="22" t="n">
        <f aca="false">M371+M372</f>
        <v>127.92</v>
      </c>
    </row>
    <row r="372" customFormat="false" ht="15" hidden="false" customHeight="false" outlineLevel="0" collapsed="false">
      <c r="A372" s="0" t="s">
        <v>3610</v>
      </c>
      <c r="B372" s="22" t="n">
        <f aca="false">$D$24</f>
        <v>7.98</v>
      </c>
      <c r="C372" s="22" t="n">
        <f aca="false">$D$24</f>
        <v>7.98</v>
      </c>
      <c r="D372" s="22" t="n">
        <f aca="false">$D$24</f>
        <v>7.98</v>
      </c>
      <c r="E372" s="22" t="n">
        <f aca="false">$D$24</f>
        <v>7.98</v>
      </c>
      <c r="F372" s="22" t="n">
        <f aca="false">12</f>
        <v>12</v>
      </c>
      <c r="G372" s="22" t="n">
        <f aca="false">12</f>
        <v>12</v>
      </c>
      <c r="H372" s="22" t="n">
        <f aca="false">12</f>
        <v>12</v>
      </c>
      <c r="I372" s="22" t="n">
        <f aca="false">12</f>
        <v>12</v>
      </c>
      <c r="J372" s="22" t="n">
        <f aca="false">12</f>
        <v>12</v>
      </c>
      <c r="K372" s="22" t="n">
        <f aca="false">12</f>
        <v>12</v>
      </c>
      <c r="L372" s="22" t="n">
        <f aca="false">12</f>
        <v>12</v>
      </c>
      <c r="M372" s="22" t="n">
        <f aca="false">12</f>
        <v>12</v>
      </c>
      <c r="N372" s="22" t="n">
        <f aca="false">12</f>
        <v>12</v>
      </c>
    </row>
    <row r="373" customFormat="false" ht="15" hidden="false" customHeight="false" outlineLevel="0" collapsed="false">
      <c r="A373" s="0" t="s">
        <v>3559</v>
      </c>
      <c r="B373" s="34" t="n">
        <v>0</v>
      </c>
      <c r="C373" s="34" t="n">
        <f aca="false">$B$24*$D$6*C$16*C372/12</f>
        <v>1.09306985405625</v>
      </c>
      <c r="D373" s="34" t="n">
        <f aca="false">$B$24*$D$6*D$16*D372/12</f>
        <v>3.14695199975625</v>
      </c>
      <c r="E373" s="34" t="n">
        <f aca="false">$B$24*$D$6*E$16*E372/12</f>
        <v>3.14695199975625</v>
      </c>
      <c r="F373" s="34" t="n">
        <f aca="false">$B$24*$D$6*F$16*F372/12</f>
        <v>5.84951625</v>
      </c>
      <c r="G373" s="34" t="n">
        <f aca="false">$B$24*$D$6*G$16*G372/12</f>
        <v>5.84951625</v>
      </c>
      <c r="H373" s="34" t="n">
        <f aca="false">$B$24*$D$6*H$16*H372/12</f>
        <v>5.84951625</v>
      </c>
      <c r="I373" s="34" t="n">
        <f aca="false">$B$24*$D$6*I$16*I372/12</f>
        <v>5.84951625</v>
      </c>
      <c r="J373" s="34" t="n">
        <f aca="false">$B$24*$D$6*J$16*J372/12</f>
        <v>5.84951625</v>
      </c>
      <c r="K373" s="34" t="n">
        <f aca="false">$B$24*$D$6*K$16*K372/12</f>
        <v>5.84951625</v>
      </c>
      <c r="L373" s="34" t="n">
        <f aca="false">$B$24*$D$6*L$16*L372/12</f>
        <v>5.84951625</v>
      </c>
      <c r="M373" s="34" t="n">
        <f aca="false">$B$24*$D$6*M$16*M372/12</f>
        <v>5.84951625</v>
      </c>
      <c r="N373" s="34" t="n">
        <f aca="false">$B$24*$D$6*N$16*N372/12</f>
        <v>5.84951625</v>
      </c>
    </row>
    <row r="374" customFormat="false" ht="15" hidden="false" customHeight="false" outlineLevel="0" collapsed="false">
      <c r="A374" s="0" t="s">
        <v>3563</v>
      </c>
      <c r="B374" s="34" t="n">
        <v>0</v>
      </c>
      <c r="C374" s="34" t="n">
        <v>0</v>
      </c>
      <c r="D374" s="34" t="n">
        <f aca="false">$B$24*$D$7*D$16*D372/12</f>
        <v>5.21418827895</v>
      </c>
      <c r="E374" s="34" t="n">
        <f aca="false">$B$24*$D$7*E$16*E372/12</f>
        <v>5.21418827895</v>
      </c>
      <c r="F374" s="34" t="n">
        <f aca="false">$B$24*$D$7*F$16*F372/12</f>
        <v>9.69207</v>
      </c>
      <c r="G374" s="34" t="n">
        <f aca="false">$B$24*$D$7*G$16*G372/12</f>
        <v>9.69207</v>
      </c>
      <c r="H374" s="34" t="n">
        <f aca="false">$B$24*$D$7*H$16*H372/12</f>
        <v>9.69207</v>
      </c>
      <c r="I374" s="34" t="n">
        <f aca="false">$B$24*$D$7*I$16*I372/12</f>
        <v>9.69207</v>
      </c>
      <c r="J374" s="34" t="n">
        <f aca="false">$B$24*$D$7*J$16*J372/12</f>
        <v>9.69207</v>
      </c>
      <c r="K374" s="34" t="n">
        <f aca="false">$B$24*$D$7*K$16*K372/12</f>
        <v>9.69207</v>
      </c>
      <c r="L374" s="34" t="n">
        <f aca="false">$B$24*$D$7*L$16*L372/12</f>
        <v>9.69207</v>
      </c>
      <c r="M374" s="34" t="n">
        <f aca="false">$B$24*$D$7*M$16*M372/12</f>
        <v>9.69207</v>
      </c>
      <c r="N374" s="34" t="n">
        <f aca="false">$B$24*$D$7*N$16*N372/12</f>
        <v>9.69207</v>
      </c>
    </row>
    <row r="375" customFormat="false" ht="15" hidden="false" customHeight="false" outlineLevel="0" collapsed="false">
      <c r="A375" s="0" t="s">
        <v>3566</v>
      </c>
      <c r="B375" s="34" t="n">
        <v>0</v>
      </c>
      <c r="C375" s="34" t="n">
        <v>0</v>
      </c>
      <c r="D375" s="34" t="n">
        <f aca="false">$B$24*$D$8*D$16*D372/12</f>
        <v>2.1937562290875</v>
      </c>
      <c r="E375" s="34" t="n">
        <f aca="false">$B$24*$D$8*E$16*E372/12</f>
        <v>2.1937562290875</v>
      </c>
      <c r="F375" s="34" t="n">
        <f aca="false">$B$24*$D$8*F$16*F372/12</f>
        <v>4.0777275</v>
      </c>
      <c r="G375" s="34" t="n">
        <f aca="false">$B$24*$D$8*G$16*G372/12</f>
        <v>4.0777275</v>
      </c>
      <c r="H375" s="34" t="n">
        <f aca="false">$B$24*$D$8*H$16*H372/12</f>
        <v>4.0777275</v>
      </c>
      <c r="I375" s="34" t="n">
        <f aca="false">$B$24*$D$8*I$16*I372/12</f>
        <v>4.0777275</v>
      </c>
      <c r="J375" s="34" t="n">
        <f aca="false">$B$24*$D$8*J$16*J372/12</f>
        <v>4.0777275</v>
      </c>
      <c r="K375" s="34" t="n">
        <f aca="false">$B$24*$D$8*K$16*K372/12</f>
        <v>4.0777275</v>
      </c>
      <c r="L375" s="34" t="n">
        <f aca="false">$B$24*$D$8*L$16*L372/12</f>
        <v>4.0777275</v>
      </c>
      <c r="M375" s="34" t="n">
        <f aca="false">$B$24*$D$8*M$16*M372/12</f>
        <v>4.0777275</v>
      </c>
      <c r="N375" s="34" t="n">
        <f aca="false">$B$24*$D$8*N$16*N372/12</f>
        <v>4.0777275</v>
      </c>
    </row>
    <row r="376" customFormat="false" ht="15" hidden="false" customHeight="false" outlineLevel="0" collapsed="false">
      <c r="A376" s="0" t="s">
        <v>3568</v>
      </c>
      <c r="B376" s="34" t="n">
        <v>0</v>
      </c>
      <c r="C376" s="34" t="n">
        <v>0</v>
      </c>
      <c r="D376" s="34" t="n">
        <f aca="false">$B$24*$D$9*D$16*D372/12</f>
        <v>1.143325722</v>
      </c>
      <c r="E376" s="34" t="n">
        <f aca="false">$B$24*$D$9*E$16*E372/12</f>
        <v>1.143325722</v>
      </c>
      <c r="F376" s="34" t="n">
        <f aca="false">$B$24*$D$9*F$16*F372/12</f>
        <v>2.1252</v>
      </c>
      <c r="G376" s="34" t="n">
        <f aca="false">$B$24*$D$9*G$16*G372/12</f>
        <v>2.1252</v>
      </c>
      <c r="H376" s="34" t="n">
        <f aca="false">$B$24*$D$9*H$16*H372/12</f>
        <v>2.1252</v>
      </c>
      <c r="I376" s="34" t="n">
        <f aca="false">$B$24*$D$9*I$16*I372/12</f>
        <v>2.1252</v>
      </c>
      <c r="J376" s="34" t="n">
        <f aca="false">$B$24*$D$9*J$16*J372/12</f>
        <v>2.1252</v>
      </c>
      <c r="K376" s="34" t="n">
        <f aca="false">$B$24*$D$9*K$16*K372/12</f>
        <v>2.1252</v>
      </c>
      <c r="L376" s="34" t="n">
        <f aca="false">$B$24*$D$9*L$16*L372/12</f>
        <v>2.1252</v>
      </c>
      <c r="M376" s="34" t="n">
        <f aca="false">$B$24*$D$9*M$16*M372/12</f>
        <v>2.1252</v>
      </c>
      <c r="N376" s="34" t="n">
        <f aca="false">$B$24*$D$9*N$16*N372/12</f>
        <v>2.1252</v>
      </c>
    </row>
    <row r="377" customFormat="false" ht="15" hidden="false" customHeight="false" outlineLevel="0" collapsed="false">
      <c r="A377" s="0" t="s">
        <v>3611</v>
      </c>
      <c r="B377" s="34" t="n">
        <f aca="false">SUM(B373:B376)</f>
        <v>0</v>
      </c>
      <c r="C377" s="34" t="n">
        <f aca="false">SUM(C373:C376)</f>
        <v>1.09306985405625</v>
      </c>
      <c r="D377" s="34" t="n">
        <f aca="false">SUM(D373:D376)</f>
        <v>11.6982222297938</v>
      </c>
      <c r="E377" s="34" t="n">
        <f aca="false">SUM(E373:E376)</f>
        <v>11.6982222297938</v>
      </c>
      <c r="F377" s="34" t="n">
        <f aca="false">SUM(F373:F376)</f>
        <v>21.74451375</v>
      </c>
      <c r="G377" s="34" t="n">
        <f aca="false">SUM(G373:G376)</f>
        <v>21.74451375</v>
      </c>
      <c r="H377" s="34" t="n">
        <f aca="false">SUM(H373:H376)</f>
        <v>21.74451375</v>
      </c>
      <c r="I377" s="34" t="n">
        <f aca="false">SUM(I373:I376)</f>
        <v>21.74451375</v>
      </c>
      <c r="J377" s="34" t="n">
        <f aca="false">SUM(J373:J376)</f>
        <v>21.74451375</v>
      </c>
      <c r="K377" s="34" t="n">
        <f aca="false">SUM(K373:K376)</f>
        <v>21.74451375</v>
      </c>
      <c r="L377" s="34" t="n">
        <f aca="false">SUM(L373:L376)</f>
        <v>21.74451375</v>
      </c>
      <c r="M377" s="34" t="n">
        <f aca="false">SUM(M373:M376)</f>
        <v>21.74451375</v>
      </c>
      <c r="N377" s="34" t="n">
        <f aca="false">SUM(N373:N376)</f>
        <v>21.74451375</v>
      </c>
    </row>
    <row r="378" customFormat="false" ht="15" hidden="false" customHeight="false" outlineLevel="0" collapsed="false">
      <c r="A378" s="0" t="s">
        <v>3612</v>
      </c>
      <c r="B378" s="34" t="n">
        <f aca="false">$C$24*'Programme cost'!$B$51</f>
        <v>19.714004597171</v>
      </c>
      <c r="C378" s="34" t="n">
        <f aca="false">$C$24*'Programme cost'!$C$51</f>
        <v>19.6255106457493</v>
      </c>
      <c r="D378" s="34" t="n">
        <f aca="false">$C$24*'Programme cost'!$D$51</f>
        <v>21.2860362987608</v>
      </c>
      <c r="E378" s="34" t="n">
        <f aca="false">$C$24*'Programme cost'!$E$51</f>
        <v>15.6008250818282</v>
      </c>
      <c r="F378" s="34" t="n">
        <v>0</v>
      </c>
      <c r="G378" s="34" t="n">
        <v>0</v>
      </c>
      <c r="H378" s="34" t="n">
        <v>0</v>
      </c>
      <c r="I378" s="34" t="n">
        <v>0</v>
      </c>
      <c r="J378" s="34" t="n">
        <v>0</v>
      </c>
      <c r="K378" s="34" t="n">
        <v>0</v>
      </c>
      <c r="L378" s="34" t="n">
        <v>0</v>
      </c>
      <c r="M378" s="34" t="n">
        <v>0</v>
      </c>
      <c r="N378" s="34" t="n">
        <v>0</v>
      </c>
    </row>
    <row r="379" customFormat="false" ht="15" hidden="false" customHeight="false" outlineLevel="0" collapsed="false">
      <c r="A379" s="0" t="s">
        <v>3613</v>
      </c>
      <c r="B379" s="34" t="n">
        <v>0</v>
      </c>
      <c r="C379" s="34" t="n">
        <v>0</v>
      </c>
      <c r="D379" s="34" t="n">
        <v>0</v>
      </c>
      <c r="E379" s="34" t="n">
        <v>0</v>
      </c>
      <c r="F379" s="34" t="n">
        <f aca="false">run_cost_eur_m_year*F372/12</f>
        <v>5</v>
      </c>
      <c r="G379" s="34" t="n">
        <f aca="false">run_cost_eur_m_year*G372/12</f>
        <v>5</v>
      </c>
      <c r="H379" s="34" t="n">
        <f aca="false">run_cost_eur_m_year*H372/12</f>
        <v>5</v>
      </c>
      <c r="I379" s="34" t="n">
        <f aca="false">run_cost_eur_m_year*I372/12</f>
        <v>5</v>
      </c>
      <c r="J379" s="34" t="n">
        <f aca="false">run_cost_eur_m_year*J372/12</f>
        <v>5</v>
      </c>
      <c r="K379" s="34" t="n">
        <f aca="false">run_cost_eur_m_year*K372/12</f>
        <v>5</v>
      </c>
      <c r="L379" s="34" t="n">
        <f aca="false">run_cost_eur_m_year*L372/12</f>
        <v>5</v>
      </c>
      <c r="M379" s="34" t="n">
        <f aca="false">run_cost_eur_m_year*M372/12</f>
        <v>5</v>
      </c>
      <c r="N379" s="34" t="n">
        <f aca="false">run_cost_eur_m_year*N372/12</f>
        <v>5</v>
      </c>
    </row>
    <row r="380" customFormat="false" ht="15" hidden="false" customHeight="false" outlineLevel="0" collapsed="false">
      <c r="A380" s="0" t="s">
        <v>3614</v>
      </c>
      <c r="B380" s="18" t="n">
        <f aca="false">MAX(0,MIN(1,($B$18-B371)/B372))</f>
        <v>1</v>
      </c>
      <c r="C380" s="18" t="n">
        <f aca="false">MAX(0,MIN(1,($B$18-C371)/C372))</f>
        <v>1</v>
      </c>
      <c r="D380" s="18" t="n">
        <f aca="false">MAX(0,MIN(1,($B$18-D371)/D372))</f>
        <v>1</v>
      </c>
      <c r="E380" s="18" t="n">
        <f aca="false">MAX(0,MIN(1,($B$18-E371)/E372))</f>
        <v>1</v>
      </c>
      <c r="F380" s="18" t="n">
        <f aca="false">MAX(0,MIN(1,($B$18-F371)/F372))</f>
        <v>1</v>
      </c>
      <c r="G380" s="18" t="n">
        <f aca="false">MAX(0,MIN(1,($B$18-G371)/G372))</f>
        <v>1</v>
      </c>
      <c r="H380" s="18" t="n">
        <f aca="false">MAX(0,MIN(1,($B$18-H371)/H372))</f>
        <v>1</v>
      </c>
      <c r="I380" s="18" t="n">
        <f aca="false">MAX(0,MIN(1,($B$18-I371)/I372))</f>
        <v>1</v>
      </c>
      <c r="J380" s="18" t="n">
        <f aca="false">MAX(0,MIN(1,($B$18-J371)/J372))</f>
        <v>1</v>
      </c>
      <c r="K380" s="18" t="n">
        <f aca="false">MAX(0,MIN(1,($B$18-K371)/K372))</f>
        <v>1</v>
      </c>
      <c r="L380" s="18" t="n">
        <f aca="false">MAX(0,MIN(1,($B$18-L371)/L372))</f>
        <v>1</v>
      </c>
      <c r="M380" s="18" t="n">
        <f aca="false">MAX(0,MIN(1,($B$18-M371)/M372))</f>
        <v>0.34</v>
      </c>
      <c r="N380" s="18" t="n">
        <f aca="false">MAX(0,MIN(1,($B$18-N371)/N372))</f>
        <v>0</v>
      </c>
    </row>
    <row r="381" customFormat="false" ht="15" hidden="false" customHeight="false" outlineLevel="0" collapsed="false">
      <c r="A381" s="0" t="s">
        <v>3615</v>
      </c>
      <c r="B381" s="18" t="n">
        <f aca="false">MAX(0,MIN(1,($B$17-B371)/B372))</f>
        <v>1</v>
      </c>
      <c r="C381" s="18" t="n">
        <f aca="false">MAX(0,MIN(1,($B$17-C371)/C372))</f>
        <v>1</v>
      </c>
      <c r="D381" s="18" t="n">
        <f aca="false">MAX(0,MIN(1,($B$17-D371)/D372))</f>
        <v>1</v>
      </c>
      <c r="E381" s="18" t="n">
        <f aca="false">MAX(0,MIN(1,($B$17-E371)/E372))</f>
        <v>1</v>
      </c>
      <c r="F381" s="18" t="n">
        <f aca="false">MAX(0,MIN(1,($B$17-F371)/F372))</f>
        <v>1</v>
      </c>
      <c r="G381" s="18" t="n">
        <f aca="false">MAX(0,MIN(1,($B$17-G371)/G372))</f>
        <v>1</v>
      </c>
      <c r="H381" s="18" t="n">
        <f aca="false">MAX(0,MIN(1,($B$17-H371)/H372))</f>
        <v>0.34</v>
      </c>
      <c r="I381" s="18" t="n">
        <f aca="false">MAX(0,MIN(1,($B$17-I371)/I372))</f>
        <v>0</v>
      </c>
      <c r="J381" s="18" t="n">
        <f aca="false">MAX(0,MIN(1,($B$17-J371)/J372))</f>
        <v>0</v>
      </c>
      <c r="K381" s="18" t="n">
        <f aca="false">MAX(0,MIN(1,($B$17-K371)/K372))</f>
        <v>0</v>
      </c>
      <c r="L381" s="18" t="n">
        <f aca="false">MAX(0,MIN(1,($B$17-L371)/L372))</f>
        <v>0</v>
      </c>
      <c r="M381" s="18" t="n">
        <f aca="false">MAX(0,MIN(1,($B$17-M371)/M372))</f>
        <v>0</v>
      </c>
      <c r="N381" s="18" t="n">
        <f aca="false">MAX(0,MIN(1,($B$17-N371)/N372))</f>
        <v>0</v>
      </c>
    </row>
    <row r="382" customFormat="false" ht="15" hidden="false" customHeight="false" outlineLevel="0" collapsed="false">
      <c r="A382" s="0" t="s">
        <v>3616</v>
      </c>
      <c r="B382" s="22" t="n">
        <f aca="false">B371+B372*B380/2</f>
        <v>3.99</v>
      </c>
      <c r="C382" s="22" t="n">
        <f aca="false">C371+C372*C380/2</f>
        <v>11.97</v>
      </c>
      <c r="D382" s="22" t="n">
        <f aca="false">D371+D372*D380/2</f>
        <v>19.95</v>
      </c>
      <c r="E382" s="22" t="n">
        <f aca="false">E371+E372*E380/2</f>
        <v>27.93</v>
      </c>
      <c r="F382" s="22" t="n">
        <f aca="false">F371+F372*F380/2</f>
        <v>37.92</v>
      </c>
      <c r="G382" s="22" t="n">
        <f aca="false">G371+G372*G380/2</f>
        <v>49.92</v>
      </c>
      <c r="H382" s="22" t="n">
        <f aca="false">H371+H372*H380/2</f>
        <v>61.92</v>
      </c>
      <c r="I382" s="22" t="n">
        <f aca="false">I371+I372*I380/2</f>
        <v>73.92</v>
      </c>
      <c r="J382" s="22" t="n">
        <f aca="false">J371+J372*J380/2</f>
        <v>85.92</v>
      </c>
      <c r="K382" s="22" t="n">
        <f aca="false">K371+K372*K380/2</f>
        <v>97.92</v>
      </c>
      <c r="L382" s="22" t="n">
        <f aca="false">L371+L372*L380/2</f>
        <v>109.92</v>
      </c>
      <c r="M382" s="22" t="n">
        <f aca="false">M371+M372*M380/2</f>
        <v>117.96</v>
      </c>
      <c r="N382" s="22" t="n">
        <f aca="false">N371+N372*N380/2</f>
        <v>127.92</v>
      </c>
    </row>
    <row r="383" customFormat="false" ht="15" hidden="false" customHeight="false" outlineLevel="0" collapsed="false">
      <c r="A383" s="0" t="s">
        <v>3617</v>
      </c>
      <c r="B383" s="22" t="n">
        <f aca="false">B371+B372*B381/2</f>
        <v>3.99</v>
      </c>
      <c r="C383" s="22" t="n">
        <f aca="false">C371+C372*C381/2</f>
        <v>11.97</v>
      </c>
      <c r="D383" s="22" t="n">
        <f aca="false">D371+D372*D381/2</f>
        <v>19.95</v>
      </c>
      <c r="E383" s="22" t="n">
        <f aca="false">E371+E372*E381/2</f>
        <v>27.93</v>
      </c>
      <c r="F383" s="22" t="n">
        <f aca="false">F371+F372*F381/2</f>
        <v>37.92</v>
      </c>
      <c r="G383" s="22" t="n">
        <f aca="false">G371+G372*G381/2</f>
        <v>49.92</v>
      </c>
      <c r="H383" s="22" t="n">
        <f aca="false">H371+H372*H381/2</f>
        <v>57.96</v>
      </c>
      <c r="I383" s="22" t="n">
        <f aca="false">I371+I372*I381/2</f>
        <v>67.92</v>
      </c>
      <c r="J383" s="22" t="n">
        <f aca="false">J371+J372*J381/2</f>
        <v>79.92</v>
      </c>
      <c r="K383" s="22" t="n">
        <f aca="false">K371+K372*K381/2</f>
        <v>91.92</v>
      </c>
      <c r="L383" s="22" t="n">
        <f aca="false">L371+L372*L381/2</f>
        <v>103.92</v>
      </c>
      <c r="M383" s="22" t="n">
        <f aca="false">M371+M372*M381/2</f>
        <v>115.92</v>
      </c>
      <c r="N383" s="22" t="n">
        <f aca="false">N371+N372*N381/2</f>
        <v>127.92</v>
      </c>
    </row>
    <row r="384" customFormat="false" ht="15" hidden="false" customHeight="false" outlineLevel="0" collapsed="false">
      <c r="A384" s="0" t="s">
        <v>3618</v>
      </c>
      <c r="B384" s="34" t="n">
        <f aca="false">(B377-B379)*B380-B378*SIGN(B380)</f>
        <v>-19.714004597171</v>
      </c>
      <c r="C384" s="34" t="n">
        <f aca="false">(C377-C379)*C380-C378*SIGN(C380)</f>
        <v>-18.5324407916931</v>
      </c>
      <c r="D384" s="34" t="n">
        <f aca="false">(D377-D379)*D380-D378*SIGN(D380)</f>
        <v>-9.58781406896709</v>
      </c>
      <c r="E384" s="34" t="n">
        <f aca="false">(E377-E379)*E380-E378*SIGN(E380)</f>
        <v>-3.90260285203443</v>
      </c>
      <c r="F384" s="34" t="n">
        <f aca="false">(F377-F379)*F380-F378*SIGN(F380)</f>
        <v>16.74451375</v>
      </c>
      <c r="G384" s="34" t="n">
        <f aca="false">(G377-G379)*G380-G378*SIGN(G380)</f>
        <v>16.74451375</v>
      </c>
      <c r="H384" s="34" t="n">
        <f aca="false">(H377-H379)*H380-H378*SIGN(H380)</f>
        <v>16.74451375</v>
      </c>
      <c r="I384" s="34" t="n">
        <f aca="false">(I377-I379)*I380-I378*SIGN(I380)</f>
        <v>16.74451375</v>
      </c>
      <c r="J384" s="34" t="n">
        <f aca="false">(J377-J379)*J380-J378*SIGN(J380)</f>
        <v>16.74451375</v>
      </c>
      <c r="K384" s="34" t="n">
        <f aca="false">(K377-K379)*K380-K378*SIGN(K380)</f>
        <v>16.74451375</v>
      </c>
      <c r="L384" s="34" t="n">
        <f aca="false">(L377-L379)*L380-L378*SIGN(L380)</f>
        <v>16.74451375</v>
      </c>
      <c r="M384" s="34" t="n">
        <f aca="false">(M377-M379)*M380-M378*SIGN(M380)</f>
        <v>5.693134675</v>
      </c>
      <c r="N384" s="34" t="n">
        <f aca="false">(N377-N379)*N380-N378*SIGN(N380)</f>
        <v>0</v>
      </c>
    </row>
    <row r="385" customFormat="false" ht="15" hidden="false" customHeight="false" outlineLevel="0" collapsed="false">
      <c r="A385" s="0" t="s">
        <v>3619</v>
      </c>
      <c r="B385" s="34" t="n">
        <f aca="false">B384</f>
        <v>-19.714004597171</v>
      </c>
      <c r="C385" s="34" t="n">
        <f aca="false">B385+C384</f>
        <v>-38.2464453888641</v>
      </c>
      <c r="D385" s="34" t="n">
        <f aca="false">C385+D384</f>
        <v>-47.8342594578312</v>
      </c>
      <c r="E385" s="34" t="n">
        <f aca="false">D385+E384</f>
        <v>-51.7368623098656</v>
      </c>
      <c r="F385" s="34" t="n">
        <f aca="false">E385+F384</f>
        <v>-34.9923485598657</v>
      </c>
      <c r="G385" s="34" t="n">
        <f aca="false">F385+G384</f>
        <v>-18.2478348098656</v>
      </c>
      <c r="H385" s="34" t="n">
        <f aca="false">G385+H384</f>
        <v>-1.50332105986565</v>
      </c>
      <c r="I385" s="34" t="n">
        <f aca="false">H385+I384</f>
        <v>15.2411926901344</v>
      </c>
      <c r="J385" s="34" t="n">
        <f aca="false">I385+J384</f>
        <v>31.9857064401344</v>
      </c>
      <c r="K385" s="34" t="n">
        <f aca="false">J385+K384</f>
        <v>48.7302201901344</v>
      </c>
      <c r="L385" s="34" t="n">
        <f aca="false">K385+L384</f>
        <v>65.4747339401343</v>
      </c>
      <c r="M385" s="34" t="n">
        <f aca="false">L385+M384</f>
        <v>71.1678686151343</v>
      </c>
      <c r="N385" s="34" t="n">
        <f aca="false">M385+N384</f>
        <v>71.1678686151343</v>
      </c>
    </row>
    <row r="386" customFormat="false" ht="15" hidden="false" customHeight="false" outlineLevel="0" collapsed="false">
      <c r="A386" s="0" t="s">
        <v>3620</v>
      </c>
      <c r="B386" s="22" t="str">
        <f aca="false">IF(AND((-B378*SIGN(B380))&lt;0,(-B378*SIGN(B380))+((B377-B379)*B380)&gt;=0,((B377-B379)*B380)&gt;0),B371+B372*B380*(-(-B378*SIGN(B380)))/((B377-B379)*B380),"-")</f>
        <v>-</v>
      </c>
      <c r="C386" s="22" t="str">
        <f aca="false">IF(AND((B385-C378*SIGN(C380))&lt;0,(B385-C378*SIGN(C380))+((C377-C379)*C380)&gt;=0,((C377-C379)*C380)&gt;0),C371+C372*C380*(-(B385-C378*SIGN(C380)))/((C377-C379)*C380),"-")</f>
        <v>-</v>
      </c>
      <c r="D386" s="22" t="str">
        <f aca="false">IF(AND((C385-D378*SIGN(D380))&lt;0,(C385-D378*SIGN(D380))+((D377-D379)*D380)&gt;=0,((D377-D379)*D380)&gt;0),D371+D372*D380*(-(C385-D378*SIGN(D380)))/((D377-D379)*D380),"-")</f>
        <v>-</v>
      </c>
      <c r="E386" s="22" t="str">
        <f aca="false">IF(AND((D385-E378*SIGN(E380))&lt;0,(D385-E378*SIGN(E380))+((E377-E379)*E380)&gt;=0,((E377-E379)*E380)&gt;0),E371+E372*E380*(-(D385-E378*SIGN(E380)))/((E377-E379)*E380),"-")</f>
        <v>-</v>
      </c>
      <c r="F386" s="22" t="str">
        <f aca="false">IF(AND((E385-F378*SIGN(F380))&lt;0,(E385-F378*SIGN(F380))+((F377-F379)*F380)&gt;=0,((F377-F379)*F380)&gt;0),F371+F372*F380*(-(E385-F378*SIGN(F380)))/((F377-F379)*F380),"-")</f>
        <v>-</v>
      </c>
      <c r="G386" s="22" t="str">
        <f aca="false">IF(AND((F385-G378*SIGN(G380))&lt;0,(F385-G378*SIGN(G380))+((G377-G379)*G380)&gt;=0,((G377-G379)*G380)&gt;0),G371+G372*G380*(-(F385-G378*SIGN(G380)))/((G377-G379)*G380),"-")</f>
        <v>-</v>
      </c>
      <c r="H386" s="22" t="str">
        <f aca="false">IF(AND((G385-H378*SIGN(H380))&lt;0,(G385-H378*SIGN(H380))+((H377-H379)*H380)&gt;=0,((H377-H379)*H380)&gt;0),H371+H372*H380*(-(G385-H378*SIGN(H380)))/((H377-H379)*H380),"-")</f>
        <v>-</v>
      </c>
      <c r="I386" s="22" t="n">
        <f aca="false">IF(AND((H385-I378*SIGN(I380))&lt;0,(H385-I378*SIGN(I380))+((I377-I379)*I380)&gt;=0,((I377-I379)*I380)&gt;0),I371+I372*I380*(-(H385-I378*SIGN(I380)))/((I377-I379)*I380),"-")</f>
        <v>68.9973590077161</v>
      </c>
      <c r="J386" s="22" t="str">
        <f aca="false">IF(AND((I385-J378*SIGN(J380))&lt;0,(I385-J378*SIGN(J380))+((J377-J379)*J380)&gt;=0,((J377-J379)*J380)&gt;0),J371+J372*J380*(-(I385-J378*SIGN(J380)))/((J377-J379)*J380),"-")</f>
        <v>-</v>
      </c>
      <c r="K386" s="22" t="str">
        <f aca="false">IF(AND((J385-K378*SIGN(K380))&lt;0,(J385-K378*SIGN(K380))+((K377-K379)*K380)&gt;=0,((K377-K379)*K380)&gt;0),K371+K372*K380*(-(J385-K378*SIGN(K380)))/((K377-K379)*K380),"-")</f>
        <v>-</v>
      </c>
      <c r="L386" s="22" t="str">
        <f aca="false">IF(AND((K385-L378*SIGN(L380))&lt;0,(K385-L378*SIGN(L380))+((L377-L379)*L380)&gt;=0,((L377-L379)*L380)&gt;0),L371+L372*L380*(-(K385-L378*SIGN(L380)))/((L377-L379)*L380),"-")</f>
        <v>-</v>
      </c>
      <c r="M386" s="22" t="str">
        <f aca="false">IF(AND((L385-M378*SIGN(M380))&lt;0,(L385-M378*SIGN(M380))+((M377-M379)*M380)&gt;=0,((M377-M379)*M380)&gt;0),M371+M372*M380*(-(L385-M378*SIGN(M380)))/((M377-M379)*M380),"-")</f>
        <v>-</v>
      </c>
      <c r="N386" s="22" t="str">
        <f aca="false">IF(AND((M385-N378*SIGN(N380))&lt;0,(M385-N378*SIGN(N380))+((N377-N379)*N380)&gt;=0,((N377-N379)*N380)&gt;0),N371+N372*N380*(-(M385-N378*SIGN(N380)))/((N377-N379)*N380),"-")</f>
        <v>-</v>
      </c>
    </row>
    <row r="387" customFormat="false" ht="15" hidden="false" customHeight="false" outlineLevel="0" collapsed="false">
      <c r="A387" s="3" t="s">
        <v>3621</v>
      </c>
      <c r="B387" s="36" t="n">
        <f aca="false">IF(COUNT($B$386:$N$386)=0,"none within ten years",MIN($B$386:$N$386))</f>
        <v>68.9973590077161</v>
      </c>
    </row>
    <row r="388" customFormat="false" ht="15" hidden="false" customHeight="false" outlineLevel="0" collapsed="false">
      <c r="A388" s="16" t="s">
        <v>3622</v>
      </c>
      <c r="B388" s="37" t="n">
        <f aca="false">-B385</f>
        <v>19.714004597171</v>
      </c>
    </row>
    <row r="389" customFormat="false" ht="15" hidden="false" customHeight="false" outlineLevel="0" collapsed="false">
      <c r="A389" s="16" t="s">
        <v>3623</v>
      </c>
      <c r="B389" s="37" t="n">
        <f aca="false">-C385</f>
        <v>38.2464453888641</v>
      </c>
    </row>
    <row r="390" customFormat="false" ht="15" hidden="false" customHeight="false" outlineLevel="0" collapsed="false">
      <c r="A390" s="16" t="s">
        <v>3624</v>
      </c>
      <c r="B390" s="37" t="n">
        <f aca="false">-D385</f>
        <v>47.8342594578312</v>
      </c>
    </row>
    <row r="391" customFormat="false" ht="15" hidden="false" customHeight="false" outlineLevel="0" collapsed="false">
      <c r="A391" s="16" t="s">
        <v>3625</v>
      </c>
      <c r="B391" s="37" t="n">
        <f aca="false">-E385</f>
        <v>51.7368623098656</v>
      </c>
    </row>
    <row r="392" customFormat="false" ht="15" hidden="false" customHeight="false" outlineLevel="0" collapsed="false">
      <c r="A392" s="16" t="s">
        <v>3626</v>
      </c>
      <c r="B392" s="37" t="n">
        <f aca="false">SUMPRODUCT(($B$377:$N$377-$B$379:$N$379)*$B$381:$N$381/(1+stla_wacc_pretax_high_pct/100)^($B$383:$N$383/12))-SUMPRODUCT($B$378:$N$378*SIGN($B$381:$N$381)/(1+stla_wacc_pretax_high_pct/100)^($B$371:$N$371/12))</f>
        <v>-27.3869794614804</v>
      </c>
    </row>
    <row r="393" customFormat="false" ht="15" hidden="false" customHeight="false" outlineLevel="0" collapsed="false">
      <c r="A393" s="16" t="s">
        <v>3627</v>
      </c>
      <c r="B393" s="37" t="n">
        <f aca="false">SUMPRODUCT(($B$377:$N$377-$B$379:$N$379)*$B$381:$N$381/(1+stla_wacc_pretax_low_pct/100)^($B$383:$N$383/12))-SUMPRODUCT($B$378:$N$378*SIGN($B$381:$N$381)/(1+stla_wacc_pretax_low_pct/100)^($B$371:$N$371/12))</f>
        <v>-21.8224403700895</v>
      </c>
    </row>
    <row r="394" customFormat="false" ht="15" hidden="false" customHeight="false" outlineLevel="0" collapsed="false">
      <c r="A394" s="16" t="s">
        <v>3628</v>
      </c>
      <c r="B394" s="37" t="n">
        <f aca="false">SUMPRODUCT(($B$377:$N$377-$B$379:$N$379)*$B$380:$N$380/(1+stla_wacc_pretax_high_pct/100)^($B$382:$N$382/12))-SUMPRODUCT($B$378:$N$378*SIGN($B$380:$N$380)/(1+stla_wacc_pretax_high_pct/100)^($B$371:$N$371/12))</f>
        <v>-3.98420621339498</v>
      </c>
    </row>
    <row r="395" customFormat="false" ht="15" hidden="false" customHeight="false" outlineLevel="0" collapsed="false">
      <c r="A395" s="16" t="s">
        <v>3629</v>
      </c>
      <c r="B395" s="37" t="n">
        <f aca="false">SUMPRODUCT(($B$377:$N$377-$B$379:$N$379)*$B$380:$N$380/(1+stla_wacc_pretax_low_pct/100)^($B$382:$N$382/12))-SUMPRODUCT($B$378:$N$378*SIGN($B$380:$N$380)/(1+stla_wacc_pretax_low_pct/100)^($B$371:$N$371/12))</f>
        <v>20.9144738105264</v>
      </c>
    </row>
    <row r="397" customFormat="false" ht="26.85" hidden="false" customHeight="false" outlineLevel="0" collapsed="false">
      <c r="A397" s="4" t="s">
        <v>3648</v>
      </c>
      <c r="B397" s="4" t="s">
        <v>3580</v>
      </c>
      <c r="C397" s="4" t="s">
        <v>3561</v>
      </c>
      <c r="D397" s="4" t="s">
        <v>3564</v>
      </c>
      <c r="E397" s="4" t="s">
        <v>3572</v>
      </c>
      <c r="F397" s="4" t="s">
        <v>3581</v>
      </c>
      <c r="G397" s="4" t="s">
        <v>3582</v>
      </c>
      <c r="H397" s="4" t="s">
        <v>3583</v>
      </c>
      <c r="I397" s="4" t="s">
        <v>3584</v>
      </c>
      <c r="J397" s="4" t="s">
        <v>3585</v>
      </c>
      <c r="K397" s="4" t="s">
        <v>3586</v>
      </c>
      <c r="L397" s="4" t="s">
        <v>3587</v>
      </c>
      <c r="M397" s="4" t="s">
        <v>3588</v>
      </c>
      <c r="N397" s="4" t="s">
        <v>3589</v>
      </c>
    </row>
    <row r="398" customFormat="false" ht="15" hidden="false" customHeight="false" outlineLevel="0" collapsed="false">
      <c r="A398" s="0" t="s">
        <v>3609</v>
      </c>
      <c r="B398" s="22" t="n">
        <v>0</v>
      </c>
      <c r="C398" s="22" t="n">
        <f aca="false">B398+B399</f>
        <v>7.98</v>
      </c>
      <c r="D398" s="22" t="n">
        <f aca="false">C398+C399</f>
        <v>15.96</v>
      </c>
      <c r="E398" s="22" t="n">
        <f aca="false">D398+D399</f>
        <v>23.94</v>
      </c>
      <c r="F398" s="22" t="n">
        <f aca="false">E398+E399</f>
        <v>31.92</v>
      </c>
      <c r="G398" s="22" t="n">
        <f aca="false">F398+F399</f>
        <v>43.92</v>
      </c>
      <c r="H398" s="22" t="n">
        <f aca="false">G398+G399</f>
        <v>55.92</v>
      </c>
      <c r="I398" s="22" t="n">
        <f aca="false">H398+H399</f>
        <v>67.92</v>
      </c>
      <c r="J398" s="22" t="n">
        <f aca="false">I398+I399</f>
        <v>79.92</v>
      </c>
      <c r="K398" s="22" t="n">
        <f aca="false">J398+J399</f>
        <v>91.92</v>
      </c>
      <c r="L398" s="22" t="n">
        <f aca="false">K398+K399</f>
        <v>103.92</v>
      </c>
      <c r="M398" s="22" t="n">
        <f aca="false">L398+L399</f>
        <v>115.92</v>
      </c>
      <c r="N398" s="22" t="n">
        <f aca="false">M398+M399</f>
        <v>127.92</v>
      </c>
    </row>
    <row r="399" customFormat="false" ht="15" hidden="false" customHeight="false" outlineLevel="0" collapsed="false">
      <c r="A399" s="0" t="s">
        <v>3610</v>
      </c>
      <c r="B399" s="22" t="n">
        <f aca="false">$D$25</f>
        <v>7.98</v>
      </c>
      <c r="C399" s="22" t="n">
        <f aca="false">$D$25</f>
        <v>7.98</v>
      </c>
      <c r="D399" s="22" t="n">
        <f aca="false">$D$25</f>
        <v>7.98</v>
      </c>
      <c r="E399" s="22" t="n">
        <f aca="false">$D$25</f>
        <v>7.98</v>
      </c>
      <c r="F399" s="22" t="n">
        <f aca="false">12</f>
        <v>12</v>
      </c>
      <c r="G399" s="22" t="n">
        <f aca="false">12</f>
        <v>12</v>
      </c>
      <c r="H399" s="22" t="n">
        <f aca="false">12</f>
        <v>12</v>
      </c>
      <c r="I399" s="22" t="n">
        <f aca="false">12</f>
        <v>12</v>
      </c>
      <c r="J399" s="22" t="n">
        <f aca="false">12</f>
        <v>12</v>
      </c>
      <c r="K399" s="22" t="n">
        <f aca="false">12</f>
        <v>12</v>
      </c>
      <c r="L399" s="22" t="n">
        <f aca="false">12</f>
        <v>12</v>
      </c>
      <c r="M399" s="22" t="n">
        <f aca="false">12</f>
        <v>12</v>
      </c>
      <c r="N399" s="22" t="n">
        <f aca="false">12</f>
        <v>12</v>
      </c>
    </row>
    <row r="400" customFormat="false" ht="15" hidden="false" customHeight="false" outlineLevel="0" collapsed="false">
      <c r="A400" s="0" t="s">
        <v>3559</v>
      </c>
      <c r="B400" s="34" t="n">
        <v>0</v>
      </c>
      <c r="C400" s="34" t="n">
        <f aca="false">$B$25*$D$6*C$16*C399/12</f>
        <v>2.1861397081125</v>
      </c>
      <c r="D400" s="34" t="n">
        <f aca="false">$B$25*$D$6*D$16*D399/12</f>
        <v>6.2939039995125</v>
      </c>
      <c r="E400" s="34" t="n">
        <f aca="false">$B$25*$D$6*E$16*E399/12</f>
        <v>6.2939039995125</v>
      </c>
      <c r="F400" s="34" t="n">
        <f aca="false">$B$25*$D$6*F$16*F399/12</f>
        <v>11.6990325</v>
      </c>
      <c r="G400" s="34" t="n">
        <f aca="false">$B$25*$D$6*G$16*G399/12</f>
        <v>11.6990325</v>
      </c>
      <c r="H400" s="34" t="n">
        <f aca="false">$B$25*$D$6*H$16*H399/12</f>
        <v>11.6990325</v>
      </c>
      <c r="I400" s="34" t="n">
        <f aca="false">$B$25*$D$6*I$16*I399/12</f>
        <v>11.6990325</v>
      </c>
      <c r="J400" s="34" t="n">
        <f aca="false">$B$25*$D$6*J$16*J399/12</f>
        <v>11.6990325</v>
      </c>
      <c r="K400" s="34" t="n">
        <f aca="false">$B$25*$D$6*K$16*K399/12</f>
        <v>11.6990325</v>
      </c>
      <c r="L400" s="34" t="n">
        <f aca="false">$B$25*$D$6*L$16*L399/12</f>
        <v>11.6990325</v>
      </c>
      <c r="M400" s="34" t="n">
        <f aca="false">$B$25*$D$6*M$16*M399/12</f>
        <v>11.6990325</v>
      </c>
      <c r="N400" s="34" t="n">
        <f aca="false">$B$25*$D$6*N$16*N399/12</f>
        <v>11.6990325</v>
      </c>
    </row>
    <row r="401" customFormat="false" ht="15" hidden="false" customHeight="false" outlineLevel="0" collapsed="false">
      <c r="A401" s="0" t="s">
        <v>3563</v>
      </c>
      <c r="B401" s="34" t="n">
        <v>0</v>
      </c>
      <c r="C401" s="34" t="n">
        <v>0</v>
      </c>
      <c r="D401" s="34" t="n">
        <f aca="false">$B$25*$D$7*D$16*D399/12</f>
        <v>10.4283765579</v>
      </c>
      <c r="E401" s="34" t="n">
        <f aca="false">$B$25*$D$7*E$16*E399/12</f>
        <v>10.4283765579</v>
      </c>
      <c r="F401" s="34" t="n">
        <f aca="false">$B$25*$D$7*F$16*F399/12</f>
        <v>19.38414</v>
      </c>
      <c r="G401" s="34" t="n">
        <f aca="false">$B$25*$D$7*G$16*G399/12</f>
        <v>19.38414</v>
      </c>
      <c r="H401" s="34" t="n">
        <f aca="false">$B$25*$D$7*H$16*H399/12</f>
        <v>19.38414</v>
      </c>
      <c r="I401" s="34" t="n">
        <f aca="false">$B$25*$D$7*I$16*I399/12</f>
        <v>19.38414</v>
      </c>
      <c r="J401" s="34" t="n">
        <f aca="false">$B$25*$D$7*J$16*J399/12</f>
        <v>19.38414</v>
      </c>
      <c r="K401" s="34" t="n">
        <f aca="false">$B$25*$D$7*K$16*K399/12</f>
        <v>19.38414</v>
      </c>
      <c r="L401" s="34" t="n">
        <f aca="false">$B$25*$D$7*L$16*L399/12</f>
        <v>19.38414</v>
      </c>
      <c r="M401" s="34" t="n">
        <f aca="false">$B$25*$D$7*M$16*M399/12</f>
        <v>19.38414</v>
      </c>
      <c r="N401" s="34" t="n">
        <f aca="false">$B$25*$D$7*N$16*N399/12</f>
        <v>19.38414</v>
      </c>
    </row>
    <row r="402" customFormat="false" ht="15" hidden="false" customHeight="false" outlineLevel="0" collapsed="false">
      <c r="A402" s="0" t="s">
        <v>3566</v>
      </c>
      <c r="B402" s="34" t="n">
        <v>0</v>
      </c>
      <c r="C402" s="34" t="n">
        <v>0</v>
      </c>
      <c r="D402" s="34" t="n">
        <f aca="false">$B$25*$D$8*D$16*D399/12</f>
        <v>4.387512458175</v>
      </c>
      <c r="E402" s="34" t="n">
        <f aca="false">$B$25*$D$8*E$16*E399/12</f>
        <v>4.387512458175</v>
      </c>
      <c r="F402" s="34" t="n">
        <f aca="false">$B$25*$D$8*F$16*F399/12</f>
        <v>8.155455</v>
      </c>
      <c r="G402" s="34" t="n">
        <f aca="false">$B$25*$D$8*G$16*G399/12</f>
        <v>8.155455</v>
      </c>
      <c r="H402" s="34" t="n">
        <f aca="false">$B$25*$D$8*H$16*H399/12</f>
        <v>8.155455</v>
      </c>
      <c r="I402" s="34" t="n">
        <f aca="false">$B$25*$D$8*I$16*I399/12</f>
        <v>8.155455</v>
      </c>
      <c r="J402" s="34" t="n">
        <f aca="false">$B$25*$D$8*J$16*J399/12</f>
        <v>8.155455</v>
      </c>
      <c r="K402" s="34" t="n">
        <f aca="false">$B$25*$D$8*K$16*K399/12</f>
        <v>8.155455</v>
      </c>
      <c r="L402" s="34" t="n">
        <f aca="false">$B$25*$D$8*L$16*L399/12</f>
        <v>8.155455</v>
      </c>
      <c r="M402" s="34" t="n">
        <f aca="false">$B$25*$D$8*M$16*M399/12</f>
        <v>8.155455</v>
      </c>
      <c r="N402" s="34" t="n">
        <f aca="false">$B$25*$D$8*N$16*N399/12</f>
        <v>8.155455</v>
      </c>
    </row>
    <row r="403" customFormat="false" ht="15" hidden="false" customHeight="false" outlineLevel="0" collapsed="false">
      <c r="A403" s="0" t="s">
        <v>3568</v>
      </c>
      <c r="B403" s="34" t="n">
        <v>0</v>
      </c>
      <c r="C403" s="34" t="n">
        <v>0</v>
      </c>
      <c r="D403" s="34" t="n">
        <f aca="false">$B$25*$D$9*D$16*D399/12</f>
        <v>2.286651444</v>
      </c>
      <c r="E403" s="34" t="n">
        <f aca="false">$B$25*$D$9*E$16*E399/12</f>
        <v>2.286651444</v>
      </c>
      <c r="F403" s="34" t="n">
        <f aca="false">$B$25*$D$9*F$16*F399/12</f>
        <v>4.2504</v>
      </c>
      <c r="G403" s="34" t="n">
        <f aca="false">$B$25*$D$9*G$16*G399/12</f>
        <v>4.2504</v>
      </c>
      <c r="H403" s="34" t="n">
        <f aca="false">$B$25*$D$9*H$16*H399/12</f>
        <v>4.2504</v>
      </c>
      <c r="I403" s="34" t="n">
        <f aca="false">$B$25*$D$9*I$16*I399/12</f>
        <v>4.2504</v>
      </c>
      <c r="J403" s="34" t="n">
        <f aca="false">$B$25*$D$9*J$16*J399/12</f>
        <v>4.2504</v>
      </c>
      <c r="K403" s="34" t="n">
        <f aca="false">$B$25*$D$9*K$16*K399/12</f>
        <v>4.2504</v>
      </c>
      <c r="L403" s="34" t="n">
        <f aca="false">$B$25*$D$9*L$16*L399/12</f>
        <v>4.2504</v>
      </c>
      <c r="M403" s="34" t="n">
        <f aca="false">$B$25*$D$9*M$16*M399/12</f>
        <v>4.2504</v>
      </c>
      <c r="N403" s="34" t="n">
        <f aca="false">$B$25*$D$9*N$16*N399/12</f>
        <v>4.2504</v>
      </c>
    </row>
    <row r="404" customFormat="false" ht="15" hidden="false" customHeight="false" outlineLevel="0" collapsed="false">
      <c r="A404" s="0" t="s">
        <v>3611</v>
      </c>
      <c r="B404" s="34" t="n">
        <f aca="false">SUM(B400:B403)</f>
        <v>0</v>
      </c>
      <c r="C404" s="34" t="n">
        <f aca="false">SUM(C400:C403)</f>
        <v>2.1861397081125</v>
      </c>
      <c r="D404" s="34" t="n">
        <f aca="false">SUM(D400:D403)</f>
        <v>23.3964444595875</v>
      </c>
      <c r="E404" s="34" t="n">
        <f aca="false">SUM(E400:E403)</f>
        <v>23.3964444595875</v>
      </c>
      <c r="F404" s="34" t="n">
        <f aca="false">SUM(F400:F403)</f>
        <v>43.4890275</v>
      </c>
      <c r="G404" s="34" t="n">
        <f aca="false">SUM(G400:G403)</f>
        <v>43.4890275</v>
      </c>
      <c r="H404" s="34" t="n">
        <f aca="false">SUM(H400:H403)</f>
        <v>43.4890275</v>
      </c>
      <c r="I404" s="34" t="n">
        <f aca="false">SUM(I400:I403)</f>
        <v>43.4890275</v>
      </c>
      <c r="J404" s="34" t="n">
        <f aca="false">SUM(J400:J403)</f>
        <v>43.4890275</v>
      </c>
      <c r="K404" s="34" t="n">
        <f aca="false">SUM(K400:K403)</f>
        <v>43.4890275</v>
      </c>
      <c r="L404" s="34" t="n">
        <f aca="false">SUM(L400:L403)</f>
        <v>43.4890275</v>
      </c>
      <c r="M404" s="34" t="n">
        <f aca="false">SUM(M400:M403)</f>
        <v>43.4890275</v>
      </c>
      <c r="N404" s="34" t="n">
        <f aca="false">SUM(N400:N403)</f>
        <v>43.4890275</v>
      </c>
    </row>
    <row r="405" customFormat="false" ht="15" hidden="false" customHeight="false" outlineLevel="0" collapsed="false">
      <c r="A405" s="0" t="s">
        <v>3612</v>
      </c>
      <c r="B405" s="34" t="n">
        <f aca="false">$C$25*'Programme cost'!$B$51</f>
        <v>19.714004597171</v>
      </c>
      <c r="C405" s="34" t="n">
        <f aca="false">$C$25*'Programme cost'!$C$51</f>
        <v>19.6255106457493</v>
      </c>
      <c r="D405" s="34" t="n">
        <f aca="false">$C$25*'Programme cost'!$D$51</f>
        <v>21.2860362987608</v>
      </c>
      <c r="E405" s="34" t="n">
        <f aca="false">$C$25*'Programme cost'!$E$51</f>
        <v>15.6008250818282</v>
      </c>
      <c r="F405" s="34" t="n">
        <v>0</v>
      </c>
      <c r="G405" s="34" t="n">
        <v>0</v>
      </c>
      <c r="H405" s="34" t="n">
        <v>0</v>
      </c>
      <c r="I405" s="34" t="n">
        <v>0</v>
      </c>
      <c r="J405" s="34" t="n">
        <v>0</v>
      </c>
      <c r="K405" s="34" t="n">
        <v>0</v>
      </c>
      <c r="L405" s="34" t="n">
        <v>0</v>
      </c>
      <c r="M405" s="34" t="n">
        <v>0</v>
      </c>
      <c r="N405" s="34" t="n">
        <v>0</v>
      </c>
    </row>
    <row r="406" customFormat="false" ht="15" hidden="false" customHeight="false" outlineLevel="0" collapsed="false">
      <c r="A406" s="0" t="s">
        <v>3613</v>
      </c>
      <c r="B406" s="34" t="n">
        <v>0</v>
      </c>
      <c r="C406" s="34" t="n">
        <v>0</v>
      </c>
      <c r="D406" s="34" t="n">
        <v>0</v>
      </c>
      <c r="E406" s="34" t="n">
        <v>0</v>
      </c>
      <c r="F406" s="34" t="n">
        <f aca="false">run_cost_eur_m_year*F399/12</f>
        <v>5</v>
      </c>
      <c r="G406" s="34" t="n">
        <f aca="false">run_cost_eur_m_year*G399/12</f>
        <v>5</v>
      </c>
      <c r="H406" s="34" t="n">
        <f aca="false">run_cost_eur_m_year*H399/12</f>
        <v>5</v>
      </c>
      <c r="I406" s="34" t="n">
        <f aca="false">run_cost_eur_m_year*I399/12</f>
        <v>5</v>
      </c>
      <c r="J406" s="34" t="n">
        <f aca="false">run_cost_eur_m_year*J399/12</f>
        <v>5</v>
      </c>
      <c r="K406" s="34" t="n">
        <f aca="false">run_cost_eur_m_year*K399/12</f>
        <v>5</v>
      </c>
      <c r="L406" s="34" t="n">
        <f aca="false">run_cost_eur_m_year*L399/12</f>
        <v>5</v>
      </c>
      <c r="M406" s="34" t="n">
        <f aca="false">run_cost_eur_m_year*M399/12</f>
        <v>5</v>
      </c>
      <c r="N406" s="34" t="n">
        <f aca="false">run_cost_eur_m_year*N399/12</f>
        <v>5</v>
      </c>
    </row>
    <row r="407" customFormat="false" ht="15" hidden="false" customHeight="false" outlineLevel="0" collapsed="false">
      <c r="A407" s="0" t="s">
        <v>3614</v>
      </c>
      <c r="B407" s="18" t="n">
        <f aca="false">MAX(0,MIN(1,($B$18-B398)/B399))</f>
        <v>1</v>
      </c>
      <c r="C407" s="18" t="n">
        <f aca="false">MAX(0,MIN(1,($B$18-C398)/C399))</f>
        <v>1</v>
      </c>
      <c r="D407" s="18" t="n">
        <f aca="false">MAX(0,MIN(1,($B$18-D398)/D399))</f>
        <v>1</v>
      </c>
      <c r="E407" s="18" t="n">
        <f aca="false">MAX(0,MIN(1,($B$18-E398)/E399))</f>
        <v>1</v>
      </c>
      <c r="F407" s="18" t="n">
        <f aca="false">MAX(0,MIN(1,($B$18-F398)/F399))</f>
        <v>1</v>
      </c>
      <c r="G407" s="18" t="n">
        <f aca="false">MAX(0,MIN(1,($B$18-G398)/G399))</f>
        <v>1</v>
      </c>
      <c r="H407" s="18" t="n">
        <f aca="false">MAX(0,MIN(1,($B$18-H398)/H399))</f>
        <v>1</v>
      </c>
      <c r="I407" s="18" t="n">
        <f aca="false">MAX(0,MIN(1,($B$18-I398)/I399))</f>
        <v>1</v>
      </c>
      <c r="J407" s="18" t="n">
        <f aca="false">MAX(0,MIN(1,($B$18-J398)/J399))</f>
        <v>1</v>
      </c>
      <c r="K407" s="18" t="n">
        <f aca="false">MAX(0,MIN(1,($B$18-K398)/K399))</f>
        <v>1</v>
      </c>
      <c r="L407" s="18" t="n">
        <f aca="false">MAX(0,MIN(1,($B$18-L398)/L399))</f>
        <v>1</v>
      </c>
      <c r="M407" s="18" t="n">
        <f aca="false">MAX(0,MIN(1,($B$18-M398)/M399))</f>
        <v>0.34</v>
      </c>
      <c r="N407" s="18" t="n">
        <f aca="false">MAX(0,MIN(1,($B$18-N398)/N399))</f>
        <v>0</v>
      </c>
    </row>
    <row r="408" customFormat="false" ht="15" hidden="false" customHeight="false" outlineLevel="0" collapsed="false">
      <c r="A408" s="0" t="s">
        <v>3615</v>
      </c>
      <c r="B408" s="18" t="n">
        <f aca="false">MAX(0,MIN(1,($B$17-B398)/B399))</f>
        <v>1</v>
      </c>
      <c r="C408" s="18" t="n">
        <f aca="false">MAX(0,MIN(1,($B$17-C398)/C399))</f>
        <v>1</v>
      </c>
      <c r="D408" s="18" t="n">
        <f aca="false">MAX(0,MIN(1,($B$17-D398)/D399))</f>
        <v>1</v>
      </c>
      <c r="E408" s="18" t="n">
        <f aca="false">MAX(0,MIN(1,($B$17-E398)/E399))</f>
        <v>1</v>
      </c>
      <c r="F408" s="18" t="n">
        <f aca="false">MAX(0,MIN(1,($B$17-F398)/F399))</f>
        <v>1</v>
      </c>
      <c r="G408" s="18" t="n">
        <f aca="false">MAX(0,MIN(1,($B$17-G398)/G399))</f>
        <v>1</v>
      </c>
      <c r="H408" s="18" t="n">
        <f aca="false">MAX(0,MIN(1,($B$17-H398)/H399))</f>
        <v>0.34</v>
      </c>
      <c r="I408" s="18" t="n">
        <f aca="false">MAX(0,MIN(1,($B$17-I398)/I399))</f>
        <v>0</v>
      </c>
      <c r="J408" s="18" t="n">
        <f aca="false">MAX(0,MIN(1,($B$17-J398)/J399))</f>
        <v>0</v>
      </c>
      <c r="K408" s="18" t="n">
        <f aca="false">MAX(0,MIN(1,($B$17-K398)/K399))</f>
        <v>0</v>
      </c>
      <c r="L408" s="18" t="n">
        <f aca="false">MAX(0,MIN(1,($B$17-L398)/L399))</f>
        <v>0</v>
      </c>
      <c r="M408" s="18" t="n">
        <f aca="false">MAX(0,MIN(1,($B$17-M398)/M399))</f>
        <v>0</v>
      </c>
      <c r="N408" s="18" t="n">
        <f aca="false">MAX(0,MIN(1,($B$17-N398)/N399))</f>
        <v>0</v>
      </c>
    </row>
    <row r="409" customFormat="false" ht="15" hidden="false" customHeight="false" outlineLevel="0" collapsed="false">
      <c r="A409" s="0" t="s">
        <v>3616</v>
      </c>
      <c r="B409" s="22" t="n">
        <f aca="false">B398+B399*B407/2</f>
        <v>3.99</v>
      </c>
      <c r="C409" s="22" t="n">
        <f aca="false">C398+C399*C407/2</f>
        <v>11.97</v>
      </c>
      <c r="D409" s="22" t="n">
        <f aca="false">D398+D399*D407/2</f>
        <v>19.95</v>
      </c>
      <c r="E409" s="22" t="n">
        <f aca="false">E398+E399*E407/2</f>
        <v>27.93</v>
      </c>
      <c r="F409" s="22" t="n">
        <f aca="false">F398+F399*F407/2</f>
        <v>37.92</v>
      </c>
      <c r="G409" s="22" t="n">
        <f aca="false">G398+G399*G407/2</f>
        <v>49.92</v>
      </c>
      <c r="H409" s="22" t="n">
        <f aca="false">H398+H399*H407/2</f>
        <v>61.92</v>
      </c>
      <c r="I409" s="22" t="n">
        <f aca="false">I398+I399*I407/2</f>
        <v>73.92</v>
      </c>
      <c r="J409" s="22" t="n">
        <f aca="false">J398+J399*J407/2</f>
        <v>85.92</v>
      </c>
      <c r="K409" s="22" t="n">
        <f aca="false">K398+K399*K407/2</f>
        <v>97.92</v>
      </c>
      <c r="L409" s="22" t="n">
        <f aca="false">L398+L399*L407/2</f>
        <v>109.92</v>
      </c>
      <c r="M409" s="22" t="n">
        <f aca="false">M398+M399*M407/2</f>
        <v>117.96</v>
      </c>
      <c r="N409" s="22" t="n">
        <f aca="false">N398+N399*N407/2</f>
        <v>127.92</v>
      </c>
    </row>
    <row r="410" customFormat="false" ht="15" hidden="false" customHeight="false" outlineLevel="0" collapsed="false">
      <c r="A410" s="0" t="s">
        <v>3617</v>
      </c>
      <c r="B410" s="22" t="n">
        <f aca="false">B398+B399*B408/2</f>
        <v>3.99</v>
      </c>
      <c r="C410" s="22" t="n">
        <f aca="false">C398+C399*C408/2</f>
        <v>11.97</v>
      </c>
      <c r="D410" s="22" t="n">
        <f aca="false">D398+D399*D408/2</f>
        <v>19.95</v>
      </c>
      <c r="E410" s="22" t="n">
        <f aca="false">E398+E399*E408/2</f>
        <v>27.93</v>
      </c>
      <c r="F410" s="22" t="n">
        <f aca="false">F398+F399*F408/2</f>
        <v>37.92</v>
      </c>
      <c r="G410" s="22" t="n">
        <f aca="false">G398+G399*G408/2</f>
        <v>49.92</v>
      </c>
      <c r="H410" s="22" t="n">
        <f aca="false">H398+H399*H408/2</f>
        <v>57.96</v>
      </c>
      <c r="I410" s="22" t="n">
        <f aca="false">I398+I399*I408/2</f>
        <v>67.92</v>
      </c>
      <c r="J410" s="22" t="n">
        <f aca="false">J398+J399*J408/2</f>
        <v>79.92</v>
      </c>
      <c r="K410" s="22" t="n">
        <f aca="false">K398+K399*K408/2</f>
        <v>91.92</v>
      </c>
      <c r="L410" s="22" t="n">
        <f aca="false">L398+L399*L408/2</f>
        <v>103.92</v>
      </c>
      <c r="M410" s="22" t="n">
        <f aca="false">M398+M399*M408/2</f>
        <v>115.92</v>
      </c>
      <c r="N410" s="22" t="n">
        <f aca="false">N398+N399*N408/2</f>
        <v>127.92</v>
      </c>
    </row>
    <row r="411" customFormat="false" ht="15" hidden="false" customHeight="false" outlineLevel="0" collapsed="false">
      <c r="A411" s="0" t="s">
        <v>3618</v>
      </c>
      <c r="B411" s="34" t="n">
        <f aca="false">(B404-B406)*B407-B405*SIGN(B407)</f>
        <v>-19.714004597171</v>
      </c>
      <c r="C411" s="34" t="n">
        <f aca="false">(C404-C406)*C407-C405*SIGN(C407)</f>
        <v>-17.4393709376368</v>
      </c>
      <c r="D411" s="34" t="n">
        <f aca="false">(D404-D406)*D407-D405*SIGN(D407)</f>
        <v>2.11040816082667</v>
      </c>
      <c r="E411" s="34" t="n">
        <f aca="false">(E404-E406)*E407-E405*SIGN(E407)</f>
        <v>7.79561937775932</v>
      </c>
      <c r="F411" s="34" t="n">
        <f aca="false">(F404-F406)*F407-F405*SIGN(F407)</f>
        <v>38.4890275</v>
      </c>
      <c r="G411" s="34" t="n">
        <f aca="false">(G404-G406)*G407-G405*SIGN(G407)</f>
        <v>38.4890275</v>
      </c>
      <c r="H411" s="34" t="n">
        <f aca="false">(H404-H406)*H407-H405*SIGN(H407)</f>
        <v>38.4890275</v>
      </c>
      <c r="I411" s="34" t="n">
        <f aca="false">(I404-I406)*I407-I405*SIGN(I407)</f>
        <v>38.4890275</v>
      </c>
      <c r="J411" s="34" t="n">
        <f aca="false">(J404-J406)*J407-J405*SIGN(J407)</f>
        <v>38.4890275</v>
      </c>
      <c r="K411" s="34" t="n">
        <f aca="false">(K404-K406)*K407-K405*SIGN(K407)</f>
        <v>38.4890275</v>
      </c>
      <c r="L411" s="34" t="n">
        <f aca="false">(L404-L406)*L407-L405*SIGN(L407)</f>
        <v>38.4890275</v>
      </c>
      <c r="M411" s="34" t="n">
        <f aca="false">(M404-M406)*M407-M405*SIGN(M407)</f>
        <v>13.08626935</v>
      </c>
      <c r="N411" s="34" t="n">
        <f aca="false">(N404-N406)*N407-N405*SIGN(N407)</f>
        <v>0</v>
      </c>
    </row>
    <row r="412" customFormat="false" ht="15" hidden="false" customHeight="false" outlineLevel="0" collapsed="false">
      <c r="A412" s="0" t="s">
        <v>3619</v>
      </c>
      <c r="B412" s="34" t="n">
        <f aca="false">B411</f>
        <v>-19.714004597171</v>
      </c>
      <c r="C412" s="34" t="n">
        <f aca="false">B412+C411</f>
        <v>-37.1533755348079</v>
      </c>
      <c r="D412" s="34" t="n">
        <f aca="false">C412+D411</f>
        <v>-35.0429673739812</v>
      </c>
      <c r="E412" s="34" t="n">
        <f aca="false">D412+E411</f>
        <v>-27.2473479962219</v>
      </c>
      <c r="F412" s="34" t="n">
        <f aca="false">E412+F411</f>
        <v>11.2416795037781</v>
      </c>
      <c r="G412" s="34" t="n">
        <f aca="false">F412+G411</f>
        <v>49.7307070037781</v>
      </c>
      <c r="H412" s="34" t="n">
        <f aca="false">G412+H411</f>
        <v>88.2197345037781</v>
      </c>
      <c r="I412" s="34" t="n">
        <f aca="false">H412+I411</f>
        <v>126.708762003778</v>
      </c>
      <c r="J412" s="34" t="n">
        <f aca="false">I412+J411</f>
        <v>165.197789503778</v>
      </c>
      <c r="K412" s="34" t="n">
        <f aca="false">J412+K411</f>
        <v>203.686817003778</v>
      </c>
      <c r="L412" s="34" t="n">
        <f aca="false">K412+L411</f>
        <v>242.175844503778</v>
      </c>
      <c r="M412" s="34" t="n">
        <f aca="false">L412+M411</f>
        <v>255.262113853778</v>
      </c>
      <c r="N412" s="34" t="n">
        <f aca="false">M412+N411</f>
        <v>255.262113853778</v>
      </c>
    </row>
    <row r="413" customFormat="false" ht="15" hidden="false" customHeight="false" outlineLevel="0" collapsed="false">
      <c r="A413" s="0" t="s">
        <v>3620</v>
      </c>
      <c r="B413" s="22" t="str">
        <f aca="false">IF(AND((-B405*SIGN(B407))&lt;0,(-B405*SIGN(B407))+((B404-B406)*B407)&gt;=0,((B404-B406)*B407)&gt;0),B398+B399*B407*(-(-B405*SIGN(B407)))/((B404-B406)*B407),"-")</f>
        <v>-</v>
      </c>
      <c r="C413" s="22" t="str">
        <f aca="false">IF(AND((B412-C405*SIGN(C407))&lt;0,(B412-C405*SIGN(C407))+((C404-C406)*C407)&gt;=0,((C404-C406)*C407)&gt;0),C398+C399*C407*(-(B412-C405*SIGN(C407)))/((C404-C406)*C407),"-")</f>
        <v>-</v>
      </c>
      <c r="D413" s="22" t="str">
        <f aca="false">IF(AND((C412-D405*SIGN(D407))&lt;0,(C412-D405*SIGN(D407))+((D404-D406)*D407)&gt;=0,((D404-D406)*D407)&gt;0),D398+D399*D407*(-(C412-D405*SIGN(D407)))/((D404-D406)*D407),"-")</f>
        <v>-</v>
      </c>
      <c r="E413" s="22" t="str">
        <f aca="false">IF(AND((D412-E405*SIGN(E407))&lt;0,(D412-E405*SIGN(E407))+((E404-E406)*E407)&gt;=0,((E404-E406)*E407)&gt;0),E398+E399*E407*(-(D412-E405*SIGN(E407)))/((E404-E406)*E407),"-")</f>
        <v>-</v>
      </c>
      <c r="F413" s="22" t="n">
        <f aca="false">IF(AND((E412-F405*SIGN(F407))&lt;0,(E412-F405*SIGN(F407))+((F404-F406)*F407)&gt;=0,((F404-F406)*F407)&gt;0),F398+F399*F407*(-(E412-F405*SIGN(F407)))/((F404-F406)*F407),"-")</f>
        <v>40.4151009987109</v>
      </c>
      <c r="G413" s="22" t="str">
        <f aca="false">IF(AND((F412-G405*SIGN(G407))&lt;0,(F412-G405*SIGN(G407))+((G404-G406)*G407)&gt;=0,((G404-G406)*G407)&gt;0),G398+G399*G407*(-(F412-G405*SIGN(G407)))/((G404-G406)*G407),"-")</f>
        <v>-</v>
      </c>
      <c r="H413" s="22" t="str">
        <f aca="false">IF(AND((G412-H405*SIGN(H407))&lt;0,(G412-H405*SIGN(H407))+((H404-H406)*H407)&gt;=0,((H404-H406)*H407)&gt;0),H398+H399*H407*(-(G412-H405*SIGN(H407)))/((H404-H406)*H407),"-")</f>
        <v>-</v>
      </c>
      <c r="I413" s="22" t="str">
        <f aca="false">IF(AND((H412-I405*SIGN(I407))&lt;0,(H412-I405*SIGN(I407))+((I404-I406)*I407)&gt;=0,((I404-I406)*I407)&gt;0),I398+I399*I407*(-(H412-I405*SIGN(I407)))/((I404-I406)*I407),"-")</f>
        <v>-</v>
      </c>
      <c r="J413" s="22" t="str">
        <f aca="false">IF(AND((I412-J405*SIGN(J407))&lt;0,(I412-J405*SIGN(J407))+((J404-J406)*J407)&gt;=0,((J404-J406)*J407)&gt;0),J398+J399*J407*(-(I412-J405*SIGN(J407)))/((J404-J406)*J407),"-")</f>
        <v>-</v>
      </c>
      <c r="K413" s="22" t="str">
        <f aca="false">IF(AND((J412-K405*SIGN(K407))&lt;0,(J412-K405*SIGN(K407))+((K404-K406)*K407)&gt;=0,((K404-K406)*K407)&gt;0),K398+K399*K407*(-(J412-K405*SIGN(K407)))/((K404-K406)*K407),"-")</f>
        <v>-</v>
      </c>
      <c r="L413" s="22" t="str">
        <f aca="false">IF(AND((K412-L405*SIGN(L407))&lt;0,(K412-L405*SIGN(L407))+((L404-L406)*L407)&gt;=0,((L404-L406)*L407)&gt;0),L398+L399*L407*(-(K412-L405*SIGN(L407)))/((L404-L406)*L407),"-")</f>
        <v>-</v>
      </c>
      <c r="M413" s="22" t="str">
        <f aca="false">IF(AND((L412-M405*SIGN(M407))&lt;0,(L412-M405*SIGN(M407))+((M404-M406)*M407)&gt;=0,((M404-M406)*M407)&gt;0),M398+M399*M407*(-(L412-M405*SIGN(M407)))/((M404-M406)*M407),"-")</f>
        <v>-</v>
      </c>
      <c r="N413" s="22" t="str">
        <f aca="false">IF(AND((M412-N405*SIGN(N407))&lt;0,(M412-N405*SIGN(N407))+((N404-N406)*N407)&gt;=0,((N404-N406)*N407)&gt;0),N398+N399*N407*(-(M412-N405*SIGN(N407)))/((N404-N406)*N407),"-")</f>
        <v>-</v>
      </c>
    </row>
    <row r="414" customFormat="false" ht="15" hidden="false" customHeight="false" outlineLevel="0" collapsed="false">
      <c r="A414" s="3" t="s">
        <v>3621</v>
      </c>
      <c r="B414" s="36" t="n">
        <f aca="false">IF(COUNT($B$413:$N$413)=0,"none within ten years",MIN($B$413:$N$413))</f>
        <v>40.4151009987109</v>
      </c>
    </row>
    <row r="415" customFormat="false" ht="15" hidden="false" customHeight="false" outlineLevel="0" collapsed="false">
      <c r="A415" s="16" t="s">
        <v>3622</v>
      </c>
      <c r="B415" s="37" t="n">
        <f aca="false">-B412</f>
        <v>19.714004597171</v>
      </c>
    </row>
    <row r="416" customFormat="false" ht="15" hidden="false" customHeight="false" outlineLevel="0" collapsed="false">
      <c r="A416" s="16" t="s">
        <v>3623</v>
      </c>
      <c r="B416" s="37" t="n">
        <f aca="false">-C412</f>
        <v>37.1533755348079</v>
      </c>
    </row>
    <row r="417" customFormat="false" ht="15" hidden="false" customHeight="false" outlineLevel="0" collapsed="false">
      <c r="A417" s="16" t="s">
        <v>3624</v>
      </c>
      <c r="B417" s="37" t="n">
        <f aca="false">-D412</f>
        <v>35.0429673739812</v>
      </c>
    </row>
    <row r="418" customFormat="false" ht="15" hidden="false" customHeight="false" outlineLevel="0" collapsed="false">
      <c r="A418" s="16" t="s">
        <v>3625</v>
      </c>
      <c r="B418" s="37" t="n">
        <f aca="false">-E412</f>
        <v>27.2473479962219</v>
      </c>
    </row>
    <row r="419" customFormat="false" ht="15" hidden="false" customHeight="false" outlineLevel="0" collapsed="false">
      <c r="A419" s="16" t="s">
        <v>3626</v>
      </c>
      <c r="B419" s="37" t="n">
        <f aca="false">SUMPRODUCT(($B$404:$N$404-$B$406:$N$406)*$B$408:$N$408/(1+stla_wacc_pretax_high_pct/100)^($B$410:$N$410/12))-SUMPRODUCT($B$405:$N$405*SIGN($B$408:$N$408)/(1+stla_wacc_pretax_high_pct/100)^($B$398:$N$398/12))</f>
        <v>16.3818556030932</v>
      </c>
    </row>
    <row r="420" customFormat="false" ht="15" hidden="false" customHeight="false" outlineLevel="0" collapsed="false">
      <c r="A420" s="16" t="s">
        <v>3627</v>
      </c>
      <c r="B420" s="37" t="n">
        <f aca="false">SUMPRODUCT(($B$404:$N$404-$B$406:$N$406)*$B$408:$N$408/(1+stla_wacc_pretax_low_pct/100)^($B$410:$N$410/12))-SUMPRODUCT($B$405:$N$405*SIGN($B$408:$N$408)/(1+stla_wacc_pretax_low_pct/100)^($B$398:$N$398/12))</f>
        <v>34.7059300321043</v>
      </c>
    </row>
    <row r="421" customFormat="false" ht="15" hidden="false" customHeight="false" outlineLevel="0" collapsed="false">
      <c r="A421" s="16" t="s">
        <v>3628</v>
      </c>
      <c r="B421" s="37" t="n">
        <f aca="false">SUMPRODUCT(($B$404:$N$404-$B$406:$N$406)*$B$407:$N$407/(1+stla_wacc_pretax_high_pct/100)^($B$409:$N$409/12))-SUMPRODUCT($B$405:$N$405*SIGN($B$407:$N$407)/(1+stla_wacc_pretax_high_pct/100)^($B$398:$N$398/12))</f>
        <v>70.1755934548015</v>
      </c>
    </row>
    <row r="422" customFormat="false" ht="15" hidden="false" customHeight="false" outlineLevel="0" collapsed="false">
      <c r="A422" s="16" t="s">
        <v>3629</v>
      </c>
      <c r="B422" s="37" t="n">
        <f aca="false">SUMPRODUCT(($B$404:$N$404-$B$406:$N$406)*$B$407:$N$407/(1+stla_wacc_pretax_low_pct/100)^($B$409:$N$409/12))-SUMPRODUCT($B$405:$N$405*SIGN($B$407:$N$407)/(1+stla_wacc_pretax_low_pct/100)^($B$398:$N$398/12))</f>
        <v>132.941226065282</v>
      </c>
    </row>
    <row r="424" customFormat="false" ht="26.85" hidden="false" customHeight="false" outlineLevel="0" collapsed="false">
      <c r="A424" s="4" t="s">
        <v>3649</v>
      </c>
      <c r="B424" s="4" t="s">
        <v>3580</v>
      </c>
      <c r="C424" s="4" t="s">
        <v>3561</v>
      </c>
      <c r="D424" s="4" t="s">
        <v>3564</v>
      </c>
      <c r="E424" s="4" t="s">
        <v>3572</v>
      </c>
      <c r="F424" s="4" t="s">
        <v>3581</v>
      </c>
      <c r="G424" s="4" t="s">
        <v>3582</v>
      </c>
      <c r="H424" s="4" t="s">
        <v>3583</v>
      </c>
      <c r="I424" s="4" t="s">
        <v>3584</v>
      </c>
      <c r="J424" s="4" t="s">
        <v>3585</v>
      </c>
      <c r="K424" s="4" t="s">
        <v>3586</v>
      </c>
      <c r="L424" s="4" t="s">
        <v>3587</v>
      </c>
      <c r="M424" s="4" t="s">
        <v>3588</v>
      </c>
      <c r="N424" s="4" t="s">
        <v>3589</v>
      </c>
    </row>
    <row r="425" customFormat="false" ht="15" hidden="false" customHeight="false" outlineLevel="0" collapsed="false">
      <c r="A425" s="0" t="s">
        <v>3609</v>
      </c>
      <c r="B425" s="22" t="n">
        <v>0</v>
      </c>
      <c r="C425" s="22" t="n">
        <f aca="false">B425+B426</f>
        <v>7.98</v>
      </c>
      <c r="D425" s="22" t="n">
        <f aca="false">C425+C426</f>
        <v>15.96</v>
      </c>
      <c r="E425" s="22" t="n">
        <f aca="false">D425+D426</f>
        <v>23.94</v>
      </c>
      <c r="F425" s="22" t="n">
        <f aca="false">E425+E426</f>
        <v>31.92</v>
      </c>
      <c r="G425" s="22" t="n">
        <f aca="false">F425+F426</f>
        <v>43.92</v>
      </c>
      <c r="H425" s="22" t="n">
        <f aca="false">G425+G426</f>
        <v>55.92</v>
      </c>
      <c r="I425" s="22" t="n">
        <f aca="false">H425+H426</f>
        <v>67.92</v>
      </c>
      <c r="J425" s="22" t="n">
        <f aca="false">I425+I426</f>
        <v>79.92</v>
      </c>
      <c r="K425" s="22" t="n">
        <f aca="false">J425+J426</f>
        <v>91.92</v>
      </c>
      <c r="L425" s="22" t="n">
        <f aca="false">K425+K426</f>
        <v>103.92</v>
      </c>
      <c r="M425" s="22" t="n">
        <f aca="false">L425+L426</f>
        <v>115.92</v>
      </c>
      <c r="N425" s="22" t="n">
        <f aca="false">M425+M426</f>
        <v>127.92</v>
      </c>
    </row>
    <row r="426" customFormat="false" ht="15" hidden="false" customHeight="false" outlineLevel="0" collapsed="false">
      <c r="A426" s="0" t="s">
        <v>3610</v>
      </c>
      <c r="B426" s="22" t="n">
        <f aca="false">$D$26</f>
        <v>7.98</v>
      </c>
      <c r="C426" s="22" t="n">
        <f aca="false">$D$26</f>
        <v>7.98</v>
      </c>
      <c r="D426" s="22" t="n">
        <f aca="false">$D$26</f>
        <v>7.98</v>
      </c>
      <c r="E426" s="22" t="n">
        <f aca="false">$D$26</f>
        <v>7.98</v>
      </c>
      <c r="F426" s="22" t="n">
        <f aca="false">12</f>
        <v>12</v>
      </c>
      <c r="G426" s="22" t="n">
        <f aca="false">12</f>
        <v>12</v>
      </c>
      <c r="H426" s="22" t="n">
        <f aca="false">12</f>
        <v>12</v>
      </c>
      <c r="I426" s="22" t="n">
        <f aca="false">12</f>
        <v>12</v>
      </c>
      <c r="J426" s="22" t="n">
        <f aca="false">12</f>
        <v>12</v>
      </c>
      <c r="K426" s="22" t="n">
        <f aca="false">12</f>
        <v>12</v>
      </c>
      <c r="L426" s="22" t="n">
        <f aca="false">12</f>
        <v>12</v>
      </c>
      <c r="M426" s="22" t="n">
        <f aca="false">12</f>
        <v>12</v>
      </c>
      <c r="N426" s="22" t="n">
        <f aca="false">12</f>
        <v>12</v>
      </c>
    </row>
    <row r="427" customFormat="false" ht="15" hidden="false" customHeight="false" outlineLevel="0" collapsed="false">
      <c r="A427" s="0" t="s">
        <v>3559</v>
      </c>
      <c r="B427" s="34" t="n">
        <v>0</v>
      </c>
      <c r="C427" s="34" t="n">
        <f aca="false">$B$26*$G$6*C$16*C426/12</f>
        <v>0.302415992955563</v>
      </c>
      <c r="D427" s="34" t="n">
        <f aca="false">$B$26*$G$6*D$16*D426/12</f>
        <v>0.870656719932563</v>
      </c>
      <c r="E427" s="34" t="n">
        <f aca="false">$B$26*$G$6*E$16*E426/12</f>
        <v>0.870656719932563</v>
      </c>
      <c r="F427" s="34" t="n">
        <f aca="false">$B$26*$G$6*F$16*F426/12</f>
        <v>1.6183661625</v>
      </c>
      <c r="G427" s="34" t="n">
        <f aca="false">$B$26*$G$6*G$16*G426/12</f>
        <v>1.6183661625</v>
      </c>
      <c r="H427" s="34" t="n">
        <f aca="false">$B$26*$G$6*H$16*H426/12</f>
        <v>1.6183661625</v>
      </c>
      <c r="I427" s="34" t="n">
        <f aca="false">$B$26*$G$6*I$16*I426/12</f>
        <v>1.6183661625</v>
      </c>
      <c r="J427" s="34" t="n">
        <f aca="false">$B$26*$G$6*J$16*J426/12</f>
        <v>1.6183661625</v>
      </c>
      <c r="K427" s="34" t="n">
        <f aca="false">$B$26*$G$6*K$16*K426/12</f>
        <v>1.6183661625</v>
      </c>
      <c r="L427" s="34" t="n">
        <f aca="false">$B$26*$G$6*L$16*L426/12</f>
        <v>1.6183661625</v>
      </c>
      <c r="M427" s="34" t="n">
        <f aca="false">$B$26*$G$6*M$16*M426/12</f>
        <v>1.6183661625</v>
      </c>
      <c r="N427" s="34" t="n">
        <f aca="false">$B$26*$G$6*N$16*N426/12</f>
        <v>1.6183661625</v>
      </c>
    </row>
    <row r="428" customFormat="false" ht="15" hidden="false" customHeight="false" outlineLevel="0" collapsed="false">
      <c r="A428" s="0" t="s">
        <v>3563</v>
      </c>
      <c r="B428" s="34" t="n">
        <v>0</v>
      </c>
      <c r="C428" s="34" t="n">
        <v>0</v>
      </c>
      <c r="D428" s="34" t="n">
        <f aca="false">$B$26*$G$7*D$16*D426/12</f>
        <v>2.885184181019</v>
      </c>
      <c r="E428" s="34" t="n">
        <f aca="false">$B$26*$G$7*E$16*E426/12</f>
        <v>2.885184181019</v>
      </c>
      <c r="F428" s="34" t="n">
        <f aca="false">$B$26*$G$7*F$16*F426/12</f>
        <v>5.3629454</v>
      </c>
      <c r="G428" s="34" t="n">
        <f aca="false">$B$26*$G$7*G$16*G426/12</f>
        <v>5.3629454</v>
      </c>
      <c r="H428" s="34" t="n">
        <f aca="false">$B$26*$G$7*H$16*H426/12</f>
        <v>5.3629454</v>
      </c>
      <c r="I428" s="34" t="n">
        <f aca="false">$B$26*$G$7*I$16*I426/12</f>
        <v>5.3629454</v>
      </c>
      <c r="J428" s="34" t="n">
        <f aca="false">$B$26*$G$7*J$16*J426/12</f>
        <v>5.3629454</v>
      </c>
      <c r="K428" s="34" t="n">
        <f aca="false">$B$26*$G$7*K$16*K426/12</f>
        <v>5.3629454</v>
      </c>
      <c r="L428" s="34" t="n">
        <f aca="false">$B$26*$G$7*L$16*L426/12</f>
        <v>5.3629454</v>
      </c>
      <c r="M428" s="34" t="n">
        <f aca="false">$B$26*$G$7*M$16*M426/12</f>
        <v>5.3629454</v>
      </c>
      <c r="N428" s="34" t="n">
        <f aca="false">$B$26*$G$7*N$16*N426/12</f>
        <v>5.3629454</v>
      </c>
    </row>
    <row r="429" customFormat="false" ht="15" hidden="false" customHeight="false" outlineLevel="0" collapsed="false">
      <c r="A429" s="0" t="s">
        <v>3566</v>
      </c>
      <c r="B429" s="34" t="n">
        <v>0</v>
      </c>
      <c r="C429" s="34" t="n">
        <v>0</v>
      </c>
      <c r="D429" s="34" t="n">
        <f aca="false">$B$26*$G$8*D$16*D426/12</f>
        <v>3.64163534028525</v>
      </c>
      <c r="E429" s="34" t="n">
        <f aca="false">$B$26*$G$8*E$16*E426/12</f>
        <v>3.64163534028525</v>
      </c>
      <c r="F429" s="34" t="n">
        <f aca="false">$B$26*$G$8*F$16*F426/12</f>
        <v>6.76902765</v>
      </c>
      <c r="G429" s="34" t="n">
        <f aca="false">$B$26*$G$8*G$16*G426/12</f>
        <v>6.76902765</v>
      </c>
      <c r="H429" s="34" t="n">
        <f aca="false">$B$26*$G$8*H$16*H426/12</f>
        <v>6.76902765</v>
      </c>
      <c r="I429" s="34" t="n">
        <f aca="false">$B$26*$G$8*I$16*I426/12</f>
        <v>6.76902765</v>
      </c>
      <c r="J429" s="34" t="n">
        <f aca="false">$B$26*$G$8*J$16*J426/12</f>
        <v>6.76902765</v>
      </c>
      <c r="K429" s="34" t="n">
        <f aca="false">$B$26*$G$8*K$16*K426/12</f>
        <v>6.76902765</v>
      </c>
      <c r="L429" s="34" t="n">
        <f aca="false">$B$26*$G$8*L$16*L426/12</f>
        <v>6.76902765</v>
      </c>
      <c r="M429" s="34" t="n">
        <f aca="false">$B$26*$G$8*M$16*M426/12</f>
        <v>6.76902765</v>
      </c>
      <c r="N429" s="34" t="n">
        <f aca="false">$B$26*$G$8*N$16*N426/12</f>
        <v>6.76902765</v>
      </c>
    </row>
    <row r="430" customFormat="false" ht="15" hidden="false" customHeight="false" outlineLevel="0" collapsed="false">
      <c r="A430" s="0" t="s">
        <v>3568</v>
      </c>
      <c r="B430" s="34" t="n">
        <v>0</v>
      </c>
      <c r="C430" s="34" t="n">
        <v>0</v>
      </c>
      <c r="D430" s="34" t="n">
        <f aca="false">$B$26*$G$9*D$16*D426/12</f>
        <v>1.518336558816</v>
      </c>
      <c r="E430" s="34" t="n">
        <f aca="false">$B$26*$G$9*E$16*E426/12</f>
        <v>1.518336558816</v>
      </c>
      <c r="F430" s="34" t="n">
        <f aca="false">$B$26*$G$9*F$16*F426/12</f>
        <v>2.8222656</v>
      </c>
      <c r="G430" s="34" t="n">
        <f aca="false">$B$26*$G$9*G$16*G426/12</f>
        <v>2.8222656</v>
      </c>
      <c r="H430" s="34" t="n">
        <f aca="false">$B$26*$G$9*H$16*H426/12</f>
        <v>2.8222656</v>
      </c>
      <c r="I430" s="34" t="n">
        <f aca="false">$B$26*$G$9*I$16*I426/12</f>
        <v>2.8222656</v>
      </c>
      <c r="J430" s="34" t="n">
        <f aca="false">$B$26*$G$9*J$16*J426/12</f>
        <v>2.8222656</v>
      </c>
      <c r="K430" s="34" t="n">
        <f aca="false">$B$26*$G$9*K$16*K426/12</f>
        <v>2.8222656</v>
      </c>
      <c r="L430" s="34" t="n">
        <f aca="false">$B$26*$G$9*L$16*L426/12</f>
        <v>2.8222656</v>
      </c>
      <c r="M430" s="34" t="n">
        <f aca="false">$B$26*$G$9*M$16*M426/12</f>
        <v>2.8222656</v>
      </c>
      <c r="N430" s="34" t="n">
        <f aca="false">$B$26*$G$9*N$16*N426/12</f>
        <v>2.8222656</v>
      </c>
    </row>
    <row r="431" customFormat="false" ht="15" hidden="false" customHeight="false" outlineLevel="0" collapsed="false">
      <c r="A431" s="0" t="s">
        <v>3611</v>
      </c>
      <c r="B431" s="34" t="n">
        <f aca="false">SUM(B427:B430)</f>
        <v>0</v>
      </c>
      <c r="C431" s="34" t="n">
        <f aca="false">SUM(C427:C430)</f>
        <v>0.302415992955563</v>
      </c>
      <c r="D431" s="34" t="n">
        <f aca="false">SUM(D427:D430)</f>
        <v>8.91581280005281</v>
      </c>
      <c r="E431" s="34" t="n">
        <f aca="false">SUM(E427:E430)</f>
        <v>8.91581280005281</v>
      </c>
      <c r="F431" s="34" t="n">
        <f aca="false">SUM(F427:F430)</f>
        <v>16.5726048125</v>
      </c>
      <c r="G431" s="34" t="n">
        <f aca="false">SUM(G427:G430)</f>
        <v>16.5726048125</v>
      </c>
      <c r="H431" s="34" t="n">
        <f aca="false">SUM(H427:H430)</f>
        <v>16.5726048125</v>
      </c>
      <c r="I431" s="34" t="n">
        <f aca="false">SUM(I427:I430)</f>
        <v>16.5726048125</v>
      </c>
      <c r="J431" s="34" t="n">
        <f aca="false">SUM(J427:J430)</f>
        <v>16.5726048125</v>
      </c>
      <c r="K431" s="34" t="n">
        <f aca="false">SUM(K427:K430)</f>
        <v>16.5726048125</v>
      </c>
      <c r="L431" s="34" t="n">
        <f aca="false">SUM(L427:L430)</f>
        <v>16.5726048125</v>
      </c>
      <c r="M431" s="34" t="n">
        <f aca="false">SUM(M427:M430)</f>
        <v>16.5726048125</v>
      </c>
      <c r="N431" s="34" t="n">
        <f aca="false">SUM(N427:N430)</f>
        <v>16.5726048125</v>
      </c>
    </row>
    <row r="432" customFormat="false" ht="15" hidden="false" customHeight="false" outlineLevel="0" collapsed="false">
      <c r="A432" s="0" t="s">
        <v>3612</v>
      </c>
      <c r="B432" s="34" t="n">
        <f aca="false">$C$26*'Programme cost'!$B$51</f>
        <v>6.54504952626079</v>
      </c>
      <c r="C432" s="34" t="n">
        <f aca="false">$C$26*'Programme cost'!$C$51</f>
        <v>6.51566953438878</v>
      </c>
      <c r="D432" s="34" t="n">
        <f aca="false">$C$26*'Programme cost'!$D$51</f>
        <v>7.0669640511886</v>
      </c>
      <c r="E432" s="34" t="n">
        <f aca="false">$C$26*'Programme cost'!$E$51</f>
        <v>5.17947392716696</v>
      </c>
      <c r="F432" s="34" t="n">
        <v>0</v>
      </c>
      <c r="G432" s="34" t="n">
        <v>0</v>
      </c>
      <c r="H432" s="34" t="n">
        <v>0</v>
      </c>
      <c r="I432" s="34" t="n">
        <v>0</v>
      </c>
      <c r="J432" s="34" t="n">
        <v>0</v>
      </c>
      <c r="K432" s="34" t="n">
        <v>0</v>
      </c>
      <c r="L432" s="34" t="n">
        <v>0</v>
      </c>
      <c r="M432" s="34" t="n">
        <v>0</v>
      </c>
      <c r="N432" s="34" t="n">
        <v>0</v>
      </c>
    </row>
    <row r="433" customFormat="false" ht="15" hidden="false" customHeight="false" outlineLevel="0" collapsed="false">
      <c r="A433" s="0" t="s">
        <v>3613</v>
      </c>
      <c r="B433" s="34" t="n">
        <v>0</v>
      </c>
      <c r="C433" s="34" t="n">
        <v>0</v>
      </c>
      <c r="D433" s="34" t="n">
        <v>0</v>
      </c>
      <c r="E433" s="34" t="n">
        <v>0</v>
      </c>
      <c r="F433" s="34" t="n">
        <f aca="false">Assumptions!$E$763*F426/12</f>
        <v>8</v>
      </c>
      <c r="G433" s="34" t="n">
        <f aca="false">Assumptions!$E$763*G426/12</f>
        <v>8</v>
      </c>
      <c r="H433" s="34" t="n">
        <f aca="false">Assumptions!$E$763*H426/12</f>
        <v>8</v>
      </c>
      <c r="I433" s="34" t="n">
        <f aca="false">Assumptions!$E$763*I426/12</f>
        <v>8</v>
      </c>
      <c r="J433" s="34" t="n">
        <f aca="false">Assumptions!$E$763*J426/12</f>
        <v>8</v>
      </c>
      <c r="K433" s="34" t="n">
        <f aca="false">Assumptions!$E$763*K426/12</f>
        <v>8</v>
      </c>
      <c r="L433" s="34" t="n">
        <f aca="false">Assumptions!$E$763*L426/12</f>
        <v>8</v>
      </c>
      <c r="M433" s="34" t="n">
        <f aca="false">Assumptions!$E$763*M426/12</f>
        <v>8</v>
      </c>
      <c r="N433" s="34" t="n">
        <f aca="false">Assumptions!$E$763*N426/12</f>
        <v>8</v>
      </c>
    </row>
    <row r="434" customFormat="false" ht="15" hidden="false" customHeight="false" outlineLevel="0" collapsed="false">
      <c r="A434" s="0" t="s">
        <v>3614</v>
      </c>
      <c r="B434" s="18" t="n">
        <f aca="false">MAX(0,MIN(1,($B$18-B425)/B426))</f>
        <v>1</v>
      </c>
      <c r="C434" s="18" t="n">
        <f aca="false">MAX(0,MIN(1,($B$18-C425)/C426))</f>
        <v>1</v>
      </c>
      <c r="D434" s="18" t="n">
        <f aca="false">MAX(0,MIN(1,($B$18-D425)/D426))</f>
        <v>1</v>
      </c>
      <c r="E434" s="18" t="n">
        <f aca="false">MAX(0,MIN(1,($B$18-E425)/E426))</f>
        <v>1</v>
      </c>
      <c r="F434" s="18" t="n">
        <f aca="false">MAX(0,MIN(1,($B$18-F425)/F426))</f>
        <v>1</v>
      </c>
      <c r="G434" s="18" t="n">
        <f aca="false">MAX(0,MIN(1,($B$18-G425)/G426))</f>
        <v>1</v>
      </c>
      <c r="H434" s="18" t="n">
        <f aca="false">MAX(0,MIN(1,($B$18-H425)/H426))</f>
        <v>1</v>
      </c>
      <c r="I434" s="18" t="n">
        <f aca="false">MAX(0,MIN(1,($B$18-I425)/I426))</f>
        <v>1</v>
      </c>
      <c r="J434" s="18" t="n">
        <f aca="false">MAX(0,MIN(1,($B$18-J425)/J426))</f>
        <v>1</v>
      </c>
      <c r="K434" s="18" t="n">
        <f aca="false">MAX(0,MIN(1,($B$18-K425)/K426))</f>
        <v>1</v>
      </c>
      <c r="L434" s="18" t="n">
        <f aca="false">MAX(0,MIN(1,($B$18-L425)/L426))</f>
        <v>1</v>
      </c>
      <c r="M434" s="18" t="n">
        <f aca="false">MAX(0,MIN(1,($B$18-M425)/M426))</f>
        <v>0.34</v>
      </c>
      <c r="N434" s="18" t="n">
        <f aca="false">MAX(0,MIN(1,($B$18-N425)/N426))</f>
        <v>0</v>
      </c>
    </row>
    <row r="435" customFormat="false" ht="15" hidden="false" customHeight="false" outlineLevel="0" collapsed="false">
      <c r="A435" s="0" t="s">
        <v>3615</v>
      </c>
      <c r="B435" s="18" t="n">
        <f aca="false">MAX(0,MIN(1,($B$17-B425)/B426))</f>
        <v>1</v>
      </c>
      <c r="C435" s="18" t="n">
        <f aca="false">MAX(0,MIN(1,($B$17-C425)/C426))</f>
        <v>1</v>
      </c>
      <c r="D435" s="18" t="n">
        <f aca="false">MAX(0,MIN(1,($B$17-D425)/D426))</f>
        <v>1</v>
      </c>
      <c r="E435" s="18" t="n">
        <f aca="false">MAX(0,MIN(1,($B$17-E425)/E426))</f>
        <v>1</v>
      </c>
      <c r="F435" s="18" t="n">
        <f aca="false">MAX(0,MIN(1,($B$17-F425)/F426))</f>
        <v>1</v>
      </c>
      <c r="G435" s="18" t="n">
        <f aca="false">MAX(0,MIN(1,($B$17-G425)/G426))</f>
        <v>1</v>
      </c>
      <c r="H435" s="18" t="n">
        <f aca="false">MAX(0,MIN(1,($B$17-H425)/H426))</f>
        <v>0.34</v>
      </c>
      <c r="I435" s="18" t="n">
        <f aca="false">MAX(0,MIN(1,($B$17-I425)/I426))</f>
        <v>0</v>
      </c>
      <c r="J435" s="18" t="n">
        <f aca="false">MAX(0,MIN(1,($B$17-J425)/J426))</f>
        <v>0</v>
      </c>
      <c r="K435" s="18" t="n">
        <f aca="false">MAX(0,MIN(1,($B$17-K425)/K426))</f>
        <v>0</v>
      </c>
      <c r="L435" s="18" t="n">
        <f aca="false">MAX(0,MIN(1,($B$17-L425)/L426))</f>
        <v>0</v>
      </c>
      <c r="M435" s="18" t="n">
        <f aca="false">MAX(0,MIN(1,($B$17-M425)/M426))</f>
        <v>0</v>
      </c>
      <c r="N435" s="18" t="n">
        <f aca="false">MAX(0,MIN(1,($B$17-N425)/N426))</f>
        <v>0</v>
      </c>
    </row>
    <row r="436" customFormat="false" ht="15" hidden="false" customHeight="false" outlineLevel="0" collapsed="false">
      <c r="A436" s="0" t="s">
        <v>3616</v>
      </c>
      <c r="B436" s="22" t="n">
        <f aca="false">B425+B426*B434/2</f>
        <v>3.99</v>
      </c>
      <c r="C436" s="22" t="n">
        <f aca="false">C425+C426*C434/2</f>
        <v>11.97</v>
      </c>
      <c r="D436" s="22" t="n">
        <f aca="false">D425+D426*D434/2</f>
        <v>19.95</v>
      </c>
      <c r="E436" s="22" t="n">
        <f aca="false">E425+E426*E434/2</f>
        <v>27.93</v>
      </c>
      <c r="F436" s="22" t="n">
        <f aca="false">F425+F426*F434/2</f>
        <v>37.92</v>
      </c>
      <c r="G436" s="22" t="n">
        <f aca="false">G425+G426*G434/2</f>
        <v>49.92</v>
      </c>
      <c r="H436" s="22" t="n">
        <f aca="false">H425+H426*H434/2</f>
        <v>61.92</v>
      </c>
      <c r="I436" s="22" t="n">
        <f aca="false">I425+I426*I434/2</f>
        <v>73.92</v>
      </c>
      <c r="J436" s="22" t="n">
        <f aca="false">J425+J426*J434/2</f>
        <v>85.92</v>
      </c>
      <c r="K436" s="22" t="n">
        <f aca="false">K425+K426*K434/2</f>
        <v>97.92</v>
      </c>
      <c r="L436" s="22" t="n">
        <f aca="false">L425+L426*L434/2</f>
        <v>109.92</v>
      </c>
      <c r="M436" s="22" t="n">
        <f aca="false">M425+M426*M434/2</f>
        <v>117.96</v>
      </c>
      <c r="N436" s="22" t="n">
        <f aca="false">N425+N426*N434/2</f>
        <v>127.92</v>
      </c>
    </row>
    <row r="437" customFormat="false" ht="15" hidden="false" customHeight="false" outlineLevel="0" collapsed="false">
      <c r="A437" s="0" t="s">
        <v>3617</v>
      </c>
      <c r="B437" s="22" t="n">
        <f aca="false">B425+B426*B435/2</f>
        <v>3.99</v>
      </c>
      <c r="C437" s="22" t="n">
        <f aca="false">C425+C426*C435/2</f>
        <v>11.97</v>
      </c>
      <c r="D437" s="22" t="n">
        <f aca="false">D425+D426*D435/2</f>
        <v>19.95</v>
      </c>
      <c r="E437" s="22" t="n">
        <f aca="false">E425+E426*E435/2</f>
        <v>27.93</v>
      </c>
      <c r="F437" s="22" t="n">
        <f aca="false">F425+F426*F435/2</f>
        <v>37.92</v>
      </c>
      <c r="G437" s="22" t="n">
        <f aca="false">G425+G426*G435/2</f>
        <v>49.92</v>
      </c>
      <c r="H437" s="22" t="n">
        <f aca="false">H425+H426*H435/2</f>
        <v>57.96</v>
      </c>
      <c r="I437" s="22" t="n">
        <f aca="false">I425+I426*I435/2</f>
        <v>67.92</v>
      </c>
      <c r="J437" s="22" t="n">
        <f aca="false">J425+J426*J435/2</f>
        <v>79.92</v>
      </c>
      <c r="K437" s="22" t="n">
        <f aca="false">K425+K426*K435/2</f>
        <v>91.92</v>
      </c>
      <c r="L437" s="22" t="n">
        <f aca="false">L425+L426*L435/2</f>
        <v>103.92</v>
      </c>
      <c r="M437" s="22" t="n">
        <f aca="false">M425+M426*M435/2</f>
        <v>115.92</v>
      </c>
      <c r="N437" s="22" t="n">
        <f aca="false">N425+N426*N435/2</f>
        <v>127.92</v>
      </c>
    </row>
    <row r="438" customFormat="false" ht="15" hidden="false" customHeight="false" outlineLevel="0" collapsed="false">
      <c r="A438" s="0" t="s">
        <v>3618</v>
      </c>
      <c r="B438" s="34" t="n">
        <f aca="false">(B431-B433)*B434-B432*SIGN(B434)</f>
        <v>-6.54504952626079</v>
      </c>
      <c r="C438" s="34" t="n">
        <f aca="false">(C431-C433)*C434-C432*SIGN(C434)</f>
        <v>-6.21325354143322</v>
      </c>
      <c r="D438" s="34" t="n">
        <f aca="false">(D431-D433)*D434-D432*SIGN(D434)</f>
        <v>1.84884874886422</v>
      </c>
      <c r="E438" s="34" t="n">
        <f aca="false">(E431-E433)*E434-E432*SIGN(E434)</f>
        <v>3.73633887288586</v>
      </c>
      <c r="F438" s="34" t="n">
        <f aca="false">(F431-F433)*F434-F432*SIGN(F434)</f>
        <v>8.5726048125</v>
      </c>
      <c r="G438" s="34" t="n">
        <f aca="false">(G431-G433)*G434-G432*SIGN(G434)</f>
        <v>8.5726048125</v>
      </c>
      <c r="H438" s="34" t="n">
        <f aca="false">(H431-H433)*H434-H432*SIGN(H434)</f>
        <v>8.5726048125</v>
      </c>
      <c r="I438" s="34" t="n">
        <f aca="false">(I431-I433)*I434-I432*SIGN(I434)</f>
        <v>8.5726048125</v>
      </c>
      <c r="J438" s="34" t="n">
        <f aca="false">(J431-J433)*J434-J432*SIGN(J434)</f>
        <v>8.5726048125</v>
      </c>
      <c r="K438" s="34" t="n">
        <f aca="false">(K431-K433)*K434-K432*SIGN(K434)</f>
        <v>8.5726048125</v>
      </c>
      <c r="L438" s="34" t="n">
        <f aca="false">(L431-L433)*L434-L432*SIGN(L434)</f>
        <v>8.5726048125</v>
      </c>
      <c r="M438" s="34" t="n">
        <f aca="false">(M431-M433)*M434-M432*SIGN(M434)</f>
        <v>2.91468563625</v>
      </c>
      <c r="N438" s="34" t="n">
        <f aca="false">(N431-N433)*N434-N432*SIGN(N434)</f>
        <v>0</v>
      </c>
    </row>
    <row r="439" customFormat="false" ht="15" hidden="false" customHeight="false" outlineLevel="0" collapsed="false">
      <c r="A439" s="0" t="s">
        <v>3619</v>
      </c>
      <c r="B439" s="34" t="n">
        <f aca="false">B438</f>
        <v>-6.54504952626079</v>
      </c>
      <c r="C439" s="34" t="n">
        <f aca="false">B439+C438</f>
        <v>-12.758303067694</v>
      </c>
      <c r="D439" s="34" t="n">
        <f aca="false">C439+D438</f>
        <v>-10.9094543188298</v>
      </c>
      <c r="E439" s="34" t="n">
        <f aca="false">D439+E438</f>
        <v>-7.17311544594393</v>
      </c>
      <c r="F439" s="34" t="n">
        <f aca="false">E439+F438</f>
        <v>1.39948936655607</v>
      </c>
      <c r="G439" s="34" t="n">
        <f aca="false">F439+G438</f>
        <v>9.97209417905607</v>
      </c>
      <c r="H439" s="34" t="n">
        <f aca="false">G439+H438</f>
        <v>18.5446989915561</v>
      </c>
      <c r="I439" s="34" t="n">
        <f aca="false">H439+I438</f>
        <v>27.1173038040561</v>
      </c>
      <c r="J439" s="34" t="n">
        <f aca="false">I439+J438</f>
        <v>35.6899086165561</v>
      </c>
      <c r="K439" s="34" t="n">
        <f aca="false">J439+K438</f>
        <v>44.2625134290561</v>
      </c>
      <c r="L439" s="34" t="n">
        <f aca="false">K439+L438</f>
        <v>52.8351182415561</v>
      </c>
      <c r="M439" s="34" t="n">
        <f aca="false">L439+M438</f>
        <v>55.7498038778061</v>
      </c>
      <c r="N439" s="34" t="n">
        <f aca="false">M439+N438</f>
        <v>55.7498038778061</v>
      </c>
    </row>
    <row r="440" customFormat="false" ht="15" hidden="false" customHeight="false" outlineLevel="0" collapsed="false">
      <c r="A440" s="0" t="s">
        <v>3620</v>
      </c>
      <c r="B440" s="22" t="str">
        <f aca="false">IF(AND((-B432*SIGN(B434))&lt;0,(-B432*SIGN(B434))+((B431-B433)*B434)&gt;=0,((B431-B433)*B434)&gt;0),B425+B426*B434*(-(-B432*SIGN(B434)))/((B431-B433)*B434),"-")</f>
        <v>-</v>
      </c>
      <c r="C440" s="22" t="str">
        <f aca="false">IF(AND((B439-C432*SIGN(C434))&lt;0,(B439-C432*SIGN(C434))+((C431-C433)*C434)&gt;=0,((C431-C433)*C434)&gt;0),C425+C426*C434*(-(B439-C432*SIGN(C434)))/((C431-C433)*C434),"-")</f>
        <v>-</v>
      </c>
      <c r="D440" s="22" t="str">
        <f aca="false">IF(AND((C439-D432*SIGN(D434))&lt;0,(C439-D432*SIGN(D434))+((D431-D433)*D434)&gt;=0,((D431-D433)*D434)&gt;0),D425+D426*D434*(-(C439-D432*SIGN(D434)))/((D431-D433)*D434),"-")</f>
        <v>-</v>
      </c>
      <c r="E440" s="22" t="str">
        <f aca="false">IF(AND((D439-E432*SIGN(E434))&lt;0,(D439-E432*SIGN(E434))+((E431-E433)*E434)&gt;=0,((E431-E433)*E434)&gt;0),E425+E426*E434*(-(D439-E432*SIGN(E434)))/((E431-E433)*E434),"-")</f>
        <v>-</v>
      </c>
      <c r="F440" s="22" t="n">
        <f aca="false">IF(AND((E439-F432*SIGN(F434))&lt;0,(E439-F432*SIGN(F434))+((F431-F433)*F434)&gt;=0,((F431-F433)*F434)&gt;0),F425+F426*F434*(-(E439-F432*SIGN(F434)))/((F431-F433)*F434),"-")</f>
        <v>41.9609837189526</v>
      </c>
      <c r="G440" s="22" t="str">
        <f aca="false">IF(AND((F439-G432*SIGN(G434))&lt;0,(F439-G432*SIGN(G434))+((G431-G433)*G434)&gt;=0,((G431-G433)*G434)&gt;0),G425+G426*G434*(-(F439-G432*SIGN(G434)))/((G431-G433)*G434),"-")</f>
        <v>-</v>
      </c>
      <c r="H440" s="22" t="str">
        <f aca="false">IF(AND((G439-H432*SIGN(H434))&lt;0,(G439-H432*SIGN(H434))+((H431-H433)*H434)&gt;=0,((H431-H433)*H434)&gt;0),H425+H426*H434*(-(G439-H432*SIGN(H434)))/((H431-H433)*H434),"-")</f>
        <v>-</v>
      </c>
      <c r="I440" s="22" t="str">
        <f aca="false">IF(AND((H439-I432*SIGN(I434))&lt;0,(H439-I432*SIGN(I434))+((I431-I433)*I434)&gt;=0,((I431-I433)*I434)&gt;0),I425+I426*I434*(-(H439-I432*SIGN(I434)))/((I431-I433)*I434),"-")</f>
        <v>-</v>
      </c>
      <c r="J440" s="22" t="str">
        <f aca="false">IF(AND((I439-J432*SIGN(J434))&lt;0,(I439-J432*SIGN(J434))+((J431-J433)*J434)&gt;=0,((J431-J433)*J434)&gt;0),J425+J426*J434*(-(I439-J432*SIGN(J434)))/((J431-J433)*J434),"-")</f>
        <v>-</v>
      </c>
      <c r="K440" s="22" t="str">
        <f aca="false">IF(AND((J439-K432*SIGN(K434))&lt;0,(J439-K432*SIGN(K434))+((K431-K433)*K434)&gt;=0,((K431-K433)*K434)&gt;0),K425+K426*K434*(-(J439-K432*SIGN(K434)))/((K431-K433)*K434),"-")</f>
        <v>-</v>
      </c>
      <c r="L440" s="22" t="str">
        <f aca="false">IF(AND((K439-L432*SIGN(L434))&lt;0,(K439-L432*SIGN(L434))+((L431-L433)*L434)&gt;=0,((L431-L433)*L434)&gt;0),L425+L426*L434*(-(K439-L432*SIGN(L434)))/((L431-L433)*L434),"-")</f>
        <v>-</v>
      </c>
      <c r="M440" s="22" t="str">
        <f aca="false">IF(AND((L439-M432*SIGN(M434))&lt;0,(L439-M432*SIGN(M434))+((M431-M433)*M434)&gt;=0,((M431-M433)*M434)&gt;0),M425+M426*M434*(-(L439-M432*SIGN(M434)))/((M431-M433)*M434),"-")</f>
        <v>-</v>
      </c>
      <c r="N440" s="22" t="str">
        <f aca="false">IF(AND((M439-N432*SIGN(N434))&lt;0,(M439-N432*SIGN(N434))+((N431-N433)*N434)&gt;=0,((N431-N433)*N434)&gt;0),N425+N426*N434*(-(M439-N432*SIGN(N434)))/((N431-N433)*N434),"-")</f>
        <v>-</v>
      </c>
    </row>
    <row r="441" customFormat="false" ht="15" hidden="false" customHeight="false" outlineLevel="0" collapsed="false">
      <c r="A441" s="3" t="s">
        <v>3621</v>
      </c>
      <c r="B441" s="36" t="n">
        <f aca="false">IF(COUNT($B$440:$N$440)=0,"none within ten years",MIN($B$440:$N$440))</f>
        <v>41.9609837189526</v>
      </c>
    </row>
    <row r="442" customFormat="false" ht="15" hidden="false" customHeight="false" outlineLevel="0" collapsed="false">
      <c r="A442" s="16" t="s">
        <v>3622</v>
      </c>
      <c r="B442" s="37" t="n">
        <f aca="false">-B439</f>
        <v>6.54504952626079</v>
      </c>
    </row>
    <row r="443" customFormat="false" ht="15" hidden="false" customHeight="false" outlineLevel="0" collapsed="false">
      <c r="A443" s="16" t="s">
        <v>3623</v>
      </c>
      <c r="B443" s="37" t="n">
        <f aca="false">-C439</f>
        <v>12.758303067694</v>
      </c>
    </row>
    <row r="444" customFormat="false" ht="15" hidden="false" customHeight="false" outlineLevel="0" collapsed="false">
      <c r="A444" s="16" t="s">
        <v>3624</v>
      </c>
      <c r="B444" s="37" t="n">
        <f aca="false">-D439</f>
        <v>10.9094543188298</v>
      </c>
    </row>
    <row r="445" customFormat="false" ht="15" hidden="false" customHeight="false" outlineLevel="0" collapsed="false">
      <c r="A445" s="16" t="s">
        <v>3625</v>
      </c>
      <c r="B445" s="37" t="n">
        <f aca="false">-E439</f>
        <v>7.17311544594393</v>
      </c>
    </row>
    <row r="446" customFormat="false" ht="15" hidden="false" customHeight="false" outlineLevel="0" collapsed="false">
      <c r="A446" s="16" t="s">
        <v>3626</v>
      </c>
      <c r="B446" s="37" t="n">
        <f aca="false">SUMPRODUCT(($B$431:$N$431-$B$433:$N$433)*$B$435:$N$435/(1+stla_wacc_pretax_high_pct/100)^($B$437:$N$437/12))-SUMPRODUCT($B$432:$N$432*SIGN($B$435:$N$435)/(1+stla_wacc_pretax_high_pct/100)^($B$425:$N$425/12))</f>
        <v>1.62442091330476</v>
      </c>
    </row>
    <row r="447" customFormat="false" ht="15" hidden="false" customHeight="false" outlineLevel="0" collapsed="false">
      <c r="A447" s="16" t="s">
        <v>3627</v>
      </c>
      <c r="B447" s="37" t="n">
        <f aca="false">SUMPRODUCT(($B$431:$N$431-$B$433:$N$433)*$B$435:$N$435/(1+stla_wacc_pretax_low_pct/100)^($B$437:$N$437/12))-SUMPRODUCT($B$432:$N$432*SIGN($B$435:$N$435)/(1+stla_wacc_pretax_low_pct/100)^($B$425:$N$425/12))</f>
        <v>6.08972325480189</v>
      </c>
    </row>
    <row r="448" customFormat="false" ht="15" hidden="false" customHeight="false" outlineLevel="0" collapsed="false">
      <c r="A448" s="16" t="s">
        <v>3628</v>
      </c>
      <c r="B448" s="37" t="n">
        <f aca="false">SUMPRODUCT(($B$431:$N$431-$B$433:$N$433)*$B$434:$N$434/(1+stla_wacc_pretax_high_pct/100)^($B$436:$N$436/12))-SUMPRODUCT($B$432:$N$432*SIGN($B$434:$N$434)/(1+stla_wacc_pretax_high_pct/100)^($B$425:$N$425/12))</f>
        <v>13.6058214823349</v>
      </c>
    </row>
    <row r="449" customFormat="false" ht="15" hidden="false" customHeight="false" outlineLevel="0" collapsed="false">
      <c r="A449" s="16" t="s">
        <v>3629</v>
      </c>
      <c r="B449" s="37" t="n">
        <f aca="false">SUMPRODUCT(($B$431:$N$431-$B$433:$N$433)*$B$434:$N$434/(1+stla_wacc_pretax_low_pct/100)^($B$436:$N$436/12))-SUMPRODUCT($B$432:$N$432*SIGN($B$434:$N$434)/(1+stla_wacc_pretax_low_pct/100)^($B$425:$N$425/12))</f>
        <v>27.9695270906193</v>
      </c>
    </row>
    <row r="451" customFormat="false" ht="26.85" hidden="false" customHeight="false" outlineLevel="0" collapsed="false">
      <c r="A451" s="4" t="s">
        <v>3650</v>
      </c>
      <c r="B451" s="4" t="s">
        <v>3580</v>
      </c>
      <c r="C451" s="4" t="s">
        <v>3561</v>
      </c>
      <c r="D451" s="4" t="s">
        <v>3564</v>
      </c>
      <c r="E451" s="4" t="s">
        <v>3572</v>
      </c>
      <c r="F451" s="4" t="s">
        <v>3581</v>
      </c>
      <c r="G451" s="4" t="s">
        <v>3582</v>
      </c>
      <c r="H451" s="4" t="s">
        <v>3583</v>
      </c>
      <c r="I451" s="4" t="s">
        <v>3584</v>
      </c>
      <c r="J451" s="4" t="s">
        <v>3585</v>
      </c>
      <c r="K451" s="4" t="s">
        <v>3586</v>
      </c>
      <c r="L451" s="4" t="s">
        <v>3587</v>
      </c>
      <c r="M451" s="4" t="s">
        <v>3588</v>
      </c>
      <c r="N451" s="4" t="s">
        <v>3589</v>
      </c>
    </row>
    <row r="452" customFormat="false" ht="15" hidden="false" customHeight="false" outlineLevel="0" collapsed="false">
      <c r="A452" s="0" t="s">
        <v>3609</v>
      </c>
      <c r="B452" s="22" t="n">
        <v>0</v>
      </c>
      <c r="C452" s="22" t="n">
        <f aca="false">B452+B453</f>
        <v>6</v>
      </c>
      <c r="D452" s="22" t="n">
        <f aca="false">C452+C453</f>
        <v>12</v>
      </c>
      <c r="E452" s="22" t="n">
        <f aca="false">D452+D453</f>
        <v>18</v>
      </c>
      <c r="F452" s="22" t="n">
        <f aca="false">E452+E453</f>
        <v>24</v>
      </c>
      <c r="G452" s="22" t="n">
        <f aca="false">F452+F453</f>
        <v>36</v>
      </c>
      <c r="H452" s="22" t="n">
        <f aca="false">G452+G453</f>
        <v>48</v>
      </c>
      <c r="I452" s="22" t="n">
        <f aca="false">H452+H453</f>
        <v>60</v>
      </c>
      <c r="J452" s="22" t="n">
        <f aca="false">I452+I453</f>
        <v>72</v>
      </c>
      <c r="K452" s="22" t="n">
        <f aca="false">J452+J453</f>
        <v>84</v>
      </c>
      <c r="L452" s="22" t="n">
        <f aca="false">K452+K453</f>
        <v>96</v>
      </c>
      <c r="M452" s="22" t="n">
        <f aca="false">L452+L453</f>
        <v>108</v>
      </c>
      <c r="N452" s="22" t="n">
        <f aca="false">M452+M453</f>
        <v>120</v>
      </c>
    </row>
    <row r="453" customFormat="false" ht="15" hidden="false" customHeight="false" outlineLevel="0" collapsed="false">
      <c r="A453" s="0" t="s">
        <v>3610</v>
      </c>
      <c r="B453" s="22" t="n">
        <f aca="false">$D$22</f>
        <v>6</v>
      </c>
      <c r="C453" s="22" t="n">
        <f aca="false">$D$22</f>
        <v>6</v>
      </c>
      <c r="D453" s="22" t="n">
        <f aca="false">$D$22</f>
        <v>6</v>
      </c>
      <c r="E453" s="22" t="n">
        <f aca="false">$D$22</f>
        <v>6</v>
      </c>
      <c r="F453" s="22" t="n">
        <f aca="false">12</f>
        <v>12</v>
      </c>
      <c r="G453" s="22" t="n">
        <f aca="false">12</f>
        <v>12</v>
      </c>
      <c r="H453" s="22" t="n">
        <f aca="false">12</f>
        <v>12</v>
      </c>
      <c r="I453" s="22" t="n">
        <f aca="false">12</f>
        <v>12</v>
      </c>
      <c r="J453" s="22" t="n">
        <f aca="false">12</f>
        <v>12</v>
      </c>
      <c r="K453" s="22" t="n">
        <f aca="false">12</f>
        <v>12</v>
      </c>
      <c r="L453" s="22" t="n">
        <f aca="false">12</f>
        <v>12</v>
      </c>
      <c r="M453" s="22" t="n">
        <f aca="false">12</f>
        <v>12</v>
      </c>
      <c r="N453" s="22" t="n">
        <f aca="false">12</f>
        <v>12</v>
      </c>
    </row>
    <row r="454" customFormat="false" ht="15" hidden="false" customHeight="false" outlineLevel="0" collapsed="false">
      <c r="A454" s="0" t="s">
        <v>3559</v>
      </c>
      <c r="B454" s="34" t="n">
        <v>0</v>
      </c>
      <c r="C454" s="34" t="n">
        <f aca="false">$B$22*$D$6*C$16*C453/12</f>
        <v>3.2874281325</v>
      </c>
      <c r="D454" s="34" t="n">
        <f aca="false">$B$22*$D$6*D$16*D453/12</f>
        <v>9.4645172925</v>
      </c>
      <c r="E454" s="34" t="n">
        <f aca="false">$B$22*$D$6*E$16*E453/12</f>
        <v>9.4645172925</v>
      </c>
      <c r="F454" s="34" t="n">
        <f aca="false">$B$22*$D$6*F$16*F453/12</f>
        <v>23.398065</v>
      </c>
      <c r="G454" s="34" t="n">
        <f aca="false">$B$22*$D$6*G$16*G453/12</f>
        <v>23.398065</v>
      </c>
      <c r="H454" s="34" t="n">
        <f aca="false">$B$22*$D$6*H$16*H453/12</f>
        <v>23.398065</v>
      </c>
      <c r="I454" s="34" t="n">
        <f aca="false">$B$22*$D$6*I$16*I453/12</f>
        <v>23.398065</v>
      </c>
      <c r="J454" s="34" t="n">
        <f aca="false">$B$22*$D$6*J$16*J453/12</f>
        <v>23.398065</v>
      </c>
      <c r="K454" s="34" t="n">
        <f aca="false">$B$22*$D$6*K$16*K453/12</f>
        <v>23.398065</v>
      </c>
      <c r="L454" s="34" t="n">
        <f aca="false">$B$22*$D$6*L$16*L453/12</f>
        <v>23.398065</v>
      </c>
      <c r="M454" s="34" t="n">
        <f aca="false">$B$22*$D$6*M$16*M453/12</f>
        <v>23.398065</v>
      </c>
      <c r="N454" s="34" t="n">
        <f aca="false">$B$22*$D$6*N$16*N453/12</f>
        <v>23.398065</v>
      </c>
    </row>
    <row r="455" customFormat="false" ht="15" hidden="false" customHeight="false" outlineLevel="0" collapsed="false">
      <c r="A455" s="0" t="s">
        <v>3563</v>
      </c>
      <c r="B455" s="34" t="n">
        <v>0</v>
      </c>
      <c r="C455" s="34" t="n">
        <v>0</v>
      </c>
      <c r="D455" s="34" t="n">
        <f aca="false">$B$22*$D$7*D$16*D453/12</f>
        <v>15.68176926</v>
      </c>
      <c r="E455" s="34" t="n">
        <f aca="false">$B$22*$D$7*E$16*E453/12</f>
        <v>15.68176926</v>
      </c>
      <c r="F455" s="34" t="n">
        <f aca="false">$B$22*$D$7*F$16*F453/12</f>
        <v>38.76828</v>
      </c>
      <c r="G455" s="34" t="n">
        <f aca="false">$B$22*$D$7*G$16*G453/12</f>
        <v>38.76828</v>
      </c>
      <c r="H455" s="34" t="n">
        <f aca="false">$B$22*$D$7*H$16*H453/12</f>
        <v>38.76828</v>
      </c>
      <c r="I455" s="34" t="n">
        <f aca="false">$B$22*$D$7*I$16*I453/12</f>
        <v>38.76828</v>
      </c>
      <c r="J455" s="34" t="n">
        <f aca="false">$B$22*$D$7*J$16*J453/12</f>
        <v>38.76828</v>
      </c>
      <c r="K455" s="34" t="n">
        <f aca="false">$B$22*$D$7*K$16*K453/12</f>
        <v>38.76828</v>
      </c>
      <c r="L455" s="34" t="n">
        <f aca="false">$B$22*$D$7*L$16*L453/12</f>
        <v>38.76828</v>
      </c>
      <c r="M455" s="34" t="n">
        <f aca="false">$B$22*$D$7*M$16*M453/12</f>
        <v>38.76828</v>
      </c>
      <c r="N455" s="34" t="n">
        <f aca="false">$B$22*$D$7*N$16*N453/12</f>
        <v>38.76828</v>
      </c>
    </row>
    <row r="456" customFormat="false" ht="15" hidden="false" customHeight="false" outlineLevel="0" collapsed="false">
      <c r="A456" s="0" t="s">
        <v>3566</v>
      </c>
      <c r="B456" s="34" t="n">
        <v>0</v>
      </c>
      <c r="C456" s="34" t="n">
        <v>0</v>
      </c>
      <c r="D456" s="34" t="n">
        <f aca="false">$B$22*$D$8*D$16*D453/12</f>
        <v>6.597763095</v>
      </c>
      <c r="E456" s="34" t="n">
        <f aca="false">$B$22*$D$8*E$16*E453/12</f>
        <v>6.597763095</v>
      </c>
      <c r="F456" s="34" t="n">
        <f aca="false">$B$22*$D$8*F$16*F453/12</f>
        <v>16.31091</v>
      </c>
      <c r="G456" s="34" t="n">
        <f aca="false">$B$22*$D$8*G$16*G453/12</f>
        <v>16.31091</v>
      </c>
      <c r="H456" s="34" t="n">
        <f aca="false">$B$22*$D$8*H$16*H453/12</f>
        <v>16.31091</v>
      </c>
      <c r="I456" s="34" t="n">
        <f aca="false">$B$22*$D$8*I$16*I453/12</f>
        <v>16.31091</v>
      </c>
      <c r="J456" s="34" t="n">
        <f aca="false">$B$22*$D$8*J$16*J453/12</f>
        <v>16.31091</v>
      </c>
      <c r="K456" s="34" t="n">
        <f aca="false">$B$22*$D$8*K$16*K453/12</f>
        <v>16.31091</v>
      </c>
      <c r="L456" s="34" t="n">
        <f aca="false">$B$22*$D$8*L$16*L453/12</f>
        <v>16.31091</v>
      </c>
      <c r="M456" s="34" t="n">
        <f aca="false">$B$22*$D$8*M$16*M453/12</f>
        <v>16.31091</v>
      </c>
      <c r="N456" s="34" t="n">
        <f aca="false">$B$22*$D$8*N$16*N453/12</f>
        <v>16.31091</v>
      </c>
    </row>
    <row r="457" customFormat="false" ht="15" hidden="false" customHeight="false" outlineLevel="0" collapsed="false">
      <c r="A457" s="0" t="s">
        <v>3568</v>
      </c>
      <c r="B457" s="34" t="n">
        <v>0</v>
      </c>
      <c r="C457" s="34" t="n">
        <v>0</v>
      </c>
      <c r="D457" s="34" t="n">
        <f aca="false">$B$22*$D$9*D$16*D453/12</f>
        <v>3.4385736</v>
      </c>
      <c r="E457" s="34" t="n">
        <f aca="false">$B$22*$D$9*E$16*E453/12</f>
        <v>3.4385736</v>
      </c>
      <c r="F457" s="34" t="n">
        <f aca="false">$B$22*$D$9*F$16*F453/12</f>
        <v>8.5008</v>
      </c>
      <c r="G457" s="34" t="n">
        <f aca="false">$B$22*$D$9*G$16*G453/12</f>
        <v>8.5008</v>
      </c>
      <c r="H457" s="34" t="n">
        <f aca="false">$B$22*$D$9*H$16*H453/12</f>
        <v>8.5008</v>
      </c>
      <c r="I457" s="34" t="n">
        <f aca="false">$B$22*$D$9*I$16*I453/12</f>
        <v>8.5008</v>
      </c>
      <c r="J457" s="34" t="n">
        <f aca="false">$B$22*$D$9*J$16*J453/12</f>
        <v>8.5008</v>
      </c>
      <c r="K457" s="34" t="n">
        <f aca="false">$B$22*$D$9*K$16*K453/12</f>
        <v>8.5008</v>
      </c>
      <c r="L457" s="34" t="n">
        <f aca="false">$B$22*$D$9*L$16*L453/12</f>
        <v>8.5008</v>
      </c>
      <c r="M457" s="34" t="n">
        <f aca="false">$B$22*$D$9*M$16*M453/12</f>
        <v>8.5008</v>
      </c>
      <c r="N457" s="34" t="n">
        <f aca="false">$B$22*$D$9*N$16*N453/12</f>
        <v>8.5008</v>
      </c>
    </row>
    <row r="458" customFormat="false" ht="15" hidden="false" customHeight="false" outlineLevel="0" collapsed="false">
      <c r="A458" s="0" t="s">
        <v>3611</v>
      </c>
      <c r="B458" s="34" t="n">
        <f aca="false">SUM(B454:B457)</f>
        <v>0</v>
      </c>
      <c r="C458" s="34" t="n">
        <f aca="false">SUM(C454:C457)</f>
        <v>3.2874281325</v>
      </c>
      <c r="D458" s="34" t="n">
        <f aca="false">SUM(D454:D457)</f>
        <v>35.1826232475</v>
      </c>
      <c r="E458" s="34" t="n">
        <f aca="false">SUM(E454:E457)</f>
        <v>35.1826232475</v>
      </c>
      <c r="F458" s="34" t="n">
        <f aca="false">SUM(F454:F457)</f>
        <v>86.978055</v>
      </c>
      <c r="G458" s="34" t="n">
        <f aca="false">SUM(G454:G457)</f>
        <v>86.978055</v>
      </c>
      <c r="H458" s="34" t="n">
        <f aca="false">SUM(H454:H457)</f>
        <v>86.978055</v>
      </c>
      <c r="I458" s="34" t="n">
        <f aca="false">SUM(I454:I457)</f>
        <v>86.978055</v>
      </c>
      <c r="J458" s="34" t="n">
        <f aca="false">SUM(J454:J457)</f>
        <v>86.978055</v>
      </c>
      <c r="K458" s="34" t="n">
        <f aca="false">SUM(K454:K457)</f>
        <v>86.978055</v>
      </c>
      <c r="L458" s="34" t="n">
        <f aca="false">SUM(L454:L457)</f>
        <v>86.978055</v>
      </c>
      <c r="M458" s="34" t="n">
        <f aca="false">SUM(M454:M457)</f>
        <v>86.978055</v>
      </c>
      <c r="N458" s="34" t="n">
        <f aca="false">SUM(N454:N457)</f>
        <v>86.978055</v>
      </c>
    </row>
    <row r="459" customFormat="false" ht="15" hidden="false" customHeight="false" outlineLevel="0" collapsed="false">
      <c r="A459" s="0" t="s">
        <v>3612</v>
      </c>
      <c r="B459" s="34" t="n">
        <f aca="false">$C$22*'Programme cost'!$B$52</f>
        <v>3.94280091943421</v>
      </c>
      <c r="C459" s="34" t="n">
        <f aca="false">$C$22*'Programme cost'!$C$52</f>
        <v>3.92510212914987</v>
      </c>
      <c r="D459" s="34" t="n">
        <f aca="false">$C$22*'Programme cost'!$D$52</f>
        <v>4.25720725975217</v>
      </c>
      <c r="E459" s="34" t="n">
        <f aca="false">$C$22*'Programme cost'!$E$52</f>
        <v>3.12016501636564</v>
      </c>
      <c r="F459" s="34" t="n">
        <v>0</v>
      </c>
      <c r="G459" s="34" t="n">
        <v>0</v>
      </c>
      <c r="H459" s="34" t="n">
        <v>0</v>
      </c>
      <c r="I459" s="34" t="n">
        <v>0</v>
      </c>
      <c r="J459" s="34" t="n">
        <v>0</v>
      </c>
      <c r="K459" s="34" t="n">
        <v>0</v>
      </c>
      <c r="L459" s="34" t="n">
        <v>0</v>
      </c>
      <c r="M459" s="34" t="n">
        <v>0</v>
      </c>
      <c r="N459" s="34" t="n">
        <v>0</v>
      </c>
    </row>
    <row r="460" customFormat="false" ht="15" hidden="false" customHeight="false" outlineLevel="0" collapsed="false">
      <c r="A460" s="0" t="s">
        <v>3613</v>
      </c>
      <c r="B460" s="34" t="n">
        <v>0</v>
      </c>
      <c r="C460" s="34" t="n">
        <v>0</v>
      </c>
      <c r="D460" s="34" t="n">
        <v>0</v>
      </c>
      <c r="E460" s="34" t="n">
        <v>0</v>
      </c>
      <c r="F460" s="34" t="n">
        <f aca="false">run_cost_eur_m_year*F453/12</f>
        <v>5</v>
      </c>
      <c r="G460" s="34" t="n">
        <f aca="false">run_cost_eur_m_year*G453/12</f>
        <v>5</v>
      </c>
      <c r="H460" s="34" t="n">
        <f aca="false">run_cost_eur_m_year*H453/12</f>
        <v>5</v>
      </c>
      <c r="I460" s="34" t="n">
        <f aca="false">run_cost_eur_m_year*I453/12</f>
        <v>5</v>
      </c>
      <c r="J460" s="34" t="n">
        <f aca="false">run_cost_eur_m_year*J453/12</f>
        <v>5</v>
      </c>
      <c r="K460" s="34" t="n">
        <f aca="false">run_cost_eur_m_year*K453/12</f>
        <v>5</v>
      </c>
      <c r="L460" s="34" t="n">
        <f aca="false">run_cost_eur_m_year*L453/12</f>
        <v>5</v>
      </c>
      <c r="M460" s="34" t="n">
        <f aca="false">run_cost_eur_m_year*M453/12</f>
        <v>5</v>
      </c>
      <c r="N460" s="34" t="n">
        <f aca="false">run_cost_eur_m_year*N453/12</f>
        <v>5</v>
      </c>
    </row>
    <row r="461" customFormat="false" ht="15" hidden="false" customHeight="false" outlineLevel="0" collapsed="false">
      <c r="A461" s="0" t="s">
        <v>3614</v>
      </c>
      <c r="B461" s="18" t="n">
        <f aca="false">MAX(0,MIN(1,($B$18-B452)/B453))</f>
        <v>1</v>
      </c>
      <c r="C461" s="18" t="n">
        <f aca="false">MAX(0,MIN(1,($B$18-C452)/C453))</f>
        <v>1</v>
      </c>
      <c r="D461" s="18" t="n">
        <f aca="false">MAX(0,MIN(1,($B$18-D452)/D453))</f>
        <v>1</v>
      </c>
      <c r="E461" s="18" t="n">
        <f aca="false">MAX(0,MIN(1,($B$18-E452)/E453))</f>
        <v>1</v>
      </c>
      <c r="F461" s="18" t="n">
        <f aca="false">MAX(0,MIN(1,($B$18-F452)/F453))</f>
        <v>1</v>
      </c>
      <c r="G461" s="18" t="n">
        <f aca="false">MAX(0,MIN(1,($B$18-G452)/G453))</f>
        <v>1</v>
      </c>
      <c r="H461" s="18" t="n">
        <f aca="false">MAX(0,MIN(1,($B$18-H452)/H453))</f>
        <v>1</v>
      </c>
      <c r="I461" s="18" t="n">
        <f aca="false">MAX(0,MIN(1,($B$18-I452)/I453))</f>
        <v>1</v>
      </c>
      <c r="J461" s="18" t="n">
        <f aca="false">MAX(0,MIN(1,($B$18-J452)/J453))</f>
        <v>1</v>
      </c>
      <c r="K461" s="18" t="n">
        <f aca="false">MAX(0,MIN(1,($B$18-K452)/K453))</f>
        <v>1</v>
      </c>
      <c r="L461" s="18" t="n">
        <f aca="false">MAX(0,MIN(1,($B$18-L452)/L453))</f>
        <v>1</v>
      </c>
      <c r="M461" s="18" t="n">
        <f aca="false">MAX(0,MIN(1,($B$18-M452)/M453))</f>
        <v>1</v>
      </c>
      <c r="N461" s="18" t="n">
        <f aca="false">MAX(0,MIN(1,($B$18-N452)/N453))</f>
        <v>0</v>
      </c>
    </row>
    <row r="462" customFormat="false" ht="15" hidden="false" customHeight="false" outlineLevel="0" collapsed="false">
      <c r="A462" s="0" t="s">
        <v>3615</v>
      </c>
      <c r="B462" s="18" t="n">
        <f aca="false">MAX(0,MIN(1,($B$17-B452)/B453))</f>
        <v>1</v>
      </c>
      <c r="C462" s="18" t="n">
        <f aca="false">MAX(0,MIN(1,($B$17-C452)/C453))</f>
        <v>1</v>
      </c>
      <c r="D462" s="18" t="n">
        <f aca="false">MAX(0,MIN(1,($B$17-D452)/D453))</f>
        <v>1</v>
      </c>
      <c r="E462" s="18" t="n">
        <f aca="false">MAX(0,MIN(1,($B$17-E452)/E453))</f>
        <v>1</v>
      </c>
      <c r="F462" s="18" t="n">
        <f aca="false">MAX(0,MIN(1,($B$17-F452)/F453))</f>
        <v>1</v>
      </c>
      <c r="G462" s="18" t="n">
        <f aca="false">MAX(0,MIN(1,($B$17-G452)/G453))</f>
        <v>1</v>
      </c>
      <c r="H462" s="18" t="n">
        <f aca="false">MAX(0,MIN(1,($B$17-H452)/H453))</f>
        <v>1</v>
      </c>
      <c r="I462" s="18" t="n">
        <f aca="false">MAX(0,MIN(1,($B$17-I452)/I453))</f>
        <v>0</v>
      </c>
      <c r="J462" s="18" t="n">
        <f aca="false">MAX(0,MIN(1,($B$17-J452)/J453))</f>
        <v>0</v>
      </c>
      <c r="K462" s="18" t="n">
        <f aca="false">MAX(0,MIN(1,($B$17-K452)/K453))</f>
        <v>0</v>
      </c>
      <c r="L462" s="18" t="n">
        <f aca="false">MAX(0,MIN(1,($B$17-L452)/L453))</f>
        <v>0</v>
      </c>
      <c r="M462" s="18" t="n">
        <f aca="false">MAX(0,MIN(1,($B$17-M452)/M453))</f>
        <v>0</v>
      </c>
      <c r="N462" s="18" t="n">
        <f aca="false">MAX(0,MIN(1,($B$17-N452)/N453))</f>
        <v>0</v>
      </c>
    </row>
    <row r="463" customFormat="false" ht="15" hidden="false" customHeight="false" outlineLevel="0" collapsed="false">
      <c r="A463" s="0" t="s">
        <v>3616</v>
      </c>
      <c r="B463" s="22" t="n">
        <f aca="false">B452+B453*B461/2</f>
        <v>3</v>
      </c>
      <c r="C463" s="22" t="n">
        <f aca="false">C452+C453*C461/2</f>
        <v>9</v>
      </c>
      <c r="D463" s="22" t="n">
        <f aca="false">D452+D453*D461/2</f>
        <v>15</v>
      </c>
      <c r="E463" s="22" t="n">
        <f aca="false">E452+E453*E461/2</f>
        <v>21</v>
      </c>
      <c r="F463" s="22" t="n">
        <f aca="false">F452+F453*F461/2</f>
        <v>30</v>
      </c>
      <c r="G463" s="22" t="n">
        <f aca="false">G452+G453*G461/2</f>
        <v>42</v>
      </c>
      <c r="H463" s="22" t="n">
        <f aca="false">H452+H453*H461/2</f>
        <v>54</v>
      </c>
      <c r="I463" s="22" t="n">
        <f aca="false">I452+I453*I461/2</f>
        <v>66</v>
      </c>
      <c r="J463" s="22" t="n">
        <f aca="false">J452+J453*J461/2</f>
        <v>78</v>
      </c>
      <c r="K463" s="22" t="n">
        <f aca="false">K452+K453*K461/2</f>
        <v>90</v>
      </c>
      <c r="L463" s="22" t="n">
        <f aca="false">L452+L453*L461/2</f>
        <v>102</v>
      </c>
      <c r="M463" s="22" t="n">
        <f aca="false">M452+M453*M461/2</f>
        <v>114</v>
      </c>
      <c r="N463" s="22" t="n">
        <f aca="false">N452+N453*N461/2</f>
        <v>120</v>
      </c>
    </row>
    <row r="464" customFormat="false" ht="15" hidden="false" customHeight="false" outlineLevel="0" collapsed="false">
      <c r="A464" s="0" t="s">
        <v>3617</v>
      </c>
      <c r="B464" s="22" t="n">
        <f aca="false">B452+B453*B462/2</f>
        <v>3</v>
      </c>
      <c r="C464" s="22" t="n">
        <f aca="false">C452+C453*C462/2</f>
        <v>9</v>
      </c>
      <c r="D464" s="22" t="n">
        <f aca="false">D452+D453*D462/2</f>
        <v>15</v>
      </c>
      <c r="E464" s="22" t="n">
        <f aca="false">E452+E453*E462/2</f>
        <v>21</v>
      </c>
      <c r="F464" s="22" t="n">
        <f aca="false">F452+F453*F462/2</f>
        <v>30</v>
      </c>
      <c r="G464" s="22" t="n">
        <f aca="false">G452+G453*G462/2</f>
        <v>42</v>
      </c>
      <c r="H464" s="22" t="n">
        <f aca="false">H452+H453*H462/2</f>
        <v>54</v>
      </c>
      <c r="I464" s="22" t="n">
        <f aca="false">I452+I453*I462/2</f>
        <v>60</v>
      </c>
      <c r="J464" s="22" t="n">
        <f aca="false">J452+J453*J462/2</f>
        <v>72</v>
      </c>
      <c r="K464" s="22" t="n">
        <f aca="false">K452+K453*K462/2</f>
        <v>84</v>
      </c>
      <c r="L464" s="22" t="n">
        <f aca="false">L452+L453*L462/2</f>
        <v>96</v>
      </c>
      <c r="M464" s="22" t="n">
        <f aca="false">M452+M453*M462/2</f>
        <v>108</v>
      </c>
      <c r="N464" s="22" t="n">
        <f aca="false">N452+N453*N462/2</f>
        <v>120</v>
      </c>
    </row>
    <row r="465" customFormat="false" ht="15" hidden="false" customHeight="false" outlineLevel="0" collapsed="false">
      <c r="A465" s="0" t="s">
        <v>3618</v>
      </c>
      <c r="B465" s="34" t="n">
        <f aca="false">(B458-B460)*B461-B459*SIGN(B461)</f>
        <v>-3.94280091943421</v>
      </c>
      <c r="C465" s="34" t="n">
        <f aca="false">(C458-C460)*C461-C459*SIGN(C461)</f>
        <v>-0.637673996649865</v>
      </c>
      <c r="D465" s="34" t="n">
        <f aca="false">(D458-D460)*D461-D459*SIGN(D461)</f>
        <v>30.9254159877478</v>
      </c>
      <c r="E465" s="34" t="n">
        <f aca="false">(E458-E460)*E461-E459*SIGN(E461)</f>
        <v>32.0624582311344</v>
      </c>
      <c r="F465" s="34" t="n">
        <f aca="false">(F458-F460)*F461-F459*SIGN(F461)</f>
        <v>81.978055</v>
      </c>
      <c r="G465" s="34" t="n">
        <f aca="false">(G458-G460)*G461-G459*SIGN(G461)</f>
        <v>81.978055</v>
      </c>
      <c r="H465" s="34" t="n">
        <f aca="false">(H458-H460)*H461-H459*SIGN(H461)</f>
        <v>81.978055</v>
      </c>
      <c r="I465" s="34" t="n">
        <f aca="false">(I458-I460)*I461-I459*SIGN(I461)</f>
        <v>81.978055</v>
      </c>
      <c r="J465" s="34" t="n">
        <f aca="false">(J458-J460)*J461-J459*SIGN(J461)</f>
        <v>81.978055</v>
      </c>
      <c r="K465" s="34" t="n">
        <f aca="false">(K458-K460)*K461-K459*SIGN(K461)</f>
        <v>81.978055</v>
      </c>
      <c r="L465" s="34" t="n">
        <f aca="false">(L458-L460)*L461-L459*SIGN(L461)</f>
        <v>81.978055</v>
      </c>
      <c r="M465" s="34" t="n">
        <f aca="false">(M458-M460)*M461-M459*SIGN(M461)</f>
        <v>81.978055</v>
      </c>
      <c r="N465" s="34" t="n">
        <f aca="false">(N458-N460)*N461-N459*SIGN(N461)</f>
        <v>0</v>
      </c>
    </row>
    <row r="466" customFormat="false" ht="15" hidden="false" customHeight="false" outlineLevel="0" collapsed="false">
      <c r="A466" s="0" t="s">
        <v>3619</v>
      </c>
      <c r="B466" s="34" t="n">
        <f aca="false">B465</f>
        <v>-3.94280091943421</v>
      </c>
      <c r="C466" s="34" t="n">
        <f aca="false">B466+C465</f>
        <v>-4.58047491608408</v>
      </c>
      <c r="D466" s="34" t="n">
        <f aca="false">C466+D465</f>
        <v>26.3449410716638</v>
      </c>
      <c r="E466" s="34" t="n">
        <f aca="false">D466+E465</f>
        <v>58.4073993027981</v>
      </c>
      <c r="F466" s="34" t="n">
        <f aca="false">E466+F465</f>
        <v>140.385454302798</v>
      </c>
      <c r="G466" s="34" t="n">
        <f aca="false">F466+G465</f>
        <v>222.363509302798</v>
      </c>
      <c r="H466" s="34" t="n">
        <f aca="false">G466+H465</f>
        <v>304.341564302798</v>
      </c>
      <c r="I466" s="34" t="n">
        <f aca="false">H466+I465</f>
        <v>386.319619302798</v>
      </c>
      <c r="J466" s="34" t="n">
        <f aca="false">I466+J465</f>
        <v>468.297674302798</v>
      </c>
      <c r="K466" s="34" t="n">
        <f aca="false">J466+K465</f>
        <v>550.275729302798</v>
      </c>
      <c r="L466" s="34" t="n">
        <f aca="false">K466+L465</f>
        <v>632.253784302798</v>
      </c>
      <c r="M466" s="34" t="n">
        <f aca="false">L466+M465</f>
        <v>714.231839302798</v>
      </c>
      <c r="N466" s="34" t="n">
        <f aca="false">M466+N465</f>
        <v>714.231839302798</v>
      </c>
    </row>
    <row r="467" customFormat="false" ht="15" hidden="false" customHeight="false" outlineLevel="0" collapsed="false">
      <c r="A467" s="0" t="s">
        <v>3620</v>
      </c>
      <c r="B467" s="22" t="str">
        <f aca="false">IF(AND((-B459*SIGN(B461))&lt;0,(-B459*SIGN(B461))+((B458-B460)*B461)&gt;=0,((B458-B460)*B461)&gt;0),B452+B453*B461*(-(-B459*SIGN(B461)))/((B458-B460)*B461),"-")</f>
        <v>-</v>
      </c>
      <c r="C467" s="22" t="str">
        <f aca="false">IF(AND((B466-C459*SIGN(C461))&lt;0,(B466-C459*SIGN(C461))+((C458-C460)*C461)&gt;=0,((C458-C460)*C461)&gt;0),C452+C453*C461*(-(B466-C459*SIGN(C461)))/((C458-C460)*C461),"-")</f>
        <v>-</v>
      </c>
      <c r="D467" s="22" t="n">
        <f aca="false">IF(AND((C466-D459*SIGN(D461))&lt;0,(C466-D459*SIGN(D461))+((D458-D460)*D461)&gt;=0,((D458-D460)*D461)&gt;0),D452+D453*D461*(-(C466-D459*SIGN(D461)))/((D458-D460)*D461),"-")</f>
        <v>13.5071671228718</v>
      </c>
      <c r="E467" s="22" t="str">
        <f aca="false">IF(AND((D466-E459*SIGN(E461))&lt;0,(D466-E459*SIGN(E461))+((E458-E460)*E461)&gt;=0,((E458-E460)*E461)&gt;0),E452+E453*E461*(-(D466-E459*SIGN(E461)))/((E458-E460)*E461),"-")</f>
        <v>-</v>
      </c>
      <c r="F467" s="22" t="str">
        <f aca="false">IF(AND((E466-F459*SIGN(F461))&lt;0,(E466-F459*SIGN(F461))+((F458-F460)*F461)&gt;=0,((F458-F460)*F461)&gt;0),F452+F453*F461*(-(E466-F459*SIGN(F461)))/((F458-F460)*F461),"-")</f>
        <v>-</v>
      </c>
      <c r="G467" s="22" t="str">
        <f aca="false">IF(AND((F466-G459*SIGN(G461))&lt;0,(F466-G459*SIGN(G461))+((G458-G460)*G461)&gt;=0,((G458-G460)*G461)&gt;0),G452+G453*G461*(-(F466-G459*SIGN(G461)))/((G458-G460)*G461),"-")</f>
        <v>-</v>
      </c>
      <c r="H467" s="22" t="str">
        <f aca="false">IF(AND((G466-H459*SIGN(H461))&lt;0,(G466-H459*SIGN(H461))+((H458-H460)*H461)&gt;=0,((H458-H460)*H461)&gt;0),H452+H453*H461*(-(G466-H459*SIGN(H461)))/((H458-H460)*H461),"-")</f>
        <v>-</v>
      </c>
      <c r="I467" s="22" t="str">
        <f aca="false">IF(AND((H466-I459*SIGN(I461))&lt;0,(H466-I459*SIGN(I461))+((I458-I460)*I461)&gt;=0,((I458-I460)*I461)&gt;0),I452+I453*I461*(-(H466-I459*SIGN(I461)))/((I458-I460)*I461),"-")</f>
        <v>-</v>
      </c>
      <c r="J467" s="22" t="str">
        <f aca="false">IF(AND((I466-J459*SIGN(J461))&lt;0,(I466-J459*SIGN(J461))+((J458-J460)*J461)&gt;=0,((J458-J460)*J461)&gt;0),J452+J453*J461*(-(I466-J459*SIGN(J461)))/((J458-J460)*J461),"-")</f>
        <v>-</v>
      </c>
      <c r="K467" s="22" t="str">
        <f aca="false">IF(AND((J466-K459*SIGN(K461))&lt;0,(J466-K459*SIGN(K461))+((K458-K460)*K461)&gt;=0,((K458-K460)*K461)&gt;0),K452+K453*K461*(-(J466-K459*SIGN(K461)))/((K458-K460)*K461),"-")</f>
        <v>-</v>
      </c>
      <c r="L467" s="22" t="str">
        <f aca="false">IF(AND((K466-L459*SIGN(L461))&lt;0,(K466-L459*SIGN(L461))+((L458-L460)*L461)&gt;=0,((L458-L460)*L461)&gt;0),L452+L453*L461*(-(K466-L459*SIGN(L461)))/((L458-L460)*L461),"-")</f>
        <v>-</v>
      </c>
      <c r="M467" s="22" t="str">
        <f aca="false">IF(AND((L466-M459*SIGN(M461))&lt;0,(L466-M459*SIGN(M461))+((M458-M460)*M461)&gt;=0,((M458-M460)*M461)&gt;0),M452+M453*M461*(-(L466-M459*SIGN(M461)))/((M458-M460)*M461),"-")</f>
        <v>-</v>
      </c>
      <c r="N467" s="22" t="str">
        <f aca="false">IF(AND((M466-N459*SIGN(N461))&lt;0,(M466-N459*SIGN(N461))+((N458-N460)*N461)&gt;=0,((N458-N460)*N461)&gt;0),N452+N453*N461*(-(M466-N459*SIGN(N461)))/((N458-N460)*N461),"-")</f>
        <v>-</v>
      </c>
    </row>
    <row r="468" customFormat="false" ht="15" hidden="false" customHeight="false" outlineLevel="0" collapsed="false">
      <c r="A468" s="3" t="s">
        <v>3621</v>
      </c>
      <c r="B468" s="36" t="n">
        <f aca="false">IF(COUNT($B$467:$N$467)=0,"none within ten years",MIN($B$467:$N$467))</f>
        <v>13.5071671228718</v>
      </c>
    </row>
    <row r="469" customFormat="false" ht="15" hidden="false" customHeight="false" outlineLevel="0" collapsed="false">
      <c r="A469" s="16" t="s">
        <v>3622</v>
      </c>
      <c r="B469" s="37" t="n">
        <f aca="false">-B466</f>
        <v>3.94280091943421</v>
      </c>
    </row>
    <row r="470" customFormat="false" ht="15" hidden="false" customHeight="false" outlineLevel="0" collapsed="false">
      <c r="A470" s="16" t="s">
        <v>3623</v>
      </c>
      <c r="B470" s="37" t="n">
        <f aca="false">-C466</f>
        <v>4.58047491608408</v>
      </c>
    </row>
    <row r="471" customFormat="false" ht="15" hidden="false" customHeight="false" outlineLevel="0" collapsed="false">
      <c r="A471" s="16" t="s">
        <v>3624</v>
      </c>
      <c r="B471" s="37" t="n">
        <f aca="false">-D466</f>
        <v>-26.3449410716638</v>
      </c>
    </row>
    <row r="472" customFormat="false" ht="15" hidden="false" customHeight="false" outlineLevel="0" collapsed="false">
      <c r="A472" s="16" t="s">
        <v>3625</v>
      </c>
      <c r="B472" s="37" t="n">
        <f aca="false">-E466</f>
        <v>-58.4073993027981</v>
      </c>
    </row>
    <row r="473" customFormat="false" ht="15" hidden="false" customHeight="false" outlineLevel="0" collapsed="false">
      <c r="A473" s="16" t="s">
        <v>3626</v>
      </c>
      <c r="B473" s="37" t="n">
        <f aca="false">SUMPRODUCT(($B$458:$N$458-$B$460:$N$460)*$B$462:$N$462/(1+stla_wacc_pretax_high_pct/100)^($B$464:$N$464/12))-SUMPRODUCT($B$459:$N$459*SIGN($B$462:$N$462)/(1+stla_wacc_pretax_high_pct/100)^($B$452:$N$452/12))</f>
        <v>178.756339093591</v>
      </c>
    </row>
    <row r="474" customFormat="false" ht="15" hidden="false" customHeight="false" outlineLevel="0" collapsed="false">
      <c r="A474" s="16" t="s">
        <v>3627</v>
      </c>
      <c r="B474" s="37" t="n">
        <f aca="false">SUMPRODUCT(($B$458:$N$458-$B$460:$N$460)*$B$462:$N$462/(1+stla_wacc_pretax_low_pct/100)^($B$464:$N$464/12))-SUMPRODUCT($B$459:$N$459*SIGN($B$462:$N$462)/(1+stla_wacc_pretax_low_pct/100)^($B$452:$N$452/12))</f>
        <v>229.690496516739</v>
      </c>
    </row>
    <row r="475" customFormat="false" ht="15" hidden="false" customHeight="false" outlineLevel="0" collapsed="false">
      <c r="A475" s="16" t="s">
        <v>3628</v>
      </c>
      <c r="B475" s="37" t="n">
        <f aca="false">SUMPRODUCT(($B$458:$N$458-$B$460:$N$460)*$B$461:$N$461/(1+stla_wacc_pretax_high_pct/100)^($B$463:$N$463/12))-SUMPRODUCT($B$459:$N$459*SIGN($B$461:$N$461)/(1+stla_wacc_pretax_high_pct/100)^($B$452:$N$452/12))</f>
        <v>293.339793017199</v>
      </c>
    </row>
    <row r="476" customFormat="false" ht="15" hidden="false" customHeight="false" outlineLevel="0" collapsed="false">
      <c r="A476" s="16" t="s">
        <v>3629</v>
      </c>
      <c r="B476" s="37" t="n">
        <f aca="false">SUMPRODUCT(($B$458:$N$458-$B$460:$N$460)*$B$461:$N$461/(1+stla_wacc_pretax_low_pct/100)^($B$463:$N$463/12))-SUMPRODUCT($B$459:$N$459*SIGN($B$461:$N$461)/(1+stla_wacc_pretax_low_pct/100)^($B$452:$N$452/12))</f>
        <v>438.924546477369</v>
      </c>
    </row>
    <row r="478" customFormat="false" ht="26.85" hidden="false" customHeight="false" outlineLevel="0" collapsed="false">
      <c r="A478" s="4" t="s">
        <v>3651</v>
      </c>
      <c r="B478" s="4" t="s">
        <v>3580</v>
      </c>
      <c r="C478" s="4" t="s">
        <v>3561</v>
      </c>
      <c r="D478" s="4" t="s">
        <v>3564</v>
      </c>
      <c r="E478" s="4" t="s">
        <v>3572</v>
      </c>
      <c r="F478" s="4" t="s">
        <v>3581</v>
      </c>
      <c r="G478" s="4" t="s">
        <v>3582</v>
      </c>
      <c r="H478" s="4" t="s">
        <v>3583</v>
      </c>
      <c r="I478" s="4" t="s">
        <v>3584</v>
      </c>
      <c r="J478" s="4" t="s">
        <v>3585</v>
      </c>
      <c r="K478" s="4" t="s">
        <v>3586</v>
      </c>
      <c r="L478" s="4" t="s">
        <v>3587</v>
      </c>
      <c r="M478" s="4" t="s">
        <v>3588</v>
      </c>
      <c r="N478" s="4" t="s">
        <v>3589</v>
      </c>
    </row>
    <row r="479" customFormat="false" ht="15" hidden="false" customHeight="false" outlineLevel="0" collapsed="false">
      <c r="A479" s="0" t="s">
        <v>3609</v>
      </c>
      <c r="B479" s="22" t="n">
        <v>0</v>
      </c>
      <c r="C479" s="22" t="n">
        <f aca="false">B479+B480</f>
        <v>7.98</v>
      </c>
      <c r="D479" s="22" t="n">
        <f aca="false">C479+C480</f>
        <v>15.96</v>
      </c>
      <c r="E479" s="22" t="n">
        <f aca="false">D479+D480</f>
        <v>23.94</v>
      </c>
      <c r="F479" s="22" t="n">
        <f aca="false">E479+E480</f>
        <v>31.92</v>
      </c>
      <c r="G479" s="22" t="n">
        <f aca="false">F479+F480</f>
        <v>43.92</v>
      </c>
      <c r="H479" s="22" t="n">
        <f aca="false">G479+G480</f>
        <v>55.92</v>
      </c>
      <c r="I479" s="22" t="n">
        <f aca="false">H479+H480</f>
        <v>67.92</v>
      </c>
      <c r="J479" s="22" t="n">
        <f aca="false">I479+I480</f>
        <v>79.92</v>
      </c>
      <c r="K479" s="22" t="n">
        <f aca="false">J479+J480</f>
        <v>91.92</v>
      </c>
      <c r="L479" s="22" t="n">
        <f aca="false">K479+K480</f>
        <v>103.92</v>
      </c>
      <c r="M479" s="22" t="n">
        <f aca="false">L479+L480</f>
        <v>115.92</v>
      </c>
      <c r="N479" s="22" t="n">
        <f aca="false">M479+M480</f>
        <v>127.92</v>
      </c>
    </row>
    <row r="480" customFormat="false" ht="15" hidden="false" customHeight="false" outlineLevel="0" collapsed="false">
      <c r="A480" s="0" t="s">
        <v>3610</v>
      </c>
      <c r="B480" s="22" t="n">
        <f aca="false">$D$23</f>
        <v>7.98</v>
      </c>
      <c r="C480" s="22" t="n">
        <f aca="false">$D$23</f>
        <v>7.98</v>
      </c>
      <c r="D480" s="22" t="n">
        <f aca="false">$D$23</f>
        <v>7.98</v>
      </c>
      <c r="E480" s="22" t="n">
        <f aca="false">$D$23</f>
        <v>7.98</v>
      </c>
      <c r="F480" s="22" t="n">
        <f aca="false">12</f>
        <v>12</v>
      </c>
      <c r="G480" s="22" t="n">
        <f aca="false">12</f>
        <v>12</v>
      </c>
      <c r="H480" s="22" t="n">
        <f aca="false">12</f>
        <v>12</v>
      </c>
      <c r="I480" s="22" t="n">
        <f aca="false">12</f>
        <v>12</v>
      </c>
      <c r="J480" s="22" t="n">
        <f aca="false">12</f>
        <v>12</v>
      </c>
      <c r="K480" s="22" t="n">
        <f aca="false">12</f>
        <v>12</v>
      </c>
      <c r="L480" s="22" t="n">
        <f aca="false">12</f>
        <v>12</v>
      </c>
      <c r="M480" s="22" t="n">
        <f aca="false">12</f>
        <v>12</v>
      </c>
      <c r="N480" s="22" t="n">
        <f aca="false">12</f>
        <v>12</v>
      </c>
    </row>
    <row r="481" customFormat="false" ht="15" hidden="false" customHeight="false" outlineLevel="0" collapsed="false">
      <c r="A481" s="0" t="s">
        <v>3559</v>
      </c>
      <c r="B481" s="34" t="n">
        <v>0</v>
      </c>
      <c r="C481" s="34" t="n">
        <f aca="false">$B$23*$D$6*C$16*C480/12</f>
        <v>3.62899191546675</v>
      </c>
      <c r="D481" s="34" t="n">
        <f aca="false">$B$23*$D$6*D$16*D480/12</f>
        <v>10.4478806391908</v>
      </c>
      <c r="E481" s="34" t="n">
        <f aca="false">$B$23*$D$6*E$16*E480/12</f>
        <v>10.4478806391908</v>
      </c>
      <c r="F481" s="34" t="n">
        <f aca="false">$B$23*$D$6*F$16*F480/12</f>
        <v>19.42039395</v>
      </c>
      <c r="G481" s="34" t="n">
        <f aca="false">$B$23*$D$6*G$16*G480/12</f>
        <v>19.42039395</v>
      </c>
      <c r="H481" s="34" t="n">
        <f aca="false">$B$23*$D$6*H$16*H480/12</f>
        <v>19.42039395</v>
      </c>
      <c r="I481" s="34" t="n">
        <f aca="false">$B$23*$D$6*I$16*I480/12</f>
        <v>19.42039395</v>
      </c>
      <c r="J481" s="34" t="n">
        <f aca="false">$B$23*$D$6*J$16*J480/12</f>
        <v>19.42039395</v>
      </c>
      <c r="K481" s="34" t="n">
        <f aca="false">$B$23*$D$6*K$16*K480/12</f>
        <v>19.42039395</v>
      </c>
      <c r="L481" s="34" t="n">
        <f aca="false">$B$23*$D$6*L$16*L480/12</f>
        <v>19.42039395</v>
      </c>
      <c r="M481" s="34" t="n">
        <f aca="false">$B$23*$D$6*M$16*M480/12</f>
        <v>19.42039395</v>
      </c>
      <c r="N481" s="34" t="n">
        <f aca="false">$B$23*$D$6*N$16*N480/12</f>
        <v>19.42039395</v>
      </c>
    </row>
    <row r="482" customFormat="false" ht="15" hidden="false" customHeight="false" outlineLevel="0" collapsed="false">
      <c r="A482" s="0" t="s">
        <v>3563</v>
      </c>
      <c r="B482" s="34" t="n">
        <v>0</v>
      </c>
      <c r="C482" s="34" t="n">
        <v>0</v>
      </c>
      <c r="D482" s="34" t="n">
        <f aca="false">$B$23*$D$7*D$16*D480/12</f>
        <v>17.311105086114</v>
      </c>
      <c r="E482" s="34" t="n">
        <f aca="false">$B$23*$D$7*E$16*E480/12</f>
        <v>17.311105086114</v>
      </c>
      <c r="F482" s="34" t="n">
        <f aca="false">$B$23*$D$7*F$16*F480/12</f>
        <v>32.1776724</v>
      </c>
      <c r="G482" s="34" t="n">
        <f aca="false">$B$23*$D$7*G$16*G480/12</f>
        <v>32.1776724</v>
      </c>
      <c r="H482" s="34" t="n">
        <f aca="false">$B$23*$D$7*H$16*H480/12</f>
        <v>32.1776724</v>
      </c>
      <c r="I482" s="34" t="n">
        <f aca="false">$B$23*$D$7*I$16*I480/12</f>
        <v>32.1776724</v>
      </c>
      <c r="J482" s="34" t="n">
        <f aca="false">$B$23*$D$7*J$16*J480/12</f>
        <v>32.1776724</v>
      </c>
      <c r="K482" s="34" t="n">
        <f aca="false">$B$23*$D$7*K$16*K480/12</f>
        <v>32.1776724</v>
      </c>
      <c r="L482" s="34" t="n">
        <f aca="false">$B$23*$D$7*L$16*L480/12</f>
        <v>32.1776724</v>
      </c>
      <c r="M482" s="34" t="n">
        <f aca="false">$B$23*$D$7*M$16*M480/12</f>
        <v>32.1776724</v>
      </c>
      <c r="N482" s="34" t="n">
        <f aca="false">$B$23*$D$7*N$16*N480/12</f>
        <v>32.1776724</v>
      </c>
    </row>
    <row r="483" customFormat="false" ht="15" hidden="false" customHeight="false" outlineLevel="0" collapsed="false">
      <c r="A483" s="0" t="s">
        <v>3566</v>
      </c>
      <c r="B483" s="34" t="n">
        <v>0</v>
      </c>
      <c r="C483" s="34" t="n">
        <v>0</v>
      </c>
      <c r="D483" s="34" t="n">
        <f aca="false">$B$23*$D$8*D$16*D480/12</f>
        <v>7.2832706805705</v>
      </c>
      <c r="E483" s="34" t="n">
        <f aca="false">$B$23*$D$8*E$16*E480/12</f>
        <v>7.2832706805705</v>
      </c>
      <c r="F483" s="34" t="n">
        <f aca="false">$B$23*$D$8*F$16*F480/12</f>
        <v>13.5380553</v>
      </c>
      <c r="G483" s="34" t="n">
        <f aca="false">$B$23*$D$8*G$16*G480/12</f>
        <v>13.5380553</v>
      </c>
      <c r="H483" s="34" t="n">
        <f aca="false">$B$23*$D$8*H$16*H480/12</f>
        <v>13.5380553</v>
      </c>
      <c r="I483" s="34" t="n">
        <f aca="false">$B$23*$D$8*I$16*I480/12</f>
        <v>13.5380553</v>
      </c>
      <c r="J483" s="34" t="n">
        <f aca="false">$B$23*$D$8*J$16*J480/12</f>
        <v>13.5380553</v>
      </c>
      <c r="K483" s="34" t="n">
        <f aca="false">$B$23*$D$8*K$16*K480/12</f>
        <v>13.5380553</v>
      </c>
      <c r="L483" s="34" t="n">
        <f aca="false">$B$23*$D$8*L$16*L480/12</f>
        <v>13.5380553</v>
      </c>
      <c r="M483" s="34" t="n">
        <f aca="false">$B$23*$D$8*M$16*M480/12</f>
        <v>13.5380553</v>
      </c>
      <c r="N483" s="34" t="n">
        <f aca="false">$B$23*$D$8*N$16*N480/12</f>
        <v>13.5380553</v>
      </c>
    </row>
    <row r="484" customFormat="false" ht="15" hidden="false" customHeight="false" outlineLevel="0" collapsed="false">
      <c r="A484" s="0" t="s">
        <v>3568</v>
      </c>
      <c r="B484" s="34" t="n">
        <v>0</v>
      </c>
      <c r="C484" s="34" t="n">
        <v>0</v>
      </c>
      <c r="D484" s="34" t="n">
        <f aca="false">$B$23*$D$9*D$16*D480/12</f>
        <v>3.79584139704</v>
      </c>
      <c r="E484" s="34" t="n">
        <f aca="false">$B$23*$D$9*E$16*E480/12</f>
        <v>3.79584139704</v>
      </c>
      <c r="F484" s="34" t="n">
        <f aca="false">$B$23*$D$9*F$16*F480/12</f>
        <v>7.055664</v>
      </c>
      <c r="G484" s="34" t="n">
        <f aca="false">$B$23*$D$9*G$16*G480/12</f>
        <v>7.055664</v>
      </c>
      <c r="H484" s="34" t="n">
        <f aca="false">$B$23*$D$9*H$16*H480/12</f>
        <v>7.055664</v>
      </c>
      <c r="I484" s="34" t="n">
        <f aca="false">$B$23*$D$9*I$16*I480/12</f>
        <v>7.055664</v>
      </c>
      <c r="J484" s="34" t="n">
        <f aca="false">$B$23*$D$9*J$16*J480/12</f>
        <v>7.055664</v>
      </c>
      <c r="K484" s="34" t="n">
        <f aca="false">$B$23*$D$9*K$16*K480/12</f>
        <v>7.055664</v>
      </c>
      <c r="L484" s="34" t="n">
        <f aca="false">$B$23*$D$9*L$16*L480/12</f>
        <v>7.055664</v>
      </c>
      <c r="M484" s="34" t="n">
        <f aca="false">$B$23*$D$9*M$16*M480/12</f>
        <v>7.055664</v>
      </c>
      <c r="N484" s="34" t="n">
        <f aca="false">$B$23*$D$9*N$16*N480/12</f>
        <v>7.055664</v>
      </c>
    </row>
    <row r="485" customFormat="false" ht="15" hidden="false" customHeight="false" outlineLevel="0" collapsed="false">
      <c r="A485" s="0" t="s">
        <v>3611</v>
      </c>
      <c r="B485" s="34" t="n">
        <f aca="false">SUM(B481:B484)</f>
        <v>0</v>
      </c>
      <c r="C485" s="34" t="n">
        <f aca="false">SUM(C481:C484)</f>
        <v>3.62899191546675</v>
      </c>
      <c r="D485" s="34" t="n">
        <f aca="false">SUM(D481:D484)</f>
        <v>38.8380978029153</v>
      </c>
      <c r="E485" s="34" t="n">
        <f aca="false">SUM(E481:E484)</f>
        <v>38.8380978029153</v>
      </c>
      <c r="F485" s="34" t="n">
        <f aca="false">SUM(F481:F484)</f>
        <v>72.19178565</v>
      </c>
      <c r="G485" s="34" t="n">
        <f aca="false">SUM(G481:G484)</f>
        <v>72.19178565</v>
      </c>
      <c r="H485" s="34" t="n">
        <f aca="false">SUM(H481:H484)</f>
        <v>72.19178565</v>
      </c>
      <c r="I485" s="34" t="n">
        <f aca="false">SUM(I481:I484)</f>
        <v>72.19178565</v>
      </c>
      <c r="J485" s="34" t="n">
        <f aca="false">SUM(J481:J484)</f>
        <v>72.19178565</v>
      </c>
      <c r="K485" s="34" t="n">
        <f aca="false">SUM(K481:K484)</f>
        <v>72.19178565</v>
      </c>
      <c r="L485" s="34" t="n">
        <f aca="false">SUM(L481:L484)</f>
        <v>72.19178565</v>
      </c>
      <c r="M485" s="34" t="n">
        <f aca="false">SUM(M481:M484)</f>
        <v>72.19178565</v>
      </c>
      <c r="N485" s="34" t="n">
        <f aca="false">SUM(N481:N484)</f>
        <v>72.19178565</v>
      </c>
    </row>
    <row r="486" customFormat="false" ht="15" hidden="false" customHeight="false" outlineLevel="0" collapsed="false">
      <c r="A486" s="0" t="s">
        <v>3612</v>
      </c>
      <c r="B486" s="34" t="n">
        <f aca="false">$C$23*'Programme cost'!$B$52</f>
        <v>6.54504952626079</v>
      </c>
      <c r="C486" s="34" t="n">
        <f aca="false">$C$23*'Programme cost'!$C$52</f>
        <v>6.51566953438878</v>
      </c>
      <c r="D486" s="34" t="n">
        <f aca="false">$C$23*'Programme cost'!$D$52</f>
        <v>7.0669640511886</v>
      </c>
      <c r="E486" s="34" t="n">
        <f aca="false">$C$23*'Programme cost'!$E$52</f>
        <v>5.17947392716696</v>
      </c>
      <c r="F486" s="34" t="n">
        <v>0</v>
      </c>
      <c r="G486" s="34" t="n">
        <v>0</v>
      </c>
      <c r="H486" s="34" t="n">
        <v>0</v>
      </c>
      <c r="I486" s="34" t="n">
        <v>0</v>
      </c>
      <c r="J486" s="34" t="n">
        <v>0</v>
      </c>
      <c r="K486" s="34" t="n">
        <v>0</v>
      </c>
      <c r="L486" s="34" t="n">
        <v>0</v>
      </c>
      <c r="M486" s="34" t="n">
        <v>0</v>
      </c>
      <c r="N486" s="34" t="n">
        <v>0</v>
      </c>
    </row>
    <row r="487" customFormat="false" ht="15" hidden="false" customHeight="false" outlineLevel="0" collapsed="false">
      <c r="A487" s="0" t="s">
        <v>3613</v>
      </c>
      <c r="B487" s="34" t="n">
        <v>0</v>
      </c>
      <c r="C487" s="34" t="n">
        <v>0</v>
      </c>
      <c r="D487" s="34" t="n">
        <v>0</v>
      </c>
      <c r="E487" s="34" t="n">
        <v>0</v>
      </c>
      <c r="F487" s="34" t="n">
        <f aca="false">run_cost_eur_m_year*F480/12</f>
        <v>5</v>
      </c>
      <c r="G487" s="34" t="n">
        <f aca="false">run_cost_eur_m_year*G480/12</f>
        <v>5</v>
      </c>
      <c r="H487" s="34" t="n">
        <f aca="false">run_cost_eur_m_year*H480/12</f>
        <v>5</v>
      </c>
      <c r="I487" s="34" t="n">
        <f aca="false">run_cost_eur_m_year*I480/12</f>
        <v>5</v>
      </c>
      <c r="J487" s="34" t="n">
        <f aca="false">run_cost_eur_m_year*J480/12</f>
        <v>5</v>
      </c>
      <c r="K487" s="34" t="n">
        <f aca="false">run_cost_eur_m_year*K480/12</f>
        <v>5</v>
      </c>
      <c r="L487" s="34" t="n">
        <f aca="false">run_cost_eur_m_year*L480/12</f>
        <v>5</v>
      </c>
      <c r="M487" s="34" t="n">
        <f aca="false">run_cost_eur_m_year*M480/12</f>
        <v>5</v>
      </c>
      <c r="N487" s="34" t="n">
        <f aca="false">run_cost_eur_m_year*N480/12</f>
        <v>5</v>
      </c>
    </row>
    <row r="488" customFormat="false" ht="15" hidden="false" customHeight="false" outlineLevel="0" collapsed="false">
      <c r="A488" s="0" t="s">
        <v>3614</v>
      </c>
      <c r="B488" s="18" t="n">
        <f aca="false">MAX(0,MIN(1,($B$18-B479)/B480))</f>
        <v>1</v>
      </c>
      <c r="C488" s="18" t="n">
        <f aca="false">MAX(0,MIN(1,($B$18-C479)/C480))</f>
        <v>1</v>
      </c>
      <c r="D488" s="18" t="n">
        <f aca="false">MAX(0,MIN(1,($B$18-D479)/D480))</f>
        <v>1</v>
      </c>
      <c r="E488" s="18" t="n">
        <f aca="false">MAX(0,MIN(1,($B$18-E479)/E480))</f>
        <v>1</v>
      </c>
      <c r="F488" s="18" t="n">
        <f aca="false">MAX(0,MIN(1,($B$18-F479)/F480))</f>
        <v>1</v>
      </c>
      <c r="G488" s="18" t="n">
        <f aca="false">MAX(0,MIN(1,($B$18-G479)/G480))</f>
        <v>1</v>
      </c>
      <c r="H488" s="18" t="n">
        <f aca="false">MAX(0,MIN(1,($B$18-H479)/H480))</f>
        <v>1</v>
      </c>
      <c r="I488" s="18" t="n">
        <f aca="false">MAX(0,MIN(1,($B$18-I479)/I480))</f>
        <v>1</v>
      </c>
      <c r="J488" s="18" t="n">
        <f aca="false">MAX(0,MIN(1,($B$18-J479)/J480))</f>
        <v>1</v>
      </c>
      <c r="K488" s="18" t="n">
        <f aca="false">MAX(0,MIN(1,($B$18-K479)/K480))</f>
        <v>1</v>
      </c>
      <c r="L488" s="18" t="n">
        <f aca="false">MAX(0,MIN(1,($B$18-L479)/L480))</f>
        <v>1</v>
      </c>
      <c r="M488" s="18" t="n">
        <f aca="false">MAX(0,MIN(1,($B$18-M479)/M480))</f>
        <v>0.34</v>
      </c>
      <c r="N488" s="18" t="n">
        <f aca="false">MAX(0,MIN(1,($B$18-N479)/N480))</f>
        <v>0</v>
      </c>
    </row>
    <row r="489" customFormat="false" ht="15" hidden="false" customHeight="false" outlineLevel="0" collapsed="false">
      <c r="A489" s="0" t="s">
        <v>3615</v>
      </c>
      <c r="B489" s="18" t="n">
        <f aca="false">MAX(0,MIN(1,($B$17-B479)/B480))</f>
        <v>1</v>
      </c>
      <c r="C489" s="18" t="n">
        <f aca="false">MAX(0,MIN(1,($B$17-C479)/C480))</f>
        <v>1</v>
      </c>
      <c r="D489" s="18" t="n">
        <f aca="false">MAX(0,MIN(1,($B$17-D479)/D480))</f>
        <v>1</v>
      </c>
      <c r="E489" s="18" t="n">
        <f aca="false">MAX(0,MIN(1,($B$17-E479)/E480))</f>
        <v>1</v>
      </c>
      <c r="F489" s="18" t="n">
        <f aca="false">MAX(0,MIN(1,($B$17-F479)/F480))</f>
        <v>1</v>
      </c>
      <c r="G489" s="18" t="n">
        <f aca="false">MAX(0,MIN(1,($B$17-G479)/G480))</f>
        <v>1</v>
      </c>
      <c r="H489" s="18" t="n">
        <f aca="false">MAX(0,MIN(1,($B$17-H479)/H480))</f>
        <v>0.34</v>
      </c>
      <c r="I489" s="18" t="n">
        <f aca="false">MAX(0,MIN(1,($B$17-I479)/I480))</f>
        <v>0</v>
      </c>
      <c r="J489" s="18" t="n">
        <f aca="false">MAX(0,MIN(1,($B$17-J479)/J480))</f>
        <v>0</v>
      </c>
      <c r="K489" s="18" t="n">
        <f aca="false">MAX(0,MIN(1,($B$17-K479)/K480))</f>
        <v>0</v>
      </c>
      <c r="L489" s="18" t="n">
        <f aca="false">MAX(0,MIN(1,($B$17-L479)/L480))</f>
        <v>0</v>
      </c>
      <c r="M489" s="18" t="n">
        <f aca="false">MAX(0,MIN(1,($B$17-M479)/M480))</f>
        <v>0</v>
      </c>
      <c r="N489" s="18" t="n">
        <f aca="false">MAX(0,MIN(1,($B$17-N479)/N480))</f>
        <v>0</v>
      </c>
    </row>
    <row r="490" customFormat="false" ht="15" hidden="false" customHeight="false" outlineLevel="0" collapsed="false">
      <c r="A490" s="0" t="s">
        <v>3616</v>
      </c>
      <c r="B490" s="22" t="n">
        <f aca="false">B479+B480*B488/2</f>
        <v>3.99</v>
      </c>
      <c r="C490" s="22" t="n">
        <f aca="false">C479+C480*C488/2</f>
        <v>11.97</v>
      </c>
      <c r="D490" s="22" t="n">
        <f aca="false">D479+D480*D488/2</f>
        <v>19.95</v>
      </c>
      <c r="E490" s="22" t="n">
        <f aca="false">E479+E480*E488/2</f>
        <v>27.93</v>
      </c>
      <c r="F490" s="22" t="n">
        <f aca="false">F479+F480*F488/2</f>
        <v>37.92</v>
      </c>
      <c r="G490" s="22" t="n">
        <f aca="false">G479+G480*G488/2</f>
        <v>49.92</v>
      </c>
      <c r="H490" s="22" t="n">
        <f aca="false">H479+H480*H488/2</f>
        <v>61.92</v>
      </c>
      <c r="I490" s="22" t="n">
        <f aca="false">I479+I480*I488/2</f>
        <v>73.92</v>
      </c>
      <c r="J490" s="22" t="n">
        <f aca="false">J479+J480*J488/2</f>
        <v>85.92</v>
      </c>
      <c r="K490" s="22" t="n">
        <f aca="false">K479+K480*K488/2</f>
        <v>97.92</v>
      </c>
      <c r="L490" s="22" t="n">
        <f aca="false">L479+L480*L488/2</f>
        <v>109.92</v>
      </c>
      <c r="M490" s="22" t="n">
        <f aca="false">M479+M480*M488/2</f>
        <v>117.96</v>
      </c>
      <c r="N490" s="22" t="n">
        <f aca="false">N479+N480*N488/2</f>
        <v>127.92</v>
      </c>
    </row>
    <row r="491" customFormat="false" ht="15" hidden="false" customHeight="false" outlineLevel="0" collapsed="false">
      <c r="A491" s="0" t="s">
        <v>3617</v>
      </c>
      <c r="B491" s="22" t="n">
        <f aca="false">B479+B480*B489/2</f>
        <v>3.99</v>
      </c>
      <c r="C491" s="22" t="n">
        <f aca="false">C479+C480*C489/2</f>
        <v>11.97</v>
      </c>
      <c r="D491" s="22" t="n">
        <f aca="false">D479+D480*D489/2</f>
        <v>19.95</v>
      </c>
      <c r="E491" s="22" t="n">
        <f aca="false">E479+E480*E489/2</f>
        <v>27.93</v>
      </c>
      <c r="F491" s="22" t="n">
        <f aca="false">F479+F480*F489/2</f>
        <v>37.92</v>
      </c>
      <c r="G491" s="22" t="n">
        <f aca="false">G479+G480*G489/2</f>
        <v>49.92</v>
      </c>
      <c r="H491" s="22" t="n">
        <f aca="false">H479+H480*H489/2</f>
        <v>57.96</v>
      </c>
      <c r="I491" s="22" t="n">
        <f aca="false">I479+I480*I489/2</f>
        <v>67.92</v>
      </c>
      <c r="J491" s="22" t="n">
        <f aca="false">J479+J480*J489/2</f>
        <v>79.92</v>
      </c>
      <c r="K491" s="22" t="n">
        <f aca="false">K479+K480*K489/2</f>
        <v>91.92</v>
      </c>
      <c r="L491" s="22" t="n">
        <f aca="false">L479+L480*L489/2</f>
        <v>103.92</v>
      </c>
      <c r="M491" s="22" t="n">
        <f aca="false">M479+M480*M489/2</f>
        <v>115.92</v>
      </c>
      <c r="N491" s="22" t="n">
        <f aca="false">N479+N480*N489/2</f>
        <v>127.92</v>
      </c>
    </row>
    <row r="492" customFormat="false" ht="15" hidden="false" customHeight="false" outlineLevel="0" collapsed="false">
      <c r="A492" s="0" t="s">
        <v>3618</v>
      </c>
      <c r="B492" s="34" t="n">
        <f aca="false">(B485-B487)*B488-B486*SIGN(B488)</f>
        <v>-6.54504952626079</v>
      </c>
      <c r="C492" s="34" t="n">
        <f aca="false">(C485-C487)*C488-C486*SIGN(C488)</f>
        <v>-2.88667761892203</v>
      </c>
      <c r="D492" s="34" t="n">
        <f aca="false">(D485-D487)*D488-D486*SIGN(D488)</f>
        <v>31.7711337517267</v>
      </c>
      <c r="E492" s="34" t="n">
        <f aca="false">(E485-E487)*E488-E486*SIGN(E488)</f>
        <v>33.6586238757483</v>
      </c>
      <c r="F492" s="34" t="n">
        <f aca="false">(F485-F487)*F488-F486*SIGN(F488)</f>
        <v>67.19178565</v>
      </c>
      <c r="G492" s="34" t="n">
        <f aca="false">(G485-G487)*G488-G486*SIGN(G488)</f>
        <v>67.19178565</v>
      </c>
      <c r="H492" s="34" t="n">
        <f aca="false">(H485-H487)*H488-H486*SIGN(H488)</f>
        <v>67.19178565</v>
      </c>
      <c r="I492" s="34" t="n">
        <f aca="false">(I485-I487)*I488-I486*SIGN(I488)</f>
        <v>67.19178565</v>
      </c>
      <c r="J492" s="34" t="n">
        <f aca="false">(J485-J487)*J488-J486*SIGN(J488)</f>
        <v>67.19178565</v>
      </c>
      <c r="K492" s="34" t="n">
        <f aca="false">(K485-K487)*K488-K486*SIGN(K488)</f>
        <v>67.19178565</v>
      </c>
      <c r="L492" s="34" t="n">
        <f aca="false">(L485-L487)*L488-L486*SIGN(L488)</f>
        <v>67.19178565</v>
      </c>
      <c r="M492" s="34" t="n">
        <f aca="false">(M485-M487)*M488-M486*SIGN(M488)</f>
        <v>22.845207121</v>
      </c>
      <c r="N492" s="34" t="n">
        <f aca="false">(N485-N487)*N488-N486*SIGN(N488)</f>
        <v>0</v>
      </c>
    </row>
    <row r="493" customFormat="false" ht="15" hidden="false" customHeight="false" outlineLevel="0" collapsed="false">
      <c r="A493" s="0" t="s">
        <v>3619</v>
      </c>
      <c r="B493" s="34" t="n">
        <f aca="false">B492</f>
        <v>-6.54504952626079</v>
      </c>
      <c r="C493" s="34" t="n">
        <f aca="false">B493+C492</f>
        <v>-9.43172714518282</v>
      </c>
      <c r="D493" s="34" t="n">
        <f aca="false">C493+D492</f>
        <v>22.3394066065438</v>
      </c>
      <c r="E493" s="34" t="n">
        <f aca="false">D493+E492</f>
        <v>55.9980304822921</v>
      </c>
      <c r="F493" s="34" t="n">
        <f aca="false">E493+F492</f>
        <v>123.189816132292</v>
      </c>
      <c r="G493" s="34" t="n">
        <f aca="false">F493+G492</f>
        <v>190.381601782292</v>
      </c>
      <c r="H493" s="34" t="n">
        <f aca="false">G493+H492</f>
        <v>257.573387432292</v>
      </c>
      <c r="I493" s="34" t="n">
        <f aca="false">H493+I492</f>
        <v>324.765173082292</v>
      </c>
      <c r="J493" s="34" t="n">
        <f aca="false">I493+J492</f>
        <v>391.956958732292</v>
      </c>
      <c r="K493" s="34" t="n">
        <f aca="false">J493+K492</f>
        <v>459.148744382292</v>
      </c>
      <c r="L493" s="34" t="n">
        <f aca="false">K493+L492</f>
        <v>526.340530032292</v>
      </c>
      <c r="M493" s="34" t="n">
        <f aca="false">L493+M492</f>
        <v>549.185737153292</v>
      </c>
      <c r="N493" s="34" t="n">
        <f aca="false">M493+N492</f>
        <v>549.185737153292</v>
      </c>
    </row>
    <row r="494" customFormat="false" ht="15" hidden="false" customHeight="false" outlineLevel="0" collapsed="false">
      <c r="A494" s="0" t="s">
        <v>3620</v>
      </c>
      <c r="B494" s="22" t="str">
        <f aca="false">IF(AND((-B486*SIGN(B488))&lt;0,(-B486*SIGN(B488))+((B485-B487)*B488)&gt;=0,((B485-B487)*B488)&gt;0),B479+B480*B488*(-(-B486*SIGN(B488)))/((B485-B487)*B488),"-")</f>
        <v>-</v>
      </c>
      <c r="C494" s="22" t="str">
        <f aca="false">IF(AND((B493-C486*SIGN(C488))&lt;0,(B493-C486*SIGN(C488))+((C485-C487)*C488)&gt;=0,((C485-C487)*C488)&gt;0),C479+C480*C488*(-(B493-C486*SIGN(C488)))/((C485-C487)*C488),"-")</f>
        <v>-</v>
      </c>
      <c r="D494" s="22" t="n">
        <f aca="false">IF(AND((C493-D486*SIGN(D488))&lt;0,(C493-D486*SIGN(D488))+((D485-D487)*D488)&gt;=0,((D485-D487)*D488)&gt;0),D479+D480*D488*(-(C493-D486*SIGN(D488)))/((D485-D487)*D488),"-")</f>
        <v>19.3499589113543</v>
      </c>
      <c r="E494" s="22" t="str">
        <f aca="false">IF(AND((D493-E486*SIGN(E488))&lt;0,(D493-E486*SIGN(E488))+((E485-E487)*E488)&gt;=0,((E485-E487)*E488)&gt;0),E479+E480*E488*(-(D493-E486*SIGN(E488)))/((E485-E487)*E488),"-")</f>
        <v>-</v>
      </c>
      <c r="F494" s="22" t="str">
        <f aca="false">IF(AND((E493-F486*SIGN(F488))&lt;0,(E493-F486*SIGN(F488))+((F485-F487)*F488)&gt;=0,((F485-F487)*F488)&gt;0),F479+F480*F488*(-(E493-F486*SIGN(F488)))/((F485-F487)*F488),"-")</f>
        <v>-</v>
      </c>
      <c r="G494" s="22" t="str">
        <f aca="false">IF(AND((F493-G486*SIGN(G488))&lt;0,(F493-G486*SIGN(G488))+((G485-G487)*G488)&gt;=0,((G485-G487)*G488)&gt;0),G479+G480*G488*(-(F493-G486*SIGN(G488)))/((G485-G487)*G488),"-")</f>
        <v>-</v>
      </c>
      <c r="H494" s="22" t="str">
        <f aca="false">IF(AND((G493-H486*SIGN(H488))&lt;0,(G493-H486*SIGN(H488))+((H485-H487)*H488)&gt;=0,((H485-H487)*H488)&gt;0),H479+H480*H488*(-(G493-H486*SIGN(H488)))/((H485-H487)*H488),"-")</f>
        <v>-</v>
      </c>
      <c r="I494" s="22" t="str">
        <f aca="false">IF(AND((H493-I486*SIGN(I488))&lt;0,(H493-I486*SIGN(I488))+((I485-I487)*I488)&gt;=0,((I485-I487)*I488)&gt;0),I479+I480*I488*(-(H493-I486*SIGN(I488)))/((I485-I487)*I488),"-")</f>
        <v>-</v>
      </c>
      <c r="J494" s="22" t="str">
        <f aca="false">IF(AND((I493-J486*SIGN(J488))&lt;0,(I493-J486*SIGN(J488))+((J485-J487)*J488)&gt;=0,((J485-J487)*J488)&gt;0),J479+J480*J488*(-(I493-J486*SIGN(J488)))/((J485-J487)*J488),"-")</f>
        <v>-</v>
      </c>
      <c r="K494" s="22" t="str">
        <f aca="false">IF(AND((J493-K486*SIGN(K488))&lt;0,(J493-K486*SIGN(K488))+((K485-K487)*K488)&gt;=0,((K485-K487)*K488)&gt;0),K479+K480*K488*(-(J493-K486*SIGN(K488)))/((K485-K487)*K488),"-")</f>
        <v>-</v>
      </c>
      <c r="L494" s="22" t="str">
        <f aca="false">IF(AND((K493-L486*SIGN(L488))&lt;0,(K493-L486*SIGN(L488))+((L485-L487)*L488)&gt;=0,((L485-L487)*L488)&gt;0),L479+L480*L488*(-(K493-L486*SIGN(L488)))/((L485-L487)*L488),"-")</f>
        <v>-</v>
      </c>
      <c r="M494" s="22" t="str">
        <f aca="false">IF(AND((L493-M486*SIGN(M488))&lt;0,(L493-M486*SIGN(M488))+((M485-M487)*M488)&gt;=0,((M485-M487)*M488)&gt;0),M479+M480*M488*(-(L493-M486*SIGN(M488)))/((M485-M487)*M488),"-")</f>
        <v>-</v>
      </c>
      <c r="N494" s="22" t="str">
        <f aca="false">IF(AND((M493-N486*SIGN(N488))&lt;0,(M493-N486*SIGN(N488))+((N485-N487)*N488)&gt;=0,((N485-N487)*N488)&gt;0),N479+N480*N488*(-(M493-N486*SIGN(N488)))/((N485-N487)*N488),"-")</f>
        <v>-</v>
      </c>
    </row>
    <row r="495" customFormat="false" ht="15" hidden="false" customHeight="false" outlineLevel="0" collapsed="false">
      <c r="A495" s="3" t="s">
        <v>3621</v>
      </c>
      <c r="B495" s="36" t="n">
        <f aca="false">IF(COUNT($B$494:$N$494)=0,"none within ten years",MIN($B$494:$N$494))</f>
        <v>19.3499589113543</v>
      </c>
    </row>
    <row r="496" customFormat="false" ht="15" hidden="false" customHeight="false" outlineLevel="0" collapsed="false">
      <c r="A496" s="16" t="s">
        <v>3622</v>
      </c>
      <c r="B496" s="37" t="n">
        <f aca="false">-B493</f>
        <v>6.54504952626079</v>
      </c>
    </row>
    <row r="497" customFormat="false" ht="15" hidden="false" customHeight="false" outlineLevel="0" collapsed="false">
      <c r="A497" s="16" t="s">
        <v>3623</v>
      </c>
      <c r="B497" s="37" t="n">
        <f aca="false">-C493</f>
        <v>9.43172714518282</v>
      </c>
    </row>
    <row r="498" customFormat="false" ht="15" hidden="false" customHeight="false" outlineLevel="0" collapsed="false">
      <c r="A498" s="16" t="s">
        <v>3624</v>
      </c>
      <c r="B498" s="37" t="n">
        <f aca="false">-D493</f>
        <v>-22.3394066065438</v>
      </c>
    </row>
    <row r="499" customFormat="false" ht="15" hidden="false" customHeight="false" outlineLevel="0" collapsed="false">
      <c r="A499" s="16" t="s">
        <v>3625</v>
      </c>
      <c r="B499" s="37" t="n">
        <f aca="false">-E493</f>
        <v>-55.9980304822921</v>
      </c>
    </row>
    <row r="500" customFormat="false" ht="15" hidden="false" customHeight="false" outlineLevel="0" collapsed="false">
      <c r="A500" s="16" t="s">
        <v>3626</v>
      </c>
      <c r="B500" s="37" t="n">
        <f aca="false">SUMPRODUCT(($B$485:$N$485-$B$487:$N$487)*$B$489:$N$489/(1+stla_wacc_pretax_high_pct/100)^($B$491:$N$491/12))-SUMPRODUCT($B$486:$N$486*SIGN($B$489:$N$489)/(1+stla_wacc_pretax_high_pct/100)^($B$479:$N$479/12))</f>
        <v>117.651205516793</v>
      </c>
    </row>
    <row r="501" customFormat="false" ht="15" hidden="false" customHeight="false" outlineLevel="0" collapsed="false">
      <c r="A501" s="16" t="s">
        <v>3627</v>
      </c>
      <c r="B501" s="37" t="n">
        <f aca="false">SUMPRODUCT(($B$485:$N$485-$B$487:$N$487)*$B$489:$N$489/(1+stla_wacc_pretax_low_pct/100)^($B$491:$N$491/12))-SUMPRODUCT($B$486:$N$486*SIGN($B$489:$N$489)/(1+stla_wacc_pretax_low_pct/100)^($B$479:$N$479/12))</f>
        <v>156.132161989572</v>
      </c>
    </row>
    <row r="502" customFormat="false" ht="15" hidden="false" customHeight="false" outlineLevel="0" collapsed="false">
      <c r="A502" s="16" t="s">
        <v>3628</v>
      </c>
      <c r="B502" s="37" t="n">
        <f aca="false">SUMPRODUCT(($B$485:$N$485-$B$487:$N$487)*$B$488:$N$488/(1+stla_wacc_pretax_high_pct/100)^($B$490:$N$490/12))-SUMPRODUCT($B$486:$N$486*SIGN($B$488:$N$488)/(1+stla_wacc_pretax_high_pct/100)^($B$479:$N$479/12))</f>
        <v>211.561016645284</v>
      </c>
    </row>
    <row r="503" customFormat="false" ht="15" hidden="false" customHeight="false" outlineLevel="0" collapsed="false">
      <c r="A503" s="16" t="s">
        <v>3629</v>
      </c>
      <c r="B503" s="37" t="n">
        <f aca="false">SUMPRODUCT(($B$485:$N$485-$B$487:$N$487)*$B$488:$N$488/(1+stla_wacc_pretax_low_pct/100)^($B$490:$N$490/12))-SUMPRODUCT($B$486:$N$486*SIGN($B$488:$N$488)/(1+stla_wacc_pretax_low_pct/100)^($B$479:$N$479/12))</f>
        <v>327.625322068132</v>
      </c>
    </row>
    <row r="504" customFormat="false" ht="15" hidden="false" customHeight="false" outlineLevel="0" collapsed="false">
      <c r="A504" s="16" t="s">
        <v>3631</v>
      </c>
      <c r="B504" s="37" t="n">
        <f aca="false">SUMPRODUCT($B$481:$N$481*$B$489:$N$489/(1+stla_wacc_pretax_high_pct/100)^($B$491:$N$491/12))</f>
        <v>41.3208623792171</v>
      </c>
    </row>
    <row r="505" customFormat="false" ht="15" hidden="false" customHeight="false" outlineLevel="0" collapsed="false">
      <c r="A505" s="16" t="s">
        <v>3632</v>
      </c>
      <c r="B505" s="37" t="n">
        <f aca="false">SUMPRODUCT($B$482:$N$482*$B$489:$N$489/(1+stla_wacc_pretax_high_pct/100)^($B$491:$N$491/12))</f>
        <v>63.4095441284432</v>
      </c>
    </row>
    <row r="506" customFormat="false" ht="15" hidden="false" customHeight="false" outlineLevel="0" collapsed="false">
      <c r="A506" s="16" t="s">
        <v>3633</v>
      </c>
      <c r="B506" s="37" t="n">
        <f aca="false">SUMPRODUCT($B$483:$N$483*$B$489:$N$489/(1+stla_wacc_pretax_high_pct/100)^($B$491:$N$491/12))</f>
        <v>26.6781855532426</v>
      </c>
    </row>
    <row r="507" customFormat="false" ht="15" hidden="false" customHeight="false" outlineLevel="0" collapsed="false">
      <c r="A507" s="16" t="s">
        <v>3634</v>
      </c>
      <c r="B507" s="37" t="n">
        <f aca="false">SUMPRODUCT($B$484:$N$484*$B$489:$N$489/(1+stla_wacc_pretax_high_pct/100)^($B$491:$N$491/12))</f>
        <v>13.9039403534815</v>
      </c>
    </row>
    <row r="508" customFormat="false" ht="15" hidden="false" customHeight="false" outlineLevel="0" collapsed="false">
      <c r="A508" s="16" t="s">
        <v>3635</v>
      </c>
      <c r="B508" s="37" t="n">
        <f aca="false">SUMPRODUCT($B$486:$N$486*SIGN($B$489:$N$489)/(1+stla_wacc_pretax_high_pct/100)^($B$479:$N$479/12))</f>
        <v>21.6170207973798</v>
      </c>
    </row>
    <row r="509" customFormat="false" ht="15" hidden="false" customHeight="false" outlineLevel="0" collapsed="false">
      <c r="A509" s="16" t="s">
        <v>3636</v>
      </c>
      <c r="B509" s="37" t="n">
        <f aca="false">SUMPRODUCT($B$487:$N$487*$B$489:$N$489/(1+stla_wacc_pretax_high_pct/100)^($B$491:$N$491/12))</f>
        <v>6.04430610021123</v>
      </c>
    </row>
    <row r="511" customFormat="false" ht="26.85" hidden="false" customHeight="false" outlineLevel="0" collapsed="false">
      <c r="A511" s="4" t="s">
        <v>3652</v>
      </c>
      <c r="B511" s="4" t="s">
        <v>3580</v>
      </c>
      <c r="C511" s="4" t="s">
        <v>3561</v>
      </c>
      <c r="D511" s="4" t="s">
        <v>3564</v>
      </c>
      <c r="E511" s="4" t="s">
        <v>3572</v>
      </c>
      <c r="F511" s="4" t="s">
        <v>3581</v>
      </c>
      <c r="G511" s="4" t="s">
        <v>3582</v>
      </c>
      <c r="H511" s="4" t="s">
        <v>3583</v>
      </c>
      <c r="I511" s="4" t="s">
        <v>3584</v>
      </c>
      <c r="J511" s="4" t="s">
        <v>3585</v>
      </c>
      <c r="K511" s="4" t="s">
        <v>3586</v>
      </c>
      <c r="L511" s="4" t="s">
        <v>3587</v>
      </c>
      <c r="M511" s="4" t="s">
        <v>3588</v>
      </c>
      <c r="N511" s="4" t="s">
        <v>3589</v>
      </c>
    </row>
    <row r="512" customFormat="false" ht="15" hidden="false" customHeight="false" outlineLevel="0" collapsed="false">
      <c r="A512" s="0" t="s">
        <v>3609</v>
      </c>
      <c r="B512" s="22" t="n">
        <v>0</v>
      </c>
      <c r="C512" s="22" t="n">
        <f aca="false">B512+B513</f>
        <v>7.98</v>
      </c>
      <c r="D512" s="22" t="n">
        <f aca="false">C512+C513</f>
        <v>15.96</v>
      </c>
      <c r="E512" s="22" t="n">
        <f aca="false">D512+D513</f>
        <v>23.94</v>
      </c>
      <c r="F512" s="22" t="n">
        <f aca="false">E512+E513</f>
        <v>31.92</v>
      </c>
      <c r="G512" s="22" t="n">
        <f aca="false">F512+F513</f>
        <v>43.92</v>
      </c>
      <c r="H512" s="22" t="n">
        <f aca="false">G512+G513</f>
        <v>55.92</v>
      </c>
      <c r="I512" s="22" t="n">
        <f aca="false">H512+H513</f>
        <v>67.92</v>
      </c>
      <c r="J512" s="22" t="n">
        <f aca="false">I512+I513</f>
        <v>79.92</v>
      </c>
      <c r="K512" s="22" t="n">
        <f aca="false">J512+J513</f>
        <v>91.92</v>
      </c>
      <c r="L512" s="22" t="n">
        <f aca="false">K512+K513</f>
        <v>103.92</v>
      </c>
      <c r="M512" s="22" t="n">
        <f aca="false">L512+L513</f>
        <v>115.92</v>
      </c>
      <c r="N512" s="22" t="n">
        <f aca="false">M512+M513</f>
        <v>127.92</v>
      </c>
    </row>
    <row r="513" customFormat="false" ht="15" hidden="false" customHeight="false" outlineLevel="0" collapsed="false">
      <c r="A513" s="0" t="s">
        <v>3610</v>
      </c>
      <c r="B513" s="22" t="n">
        <f aca="false">$D$24</f>
        <v>7.98</v>
      </c>
      <c r="C513" s="22" t="n">
        <f aca="false">$D$24</f>
        <v>7.98</v>
      </c>
      <c r="D513" s="22" t="n">
        <f aca="false">$D$24</f>
        <v>7.98</v>
      </c>
      <c r="E513" s="22" t="n">
        <f aca="false">$D$24</f>
        <v>7.98</v>
      </c>
      <c r="F513" s="22" t="n">
        <f aca="false">12</f>
        <v>12</v>
      </c>
      <c r="G513" s="22" t="n">
        <f aca="false">12</f>
        <v>12</v>
      </c>
      <c r="H513" s="22" t="n">
        <f aca="false">12</f>
        <v>12</v>
      </c>
      <c r="I513" s="22" t="n">
        <f aca="false">12</f>
        <v>12</v>
      </c>
      <c r="J513" s="22" t="n">
        <f aca="false">12</f>
        <v>12</v>
      </c>
      <c r="K513" s="22" t="n">
        <f aca="false">12</f>
        <v>12</v>
      </c>
      <c r="L513" s="22" t="n">
        <f aca="false">12</f>
        <v>12</v>
      </c>
      <c r="M513" s="22" t="n">
        <f aca="false">12</f>
        <v>12</v>
      </c>
      <c r="N513" s="22" t="n">
        <f aca="false">12</f>
        <v>12</v>
      </c>
    </row>
    <row r="514" customFormat="false" ht="15" hidden="false" customHeight="false" outlineLevel="0" collapsed="false">
      <c r="A514" s="0" t="s">
        <v>3559</v>
      </c>
      <c r="B514" s="34" t="n">
        <v>0</v>
      </c>
      <c r="C514" s="34" t="n">
        <f aca="false">$B$24*$D$6*C$16*C513/12</f>
        <v>1.09306985405625</v>
      </c>
      <c r="D514" s="34" t="n">
        <f aca="false">$B$24*$D$6*D$16*D513/12</f>
        <v>3.14695199975625</v>
      </c>
      <c r="E514" s="34" t="n">
        <f aca="false">$B$24*$D$6*E$16*E513/12</f>
        <v>3.14695199975625</v>
      </c>
      <c r="F514" s="34" t="n">
        <f aca="false">$B$24*$D$6*F$16*F513/12</f>
        <v>5.84951625</v>
      </c>
      <c r="G514" s="34" t="n">
        <f aca="false">$B$24*$D$6*G$16*G513/12</f>
        <v>5.84951625</v>
      </c>
      <c r="H514" s="34" t="n">
        <f aca="false">$B$24*$D$6*H$16*H513/12</f>
        <v>5.84951625</v>
      </c>
      <c r="I514" s="34" t="n">
        <f aca="false">$B$24*$D$6*I$16*I513/12</f>
        <v>5.84951625</v>
      </c>
      <c r="J514" s="34" t="n">
        <f aca="false">$B$24*$D$6*J$16*J513/12</f>
        <v>5.84951625</v>
      </c>
      <c r="K514" s="34" t="n">
        <f aca="false">$B$24*$D$6*K$16*K513/12</f>
        <v>5.84951625</v>
      </c>
      <c r="L514" s="34" t="n">
        <f aca="false">$B$24*$D$6*L$16*L513/12</f>
        <v>5.84951625</v>
      </c>
      <c r="M514" s="34" t="n">
        <f aca="false">$B$24*$D$6*M$16*M513/12</f>
        <v>5.84951625</v>
      </c>
      <c r="N514" s="34" t="n">
        <f aca="false">$B$24*$D$6*N$16*N513/12</f>
        <v>5.84951625</v>
      </c>
    </row>
    <row r="515" customFormat="false" ht="15" hidden="false" customHeight="false" outlineLevel="0" collapsed="false">
      <c r="A515" s="0" t="s">
        <v>3563</v>
      </c>
      <c r="B515" s="34" t="n">
        <v>0</v>
      </c>
      <c r="C515" s="34" t="n">
        <v>0</v>
      </c>
      <c r="D515" s="34" t="n">
        <f aca="false">$B$24*$D$7*D$16*D513/12</f>
        <v>5.21418827895</v>
      </c>
      <c r="E515" s="34" t="n">
        <f aca="false">$B$24*$D$7*E$16*E513/12</f>
        <v>5.21418827895</v>
      </c>
      <c r="F515" s="34" t="n">
        <f aca="false">$B$24*$D$7*F$16*F513/12</f>
        <v>9.69207</v>
      </c>
      <c r="G515" s="34" t="n">
        <f aca="false">$B$24*$D$7*G$16*G513/12</f>
        <v>9.69207</v>
      </c>
      <c r="H515" s="34" t="n">
        <f aca="false">$B$24*$D$7*H$16*H513/12</f>
        <v>9.69207</v>
      </c>
      <c r="I515" s="34" t="n">
        <f aca="false">$B$24*$D$7*I$16*I513/12</f>
        <v>9.69207</v>
      </c>
      <c r="J515" s="34" t="n">
        <f aca="false">$B$24*$D$7*J$16*J513/12</f>
        <v>9.69207</v>
      </c>
      <c r="K515" s="34" t="n">
        <f aca="false">$B$24*$D$7*K$16*K513/12</f>
        <v>9.69207</v>
      </c>
      <c r="L515" s="34" t="n">
        <f aca="false">$B$24*$D$7*L$16*L513/12</f>
        <v>9.69207</v>
      </c>
      <c r="M515" s="34" t="n">
        <f aca="false">$B$24*$D$7*M$16*M513/12</f>
        <v>9.69207</v>
      </c>
      <c r="N515" s="34" t="n">
        <f aca="false">$B$24*$D$7*N$16*N513/12</f>
        <v>9.69207</v>
      </c>
    </row>
    <row r="516" customFormat="false" ht="15" hidden="false" customHeight="false" outlineLevel="0" collapsed="false">
      <c r="A516" s="0" t="s">
        <v>3566</v>
      </c>
      <c r="B516" s="34" t="n">
        <v>0</v>
      </c>
      <c r="C516" s="34" t="n">
        <v>0</v>
      </c>
      <c r="D516" s="34" t="n">
        <f aca="false">$B$24*$D$8*D$16*D513/12</f>
        <v>2.1937562290875</v>
      </c>
      <c r="E516" s="34" t="n">
        <f aca="false">$B$24*$D$8*E$16*E513/12</f>
        <v>2.1937562290875</v>
      </c>
      <c r="F516" s="34" t="n">
        <f aca="false">$B$24*$D$8*F$16*F513/12</f>
        <v>4.0777275</v>
      </c>
      <c r="G516" s="34" t="n">
        <f aca="false">$B$24*$D$8*G$16*G513/12</f>
        <v>4.0777275</v>
      </c>
      <c r="H516" s="34" t="n">
        <f aca="false">$B$24*$D$8*H$16*H513/12</f>
        <v>4.0777275</v>
      </c>
      <c r="I516" s="34" t="n">
        <f aca="false">$B$24*$D$8*I$16*I513/12</f>
        <v>4.0777275</v>
      </c>
      <c r="J516" s="34" t="n">
        <f aca="false">$B$24*$D$8*J$16*J513/12</f>
        <v>4.0777275</v>
      </c>
      <c r="K516" s="34" t="n">
        <f aca="false">$B$24*$D$8*K$16*K513/12</f>
        <v>4.0777275</v>
      </c>
      <c r="L516" s="34" t="n">
        <f aca="false">$B$24*$D$8*L$16*L513/12</f>
        <v>4.0777275</v>
      </c>
      <c r="M516" s="34" t="n">
        <f aca="false">$B$24*$D$8*M$16*M513/12</f>
        <v>4.0777275</v>
      </c>
      <c r="N516" s="34" t="n">
        <f aca="false">$B$24*$D$8*N$16*N513/12</f>
        <v>4.0777275</v>
      </c>
    </row>
    <row r="517" customFormat="false" ht="15" hidden="false" customHeight="false" outlineLevel="0" collapsed="false">
      <c r="A517" s="0" t="s">
        <v>3568</v>
      </c>
      <c r="B517" s="34" t="n">
        <v>0</v>
      </c>
      <c r="C517" s="34" t="n">
        <v>0</v>
      </c>
      <c r="D517" s="34" t="n">
        <f aca="false">$B$24*$D$9*D$16*D513/12</f>
        <v>1.143325722</v>
      </c>
      <c r="E517" s="34" t="n">
        <f aca="false">$B$24*$D$9*E$16*E513/12</f>
        <v>1.143325722</v>
      </c>
      <c r="F517" s="34" t="n">
        <f aca="false">$B$24*$D$9*F$16*F513/12</f>
        <v>2.1252</v>
      </c>
      <c r="G517" s="34" t="n">
        <f aca="false">$B$24*$D$9*G$16*G513/12</f>
        <v>2.1252</v>
      </c>
      <c r="H517" s="34" t="n">
        <f aca="false">$B$24*$D$9*H$16*H513/12</f>
        <v>2.1252</v>
      </c>
      <c r="I517" s="34" t="n">
        <f aca="false">$B$24*$D$9*I$16*I513/12</f>
        <v>2.1252</v>
      </c>
      <c r="J517" s="34" t="n">
        <f aca="false">$B$24*$D$9*J$16*J513/12</f>
        <v>2.1252</v>
      </c>
      <c r="K517" s="34" t="n">
        <f aca="false">$B$24*$D$9*K$16*K513/12</f>
        <v>2.1252</v>
      </c>
      <c r="L517" s="34" t="n">
        <f aca="false">$B$24*$D$9*L$16*L513/12</f>
        <v>2.1252</v>
      </c>
      <c r="M517" s="34" t="n">
        <f aca="false">$B$24*$D$9*M$16*M513/12</f>
        <v>2.1252</v>
      </c>
      <c r="N517" s="34" t="n">
        <f aca="false">$B$24*$D$9*N$16*N513/12</f>
        <v>2.1252</v>
      </c>
    </row>
    <row r="518" customFormat="false" ht="15" hidden="false" customHeight="false" outlineLevel="0" collapsed="false">
      <c r="A518" s="0" t="s">
        <v>3611</v>
      </c>
      <c r="B518" s="34" t="n">
        <f aca="false">SUM(B514:B517)</f>
        <v>0</v>
      </c>
      <c r="C518" s="34" t="n">
        <f aca="false">SUM(C514:C517)</f>
        <v>1.09306985405625</v>
      </c>
      <c r="D518" s="34" t="n">
        <f aca="false">SUM(D514:D517)</f>
        <v>11.6982222297938</v>
      </c>
      <c r="E518" s="34" t="n">
        <f aca="false">SUM(E514:E517)</f>
        <v>11.6982222297938</v>
      </c>
      <c r="F518" s="34" t="n">
        <f aca="false">SUM(F514:F517)</f>
        <v>21.74451375</v>
      </c>
      <c r="G518" s="34" t="n">
        <f aca="false">SUM(G514:G517)</f>
        <v>21.74451375</v>
      </c>
      <c r="H518" s="34" t="n">
        <f aca="false">SUM(H514:H517)</f>
        <v>21.74451375</v>
      </c>
      <c r="I518" s="34" t="n">
        <f aca="false">SUM(I514:I517)</f>
        <v>21.74451375</v>
      </c>
      <c r="J518" s="34" t="n">
        <f aca="false">SUM(J514:J517)</f>
        <v>21.74451375</v>
      </c>
      <c r="K518" s="34" t="n">
        <f aca="false">SUM(K514:K517)</f>
        <v>21.74451375</v>
      </c>
      <c r="L518" s="34" t="n">
        <f aca="false">SUM(L514:L517)</f>
        <v>21.74451375</v>
      </c>
      <c r="M518" s="34" t="n">
        <f aca="false">SUM(M514:M517)</f>
        <v>21.74451375</v>
      </c>
      <c r="N518" s="34" t="n">
        <f aca="false">SUM(N514:N517)</f>
        <v>21.74451375</v>
      </c>
    </row>
    <row r="519" customFormat="false" ht="15" hidden="false" customHeight="false" outlineLevel="0" collapsed="false">
      <c r="A519" s="0" t="s">
        <v>3612</v>
      </c>
      <c r="B519" s="34" t="n">
        <f aca="false">$C$24*'Programme cost'!$B$52</f>
        <v>19.714004597171</v>
      </c>
      <c r="C519" s="34" t="n">
        <f aca="false">$C$24*'Programme cost'!$C$52</f>
        <v>19.6255106457493</v>
      </c>
      <c r="D519" s="34" t="n">
        <f aca="false">$C$24*'Programme cost'!$D$52</f>
        <v>21.2860362987608</v>
      </c>
      <c r="E519" s="34" t="n">
        <f aca="false">$C$24*'Programme cost'!$E$52</f>
        <v>15.6008250818282</v>
      </c>
      <c r="F519" s="34" t="n">
        <v>0</v>
      </c>
      <c r="G519" s="34" t="n">
        <v>0</v>
      </c>
      <c r="H519" s="34" t="n">
        <v>0</v>
      </c>
      <c r="I519" s="34" t="n">
        <v>0</v>
      </c>
      <c r="J519" s="34" t="n">
        <v>0</v>
      </c>
      <c r="K519" s="34" t="n">
        <v>0</v>
      </c>
      <c r="L519" s="34" t="n">
        <v>0</v>
      </c>
      <c r="M519" s="34" t="n">
        <v>0</v>
      </c>
      <c r="N519" s="34" t="n">
        <v>0</v>
      </c>
    </row>
    <row r="520" customFormat="false" ht="15" hidden="false" customHeight="false" outlineLevel="0" collapsed="false">
      <c r="A520" s="0" t="s">
        <v>3613</v>
      </c>
      <c r="B520" s="34" t="n">
        <v>0</v>
      </c>
      <c r="C520" s="34" t="n">
        <v>0</v>
      </c>
      <c r="D520" s="34" t="n">
        <v>0</v>
      </c>
      <c r="E520" s="34" t="n">
        <v>0</v>
      </c>
      <c r="F520" s="34" t="n">
        <f aca="false">run_cost_eur_m_year*F513/12</f>
        <v>5</v>
      </c>
      <c r="G520" s="34" t="n">
        <f aca="false">run_cost_eur_m_year*G513/12</f>
        <v>5</v>
      </c>
      <c r="H520" s="34" t="n">
        <f aca="false">run_cost_eur_m_year*H513/12</f>
        <v>5</v>
      </c>
      <c r="I520" s="34" t="n">
        <f aca="false">run_cost_eur_m_year*I513/12</f>
        <v>5</v>
      </c>
      <c r="J520" s="34" t="n">
        <f aca="false">run_cost_eur_m_year*J513/12</f>
        <v>5</v>
      </c>
      <c r="K520" s="34" t="n">
        <f aca="false">run_cost_eur_m_year*K513/12</f>
        <v>5</v>
      </c>
      <c r="L520" s="34" t="n">
        <f aca="false">run_cost_eur_m_year*L513/12</f>
        <v>5</v>
      </c>
      <c r="M520" s="34" t="n">
        <f aca="false">run_cost_eur_m_year*M513/12</f>
        <v>5</v>
      </c>
      <c r="N520" s="34" t="n">
        <f aca="false">run_cost_eur_m_year*N513/12</f>
        <v>5</v>
      </c>
    </row>
    <row r="521" customFormat="false" ht="15" hidden="false" customHeight="false" outlineLevel="0" collapsed="false">
      <c r="A521" s="0" t="s">
        <v>3614</v>
      </c>
      <c r="B521" s="18" t="n">
        <f aca="false">MAX(0,MIN(1,($B$18-B512)/B513))</f>
        <v>1</v>
      </c>
      <c r="C521" s="18" t="n">
        <f aca="false">MAX(0,MIN(1,($B$18-C512)/C513))</f>
        <v>1</v>
      </c>
      <c r="D521" s="18" t="n">
        <f aca="false">MAX(0,MIN(1,($B$18-D512)/D513))</f>
        <v>1</v>
      </c>
      <c r="E521" s="18" t="n">
        <f aca="false">MAX(0,MIN(1,($B$18-E512)/E513))</f>
        <v>1</v>
      </c>
      <c r="F521" s="18" t="n">
        <f aca="false">MAX(0,MIN(1,($B$18-F512)/F513))</f>
        <v>1</v>
      </c>
      <c r="G521" s="18" t="n">
        <f aca="false">MAX(0,MIN(1,($B$18-G512)/G513))</f>
        <v>1</v>
      </c>
      <c r="H521" s="18" t="n">
        <f aca="false">MAX(0,MIN(1,($B$18-H512)/H513))</f>
        <v>1</v>
      </c>
      <c r="I521" s="18" t="n">
        <f aca="false">MAX(0,MIN(1,($B$18-I512)/I513))</f>
        <v>1</v>
      </c>
      <c r="J521" s="18" t="n">
        <f aca="false">MAX(0,MIN(1,($B$18-J512)/J513))</f>
        <v>1</v>
      </c>
      <c r="K521" s="18" t="n">
        <f aca="false">MAX(0,MIN(1,($B$18-K512)/K513))</f>
        <v>1</v>
      </c>
      <c r="L521" s="18" t="n">
        <f aca="false">MAX(0,MIN(1,($B$18-L512)/L513))</f>
        <v>1</v>
      </c>
      <c r="M521" s="18" t="n">
        <f aca="false">MAX(0,MIN(1,($B$18-M512)/M513))</f>
        <v>0.34</v>
      </c>
      <c r="N521" s="18" t="n">
        <f aca="false">MAX(0,MIN(1,($B$18-N512)/N513))</f>
        <v>0</v>
      </c>
    </row>
    <row r="522" customFormat="false" ht="15" hidden="false" customHeight="false" outlineLevel="0" collapsed="false">
      <c r="A522" s="0" t="s">
        <v>3615</v>
      </c>
      <c r="B522" s="18" t="n">
        <f aca="false">MAX(0,MIN(1,($B$17-B512)/B513))</f>
        <v>1</v>
      </c>
      <c r="C522" s="18" t="n">
        <f aca="false">MAX(0,MIN(1,($B$17-C512)/C513))</f>
        <v>1</v>
      </c>
      <c r="D522" s="18" t="n">
        <f aca="false">MAX(0,MIN(1,($B$17-D512)/D513))</f>
        <v>1</v>
      </c>
      <c r="E522" s="18" t="n">
        <f aca="false">MAX(0,MIN(1,($B$17-E512)/E513))</f>
        <v>1</v>
      </c>
      <c r="F522" s="18" t="n">
        <f aca="false">MAX(0,MIN(1,($B$17-F512)/F513))</f>
        <v>1</v>
      </c>
      <c r="G522" s="18" t="n">
        <f aca="false">MAX(0,MIN(1,($B$17-G512)/G513))</f>
        <v>1</v>
      </c>
      <c r="H522" s="18" t="n">
        <f aca="false">MAX(0,MIN(1,($B$17-H512)/H513))</f>
        <v>0.34</v>
      </c>
      <c r="I522" s="18" t="n">
        <f aca="false">MAX(0,MIN(1,($B$17-I512)/I513))</f>
        <v>0</v>
      </c>
      <c r="J522" s="18" t="n">
        <f aca="false">MAX(0,MIN(1,($B$17-J512)/J513))</f>
        <v>0</v>
      </c>
      <c r="K522" s="18" t="n">
        <f aca="false">MAX(0,MIN(1,($B$17-K512)/K513))</f>
        <v>0</v>
      </c>
      <c r="L522" s="18" t="n">
        <f aca="false">MAX(0,MIN(1,($B$17-L512)/L513))</f>
        <v>0</v>
      </c>
      <c r="M522" s="18" t="n">
        <f aca="false">MAX(0,MIN(1,($B$17-M512)/M513))</f>
        <v>0</v>
      </c>
      <c r="N522" s="18" t="n">
        <f aca="false">MAX(0,MIN(1,($B$17-N512)/N513))</f>
        <v>0</v>
      </c>
    </row>
    <row r="523" customFormat="false" ht="15" hidden="false" customHeight="false" outlineLevel="0" collapsed="false">
      <c r="A523" s="0" t="s">
        <v>3616</v>
      </c>
      <c r="B523" s="22" t="n">
        <f aca="false">B512+B513*B521/2</f>
        <v>3.99</v>
      </c>
      <c r="C523" s="22" t="n">
        <f aca="false">C512+C513*C521/2</f>
        <v>11.97</v>
      </c>
      <c r="D523" s="22" t="n">
        <f aca="false">D512+D513*D521/2</f>
        <v>19.95</v>
      </c>
      <c r="E523" s="22" t="n">
        <f aca="false">E512+E513*E521/2</f>
        <v>27.93</v>
      </c>
      <c r="F523" s="22" t="n">
        <f aca="false">F512+F513*F521/2</f>
        <v>37.92</v>
      </c>
      <c r="G523" s="22" t="n">
        <f aca="false">G512+G513*G521/2</f>
        <v>49.92</v>
      </c>
      <c r="H523" s="22" t="n">
        <f aca="false">H512+H513*H521/2</f>
        <v>61.92</v>
      </c>
      <c r="I523" s="22" t="n">
        <f aca="false">I512+I513*I521/2</f>
        <v>73.92</v>
      </c>
      <c r="J523" s="22" t="n">
        <f aca="false">J512+J513*J521/2</f>
        <v>85.92</v>
      </c>
      <c r="K523" s="22" t="n">
        <f aca="false">K512+K513*K521/2</f>
        <v>97.92</v>
      </c>
      <c r="L523" s="22" t="n">
        <f aca="false">L512+L513*L521/2</f>
        <v>109.92</v>
      </c>
      <c r="M523" s="22" t="n">
        <f aca="false">M512+M513*M521/2</f>
        <v>117.96</v>
      </c>
      <c r="N523" s="22" t="n">
        <f aca="false">N512+N513*N521/2</f>
        <v>127.92</v>
      </c>
    </row>
    <row r="524" customFormat="false" ht="15" hidden="false" customHeight="false" outlineLevel="0" collapsed="false">
      <c r="A524" s="0" t="s">
        <v>3617</v>
      </c>
      <c r="B524" s="22" t="n">
        <f aca="false">B512+B513*B522/2</f>
        <v>3.99</v>
      </c>
      <c r="C524" s="22" t="n">
        <f aca="false">C512+C513*C522/2</f>
        <v>11.97</v>
      </c>
      <c r="D524" s="22" t="n">
        <f aca="false">D512+D513*D522/2</f>
        <v>19.95</v>
      </c>
      <c r="E524" s="22" t="n">
        <f aca="false">E512+E513*E522/2</f>
        <v>27.93</v>
      </c>
      <c r="F524" s="22" t="n">
        <f aca="false">F512+F513*F522/2</f>
        <v>37.92</v>
      </c>
      <c r="G524" s="22" t="n">
        <f aca="false">G512+G513*G522/2</f>
        <v>49.92</v>
      </c>
      <c r="H524" s="22" t="n">
        <f aca="false">H512+H513*H522/2</f>
        <v>57.96</v>
      </c>
      <c r="I524" s="22" t="n">
        <f aca="false">I512+I513*I522/2</f>
        <v>67.92</v>
      </c>
      <c r="J524" s="22" t="n">
        <f aca="false">J512+J513*J522/2</f>
        <v>79.92</v>
      </c>
      <c r="K524" s="22" t="n">
        <f aca="false">K512+K513*K522/2</f>
        <v>91.92</v>
      </c>
      <c r="L524" s="22" t="n">
        <f aca="false">L512+L513*L522/2</f>
        <v>103.92</v>
      </c>
      <c r="M524" s="22" t="n">
        <f aca="false">M512+M513*M522/2</f>
        <v>115.92</v>
      </c>
      <c r="N524" s="22" t="n">
        <f aca="false">N512+N513*N522/2</f>
        <v>127.92</v>
      </c>
    </row>
    <row r="525" customFormat="false" ht="15" hidden="false" customHeight="false" outlineLevel="0" collapsed="false">
      <c r="A525" s="0" t="s">
        <v>3618</v>
      </c>
      <c r="B525" s="34" t="n">
        <f aca="false">(B518-B520)*B521-B519*SIGN(B521)</f>
        <v>-19.714004597171</v>
      </c>
      <c r="C525" s="34" t="n">
        <f aca="false">(C518-C520)*C521-C519*SIGN(C521)</f>
        <v>-18.5324407916931</v>
      </c>
      <c r="D525" s="34" t="n">
        <f aca="false">(D518-D520)*D521-D519*SIGN(D521)</f>
        <v>-9.58781406896709</v>
      </c>
      <c r="E525" s="34" t="n">
        <f aca="false">(E518-E520)*E521-E519*SIGN(E521)</f>
        <v>-3.90260285203443</v>
      </c>
      <c r="F525" s="34" t="n">
        <f aca="false">(F518-F520)*F521-F519*SIGN(F521)</f>
        <v>16.74451375</v>
      </c>
      <c r="G525" s="34" t="n">
        <f aca="false">(G518-G520)*G521-G519*SIGN(G521)</f>
        <v>16.74451375</v>
      </c>
      <c r="H525" s="34" t="n">
        <f aca="false">(H518-H520)*H521-H519*SIGN(H521)</f>
        <v>16.74451375</v>
      </c>
      <c r="I525" s="34" t="n">
        <f aca="false">(I518-I520)*I521-I519*SIGN(I521)</f>
        <v>16.74451375</v>
      </c>
      <c r="J525" s="34" t="n">
        <f aca="false">(J518-J520)*J521-J519*SIGN(J521)</f>
        <v>16.74451375</v>
      </c>
      <c r="K525" s="34" t="n">
        <f aca="false">(K518-K520)*K521-K519*SIGN(K521)</f>
        <v>16.74451375</v>
      </c>
      <c r="L525" s="34" t="n">
        <f aca="false">(L518-L520)*L521-L519*SIGN(L521)</f>
        <v>16.74451375</v>
      </c>
      <c r="M525" s="34" t="n">
        <f aca="false">(M518-M520)*M521-M519*SIGN(M521)</f>
        <v>5.693134675</v>
      </c>
      <c r="N525" s="34" t="n">
        <f aca="false">(N518-N520)*N521-N519*SIGN(N521)</f>
        <v>0</v>
      </c>
    </row>
    <row r="526" customFormat="false" ht="15" hidden="false" customHeight="false" outlineLevel="0" collapsed="false">
      <c r="A526" s="0" t="s">
        <v>3619</v>
      </c>
      <c r="B526" s="34" t="n">
        <f aca="false">B525</f>
        <v>-19.714004597171</v>
      </c>
      <c r="C526" s="34" t="n">
        <f aca="false">B526+C525</f>
        <v>-38.2464453888641</v>
      </c>
      <c r="D526" s="34" t="n">
        <f aca="false">C526+D525</f>
        <v>-47.8342594578312</v>
      </c>
      <c r="E526" s="34" t="n">
        <f aca="false">D526+E525</f>
        <v>-51.7368623098656</v>
      </c>
      <c r="F526" s="34" t="n">
        <f aca="false">E526+F525</f>
        <v>-34.9923485598657</v>
      </c>
      <c r="G526" s="34" t="n">
        <f aca="false">F526+G525</f>
        <v>-18.2478348098656</v>
      </c>
      <c r="H526" s="34" t="n">
        <f aca="false">G526+H525</f>
        <v>-1.50332105986565</v>
      </c>
      <c r="I526" s="34" t="n">
        <f aca="false">H526+I525</f>
        <v>15.2411926901344</v>
      </c>
      <c r="J526" s="34" t="n">
        <f aca="false">I526+J525</f>
        <v>31.9857064401344</v>
      </c>
      <c r="K526" s="34" t="n">
        <f aca="false">J526+K525</f>
        <v>48.7302201901344</v>
      </c>
      <c r="L526" s="34" t="n">
        <f aca="false">K526+L525</f>
        <v>65.4747339401343</v>
      </c>
      <c r="M526" s="34" t="n">
        <f aca="false">L526+M525</f>
        <v>71.1678686151343</v>
      </c>
      <c r="N526" s="34" t="n">
        <f aca="false">M526+N525</f>
        <v>71.1678686151343</v>
      </c>
    </row>
    <row r="527" customFormat="false" ht="15" hidden="false" customHeight="false" outlineLevel="0" collapsed="false">
      <c r="A527" s="0" t="s">
        <v>3620</v>
      </c>
      <c r="B527" s="22" t="str">
        <f aca="false">IF(AND((-B519*SIGN(B521))&lt;0,(-B519*SIGN(B521))+((B518-B520)*B521)&gt;=0,((B518-B520)*B521)&gt;0),B512+B513*B521*(-(-B519*SIGN(B521)))/((B518-B520)*B521),"-")</f>
        <v>-</v>
      </c>
      <c r="C527" s="22" t="str">
        <f aca="false">IF(AND((B526-C519*SIGN(C521))&lt;0,(B526-C519*SIGN(C521))+((C518-C520)*C521)&gt;=0,((C518-C520)*C521)&gt;0),C512+C513*C521*(-(B526-C519*SIGN(C521)))/((C518-C520)*C521),"-")</f>
        <v>-</v>
      </c>
      <c r="D527" s="22" t="str">
        <f aca="false">IF(AND((C526-D519*SIGN(D521))&lt;0,(C526-D519*SIGN(D521))+((D518-D520)*D521)&gt;=0,((D518-D520)*D521)&gt;0),D512+D513*D521*(-(C526-D519*SIGN(D521)))/((D518-D520)*D521),"-")</f>
        <v>-</v>
      </c>
      <c r="E527" s="22" t="str">
        <f aca="false">IF(AND((D526-E519*SIGN(E521))&lt;0,(D526-E519*SIGN(E521))+((E518-E520)*E521)&gt;=0,((E518-E520)*E521)&gt;0),E512+E513*E521*(-(D526-E519*SIGN(E521)))/((E518-E520)*E521),"-")</f>
        <v>-</v>
      </c>
      <c r="F527" s="22" t="str">
        <f aca="false">IF(AND((E526-F519*SIGN(F521))&lt;0,(E526-F519*SIGN(F521))+((F518-F520)*F521)&gt;=0,((F518-F520)*F521)&gt;0),F512+F513*F521*(-(E526-F519*SIGN(F521)))/((F518-F520)*F521),"-")</f>
        <v>-</v>
      </c>
      <c r="G527" s="22" t="str">
        <f aca="false">IF(AND((F526-G519*SIGN(G521))&lt;0,(F526-G519*SIGN(G521))+((G518-G520)*G521)&gt;=0,((G518-G520)*G521)&gt;0),G512+G513*G521*(-(F526-G519*SIGN(G521)))/((G518-G520)*G521),"-")</f>
        <v>-</v>
      </c>
      <c r="H527" s="22" t="str">
        <f aca="false">IF(AND((G526-H519*SIGN(H521))&lt;0,(G526-H519*SIGN(H521))+((H518-H520)*H521)&gt;=0,((H518-H520)*H521)&gt;0),H512+H513*H521*(-(G526-H519*SIGN(H521)))/((H518-H520)*H521),"-")</f>
        <v>-</v>
      </c>
      <c r="I527" s="22" t="n">
        <f aca="false">IF(AND((H526-I519*SIGN(I521))&lt;0,(H526-I519*SIGN(I521))+((I518-I520)*I521)&gt;=0,((I518-I520)*I521)&gt;0),I512+I513*I521*(-(H526-I519*SIGN(I521)))/((I518-I520)*I521),"-")</f>
        <v>68.9973590077161</v>
      </c>
      <c r="J527" s="22" t="str">
        <f aca="false">IF(AND((I526-J519*SIGN(J521))&lt;0,(I526-J519*SIGN(J521))+((J518-J520)*J521)&gt;=0,((J518-J520)*J521)&gt;0),J512+J513*J521*(-(I526-J519*SIGN(J521)))/((J518-J520)*J521),"-")</f>
        <v>-</v>
      </c>
      <c r="K527" s="22" t="str">
        <f aca="false">IF(AND((J526-K519*SIGN(K521))&lt;0,(J526-K519*SIGN(K521))+((K518-K520)*K521)&gt;=0,((K518-K520)*K521)&gt;0),K512+K513*K521*(-(J526-K519*SIGN(K521)))/((K518-K520)*K521),"-")</f>
        <v>-</v>
      </c>
      <c r="L527" s="22" t="str">
        <f aca="false">IF(AND((K526-L519*SIGN(L521))&lt;0,(K526-L519*SIGN(L521))+((L518-L520)*L521)&gt;=0,((L518-L520)*L521)&gt;0),L512+L513*L521*(-(K526-L519*SIGN(L521)))/((L518-L520)*L521),"-")</f>
        <v>-</v>
      </c>
      <c r="M527" s="22" t="str">
        <f aca="false">IF(AND((L526-M519*SIGN(M521))&lt;0,(L526-M519*SIGN(M521))+((M518-M520)*M521)&gt;=0,((M518-M520)*M521)&gt;0),M512+M513*M521*(-(L526-M519*SIGN(M521)))/((M518-M520)*M521),"-")</f>
        <v>-</v>
      </c>
      <c r="N527" s="22" t="str">
        <f aca="false">IF(AND((M526-N519*SIGN(N521))&lt;0,(M526-N519*SIGN(N521))+((N518-N520)*N521)&gt;=0,((N518-N520)*N521)&gt;0),N512+N513*N521*(-(M526-N519*SIGN(N521)))/((N518-N520)*N521),"-")</f>
        <v>-</v>
      </c>
    </row>
    <row r="528" customFormat="false" ht="15" hidden="false" customHeight="false" outlineLevel="0" collapsed="false">
      <c r="A528" s="3" t="s">
        <v>3621</v>
      </c>
      <c r="B528" s="36" t="n">
        <f aca="false">IF(COUNT($B$527:$N$527)=0,"none within ten years",MIN($B$527:$N$527))</f>
        <v>68.9973590077161</v>
      </c>
    </row>
    <row r="529" customFormat="false" ht="15" hidden="false" customHeight="false" outlineLevel="0" collapsed="false">
      <c r="A529" s="16" t="s">
        <v>3622</v>
      </c>
      <c r="B529" s="37" t="n">
        <f aca="false">-B526</f>
        <v>19.714004597171</v>
      </c>
    </row>
    <row r="530" customFormat="false" ht="15" hidden="false" customHeight="false" outlineLevel="0" collapsed="false">
      <c r="A530" s="16" t="s">
        <v>3623</v>
      </c>
      <c r="B530" s="37" t="n">
        <f aca="false">-C526</f>
        <v>38.2464453888641</v>
      </c>
    </row>
    <row r="531" customFormat="false" ht="15" hidden="false" customHeight="false" outlineLevel="0" collapsed="false">
      <c r="A531" s="16" t="s">
        <v>3624</v>
      </c>
      <c r="B531" s="37" t="n">
        <f aca="false">-D526</f>
        <v>47.8342594578312</v>
      </c>
    </row>
    <row r="532" customFormat="false" ht="15" hidden="false" customHeight="false" outlineLevel="0" collapsed="false">
      <c r="A532" s="16" t="s">
        <v>3625</v>
      </c>
      <c r="B532" s="37" t="n">
        <f aca="false">-E526</f>
        <v>51.7368623098656</v>
      </c>
    </row>
    <row r="533" customFormat="false" ht="15" hidden="false" customHeight="false" outlineLevel="0" collapsed="false">
      <c r="A533" s="16" t="s">
        <v>3626</v>
      </c>
      <c r="B533" s="37" t="n">
        <f aca="false">SUMPRODUCT(($B$518:$N$518-$B$520:$N$520)*$B$522:$N$522/(1+stla_wacc_pretax_high_pct/100)^($B$524:$N$524/12))-SUMPRODUCT($B$519:$N$519*SIGN($B$522:$N$522)/(1+stla_wacc_pretax_high_pct/100)^($B$512:$N$512/12))</f>
        <v>-27.3869794614804</v>
      </c>
    </row>
    <row r="534" customFormat="false" ht="15" hidden="false" customHeight="false" outlineLevel="0" collapsed="false">
      <c r="A534" s="16" t="s">
        <v>3627</v>
      </c>
      <c r="B534" s="37" t="n">
        <f aca="false">SUMPRODUCT(($B$518:$N$518-$B$520:$N$520)*$B$522:$N$522/(1+stla_wacc_pretax_low_pct/100)^($B$524:$N$524/12))-SUMPRODUCT($B$519:$N$519*SIGN($B$522:$N$522)/(1+stla_wacc_pretax_low_pct/100)^($B$512:$N$512/12))</f>
        <v>-21.8224403700895</v>
      </c>
    </row>
    <row r="535" customFormat="false" ht="15" hidden="false" customHeight="false" outlineLevel="0" collapsed="false">
      <c r="A535" s="16" t="s">
        <v>3628</v>
      </c>
      <c r="B535" s="37" t="n">
        <f aca="false">SUMPRODUCT(($B$518:$N$518-$B$520:$N$520)*$B$521:$N$521/(1+stla_wacc_pretax_high_pct/100)^($B$523:$N$523/12))-SUMPRODUCT($B$519:$N$519*SIGN($B$521:$N$521)/(1+stla_wacc_pretax_high_pct/100)^($B$512:$N$512/12))</f>
        <v>-3.98420621339498</v>
      </c>
    </row>
    <row r="536" customFormat="false" ht="15" hidden="false" customHeight="false" outlineLevel="0" collapsed="false">
      <c r="A536" s="16" t="s">
        <v>3629</v>
      </c>
      <c r="B536" s="37" t="n">
        <f aca="false">SUMPRODUCT(($B$518:$N$518-$B$520:$N$520)*$B$521:$N$521/(1+stla_wacc_pretax_low_pct/100)^($B$523:$N$523/12))-SUMPRODUCT($B$519:$N$519*SIGN($B$521:$N$521)/(1+stla_wacc_pretax_low_pct/100)^($B$512:$N$512/12))</f>
        <v>20.9144738105264</v>
      </c>
    </row>
    <row r="538" customFormat="false" ht="26.85" hidden="false" customHeight="false" outlineLevel="0" collapsed="false">
      <c r="A538" s="4" t="s">
        <v>3653</v>
      </c>
      <c r="B538" s="4" t="s">
        <v>3580</v>
      </c>
      <c r="C538" s="4" t="s">
        <v>3561</v>
      </c>
      <c r="D538" s="4" t="s">
        <v>3564</v>
      </c>
      <c r="E538" s="4" t="s">
        <v>3572</v>
      </c>
      <c r="F538" s="4" t="s">
        <v>3581</v>
      </c>
      <c r="G538" s="4" t="s">
        <v>3582</v>
      </c>
      <c r="H538" s="4" t="s">
        <v>3583</v>
      </c>
      <c r="I538" s="4" t="s">
        <v>3584</v>
      </c>
      <c r="J538" s="4" t="s">
        <v>3585</v>
      </c>
      <c r="K538" s="4" t="s">
        <v>3586</v>
      </c>
      <c r="L538" s="4" t="s">
        <v>3587</v>
      </c>
      <c r="M538" s="4" t="s">
        <v>3588</v>
      </c>
      <c r="N538" s="4" t="s">
        <v>3589</v>
      </c>
    </row>
    <row r="539" customFormat="false" ht="15" hidden="false" customHeight="false" outlineLevel="0" collapsed="false">
      <c r="A539" s="0" t="s">
        <v>3609</v>
      </c>
      <c r="B539" s="22" t="n">
        <v>0</v>
      </c>
      <c r="C539" s="22" t="n">
        <f aca="false">B539+B540</f>
        <v>7.98</v>
      </c>
      <c r="D539" s="22" t="n">
        <f aca="false">C539+C540</f>
        <v>15.96</v>
      </c>
      <c r="E539" s="22" t="n">
        <f aca="false">D539+D540</f>
        <v>23.94</v>
      </c>
      <c r="F539" s="22" t="n">
        <f aca="false">E539+E540</f>
        <v>31.92</v>
      </c>
      <c r="G539" s="22" t="n">
        <f aca="false">F539+F540</f>
        <v>43.92</v>
      </c>
      <c r="H539" s="22" t="n">
        <f aca="false">G539+G540</f>
        <v>55.92</v>
      </c>
      <c r="I539" s="22" t="n">
        <f aca="false">H539+H540</f>
        <v>67.92</v>
      </c>
      <c r="J539" s="22" t="n">
        <f aca="false">I539+I540</f>
        <v>79.92</v>
      </c>
      <c r="K539" s="22" t="n">
        <f aca="false">J539+J540</f>
        <v>91.92</v>
      </c>
      <c r="L539" s="22" t="n">
        <f aca="false">K539+K540</f>
        <v>103.92</v>
      </c>
      <c r="M539" s="22" t="n">
        <f aca="false">L539+L540</f>
        <v>115.92</v>
      </c>
      <c r="N539" s="22" t="n">
        <f aca="false">M539+M540</f>
        <v>127.92</v>
      </c>
    </row>
    <row r="540" customFormat="false" ht="15" hidden="false" customHeight="false" outlineLevel="0" collapsed="false">
      <c r="A540" s="0" t="s">
        <v>3610</v>
      </c>
      <c r="B540" s="22" t="n">
        <f aca="false">$D$25</f>
        <v>7.98</v>
      </c>
      <c r="C540" s="22" t="n">
        <f aca="false">$D$25</f>
        <v>7.98</v>
      </c>
      <c r="D540" s="22" t="n">
        <f aca="false">$D$25</f>
        <v>7.98</v>
      </c>
      <c r="E540" s="22" t="n">
        <f aca="false">$D$25</f>
        <v>7.98</v>
      </c>
      <c r="F540" s="22" t="n">
        <f aca="false">12</f>
        <v>12</v>
      </c>
      <c r="G540" s="22" t="n">
        <f aca="false">12</f>
        <v>12</v>
      </c>
      <c r="H540" s="22" t="n">
        <f aca="false">12</f>
        <v>12</v>
      </c>
      <c r="I540" s="22" t="n">
        <f aca="false">12</f>
        <v>12</v>
      </c>
      <c r="J540" s="22" t="n">
        <f aca="false">12</f>
        <v>12</v>
      </c>
      <c r="K540" s="22" t="n">
        <f aca="false">12</f>
        <v>12</v>
      </c>
      <c r="L540" s="22" t="n">
        <f aca="false">12</f>
        <v>12</v>
      </c>
      <c r="M540" s="22" t="n">
        <f aca="false">12</f>
        <v>12</v>
      </c>
      <c r="N540" s="22" t="n">
        <f aca="false">12</f>
        <v>12</v>
      </c>
    </row>
    <row r="541" customFormat="false" ht="15" hidden="false" customHeight="false" outlineLevel="0" collapsed="false">
      <c r="A541" s="0" t="s">
        <v>3559</v>
      </c>
      <c r="B541" s="34" t="n">
        <v>0</v>
      </c>
      <c r="C541" s="34" t="n">
        <f aca="false">$B$25*$D$6*C$16*C540/12</f>
        <v>2.1861397081125</v>
      </c>
      <c r="D541" s="34" t="n">
        <f aca="false">$B$25*$D$6*D$16*D540/12</f>
        <v>6.2939039995125</v>
      </c>
      <c r="E541" s="34" t="n">
        <f aca="false">$B$25*$D$6*E$16*E540/12</f>
        <v>6.2939039995125</v>
      </c>
      <c r="F541" s="34" t="n">
        <f aca="false">$B$25*$D$6*F$16*F540/12</f>
        <v>11.6990325</v>
      </c>
      <c r="G541" s="34" t="n">
        <f aca="false">$B$25*$D$6*G$16*G540/12</f>
        <v>11.6990325</v>
      </c>
      <c r="H541" s="34" t="n">
        <f aca="false">$B$25*$D$6*H$16*H540/12</f>
        <v>11.6990325</v>
      </c>
      <c r="I541" s="34" t="n">
        <f aca="false">$B$25*$D$6*I$16*I540/12</f>
        <v>11.6990325</v>
      </c>
      <c r="J541" s="34" t="n">
        <f aca="false">$B$25*$D$6*J$16*J540/12</f>
        <v>11.6990325</v>
      </c>
      <c r="K541" s="34" t="n">
        <f aca="false">$B$25*$D$6*K$16*K540/12</f>
        <v>11.6990325</v>
      </c>
      <c r="L541" s="34" t="n">
        <f aca="false">$B$25*$D$6*L$16*L540/12</f>
        <v>11.6990325</v>
      </c>
      <c r="M541" s="34" t="n">
        <f aca="false">$B$25*$D$6*M$16*M540/12</f>
        <v>11.6990325</v>
      </c>
      <c r="N541" s="34" t="n">
        <f aca="false">$B$25*$D$6*N$16*N540/12</f>
        <v>11.6990325</v>
      </c>
    </row>
    <row r="542" customFormat="false" ht="15" hidden="false" customHeight="false" outlineLevel="0" collapsed="false">
      <c r="A542" s="0" t="s">
        <v>3563</v>
      </c>
      <c r="B542" s="34" t="n">
        <v>0</v>
      </c>
      <c r="C542" s="34" t="n">
        <v>0</v>
      </c>
      <c r="D542" s="34" t="n">
        <f aca="false">$B$25*$D$7*D$16*D540/12</f>
        <v>10.4283765579</v>
      </c>
      <c r="E542" s="34" t="n">
        <f aca="false">$B$25*$D$7*E$16*E540/12</f>
        <v>10.4283765579</v>
      </c>
      <c r="F542" s="34" t="n">
        <f aca="false">$B$25*$D$7*F$16*F540/12</f>
        <v>19.38414</v>
      </c>
      <c r="G542" s="34" t="n">
        <f aca="false">$B$25*$D$7*G$16*G540/12</f>
        <v>19.38414</v>
      </c>
      <c r="H542" s="34" t="n">
        <f aca="false">$B$25*$D$7*H$16*H540/12</f>
        <v>19.38414</v>
      </c>
      <c r="I542" s="34" t="n">
        <f aca="false">$B$25*$D$7*I$16*I540/12</f>
        <v>19.38414</v>
      </c>
      <c r="J542" s="34" t="n">
        <f aca="false">$B$25*$D$7*J$16*J540/12</f>
        <v>19.38414</v>
      </c>
      <c r="K542" s="34" t="n">
        <f aca="false">$B$25*$D$7*K$16*K540/12</f>
        <v>19.38414</v>
      </c>
      <c r="L542" s="34" t="n">
        <f aca="false">$B$25*$D$7*L$16*L540/12</f>
        <v>19.38414</v>
      </c>
      <c r="M542" s="34" t="n">
        <f aca="false">$B$25*$D$7*M$16*M540/12</f>
        <v>19.38414</v>
      </c>
      <c r="N542" s="34" t="n">
        <f aca="false">$B$25*$D$7*N$16*N540/12</f>
        <v>19.38414</v>
      </c>
    </row>
    <row r="543" customFormat="false" ht="15" hidden="false" customHeight="false" outlineLevel="0" collapsed="false">
      <c r="A543" s="0" t="s">
        <v>3566</v>
      </c>
      <c r="B543" s="34" t="n">
        <v>0</v>
      </c>
      <c r="C543" s="34" t="n">
        <v>0</v>
      </c>
      <c r="D543" s="34" t="n">
        <f aca="false">$B$25*$D$8*D$16*D540/12</f>
        <v>4.387512458175</v>
      </c>
      <c r="E543" s="34" t="n">
        <f aca="false">$B$25*$D$8*E$16*E540/12</f>
        <v>4.387512458175</v>
      </c>
      <c r="F543" s="34" t="n">
        <f aca="false">$B$25*$D$8*F$16*F540/12</f>
        <v>8.155455</v>
      </c>
      <c r="G543" s="34" t="n">
        <f aca="false">$B$25*$D$8*G$16*G540/12</f>
        <v>8.155455</v>
      </c>
      <c r="H543" s="34" t="n">
        <f aca="false">$B$25*$D$8*H$16*H540/12</f>
        <v>8.155455</v>
      </c>
      <c r="I543" s="34" t="n">
        <f aca="false">$B$25*$D$8*I$16*I540/12</f>
        <v>8.155455</v>
      </c>
      <c r="J543" s="34" t="n">
        <f aca="false">$B$25*$D$8*J$16*J540/12</f>
        <v>8.155455</v>
      </c>
      <c r="K543" s="34" t="n">
        <f aca="false">$B$25*$D$8*K$16*K540/12</f>
        <v>8.155455</v>
      </c>
      <c r="L543" s="34" t="n">
        <f aca="false">$B$25*$D$8*L$16*L540/12</f>
        <v>8.155455</v>
      </c>
      <c r="M543" s="34" t="n">
        <f aca="false">$B$25*$D$8*M$16*M540/12</f>
        <v>8.155455</v>
      </c>
      <c r="N543" s="34" t="n">
        <f aca="false">$B$25*$D$8*N$16*N540/12</f>
        <v>8.155455</v>
      </c>
    </row>
    <row r="544" customFormat="false" ht="15" hidden="false" customHeight="false" outlineLevel="0" collapsed="false">
      <c r="A544" s="0" t="s">
        <v>3568</v>
      </c>
      <c r="B544" s="34" t="n">
        <v>0</v>
      </c>
      <c r="C544" s="34" t="n">
        <v>0</v>
      </c>
      <c r="D544" s="34" t="n">
        <f aca="false">$B$25*$D$9*D$16*D540/12</f>
        <v>2.286651444</v>
      </c>
      <c r="E544" s="34" t="n">
        <f aca="false">$B$25*$D$9*E$16*E540/12</f>
        <v>2.286651444</v>
      </c>
      <c r="F544" s="34" t="n">
        <f aca="false">$B$25*$D$9*F$16*F540/12</f>
        <v>4.2504</v>
      </c>
      <c r="G544" s="34" t="n">
        <f aca="false">$B$25*$D$9*G$16*G540/12</f>
        <v>4.2504</v>
      </c>
      <c r="H544" s="34" t="n">
        <f aca="false">$B$25*$D$9*H$16*H540/12</f>
        <v>4.2504</v>
      </c>
      <c r="I544" s="34" t="n">
        <f aca="false">$B$25*$D$9*I$16*I540/12</f>
        <v>4.2504</v>
      </c>
      <c r="J544" s="34" t="n">
        <f aca="false">$B$25*$D$9*J$16*J540/12</f>
        <v>4.2504</v>
      </c>
      <c r="K544" s="34" t="n">
        <f aca="false">$B$25*$D$9*K$16*K540/12</f>
        <v>4.2504</v>
      </c>
      <c r="L544" s="34" t="n">
        <f aca="false">$B$25*$D$9*L$16*L540/12</f>
        <v>4.2504</v>
      </c>
      <c r="M544" s="34" t="n">
        <f aca="false">$B$25*$D$9*M$16*M540/12</f>
        <v>4.2504</v>
      </c>
      <c r="N544" s="34" t="n">
        <f aca="false">$B$25*$D$9*N$16*N540/12</f>
        <v>4.2504</v>
      </c>
    </row>
    <row r="545" customFormat="false" ht="15" hidden="false" customHeight="false" outlineLevel="0" collapsed="false">
      <c r="A545" s="0" t="s">
        <v>3611</v>
      </c>
      <c r="B545" s="34" t="n">
        <f aca="false">SUM(B541:B544)</f>
        <v>0</v>
      </c>
      <c r="C545" s="34" t="n">
        <f aca="false">SUM(C541:C544)</f>
        <v>2.1861397081125</v>
      </c>
      <c r="D545" s="34" t="n">
        <f aca="false">SUM(D541:D544)</f>
        <v>23.3964444595875</v>
      </c>
      <c r="E545" s="34" t="n">
        <f aca="false">SUM(E541:E544)</f>
        <v>23.3964444595875</v>
      </c>
      <c r="F545" s="34" t="n">
        <f aca="false">SUM(F541:F544)</f>
        <v>43.4890275</v>
      </c>
      <c r="G545" s="34" t="n">
        <f aca="false">SUM(G541:G544)</f>
        <v>43.4890275</v>
      </c>
      <c r="H545" s="34" t="n">
        <f aca="false">SUM(H541:H544)</f>
        <v>43.4890275</v>
      </c>
      <c r="I545" s="34" t="n">
        <f aca="false">SUM(I541:I544)</f>
        <v>43.4890275</v>
      </c>
      <c r="J545" s="34" t="n">
        <f aca="false">SUM(J541:J544)</f>
        <v>43.4890275</v>
      </c>
      <c r="K545" s="34" t="n">
        <f aca="false">SUM(K541:K544)</f>
        <v>43.4890275</v>
      </c>
      <c r="L545" s="34" t="n">
        <f aca="false">SUM(L541:L544)</f>
        <v>43.4890275</v>
      </c>
      <c r="M545" s="34" t="n">
        <f aca="false">SUM(M541:M544)</f>
        <v>43.4890275</v>
      </c>
      <c r="N545" s="34" t="n">
        <f aca="false">SUM(N541:N544)</f>
        <v>43.4890275</v>
      </c>
    </row>
    <row r="546" customFormat="false" ht="15" hidden="false" customHeight="false" outlineLevel="0" collapsed="false">
      <c r="A546" s="0" t="s">
        <v>3612</v>
      </c>
      <c r="B546" s="34" t="n">
        <f aca="false">$C$25*'Programme cost'!$B$52</f>
        <v>19.714004597171</v>
      </c>
      <c r="C546" s="34" t="n">
        <f aca="false">$C$25*'Programme cost'!$C$52</f>
        <v>19.6255106457493</v>
      </c>
      <c r="D546" s="34" t="n">
        <f aca="false">$C$25*'Programme cost'!$D$52</f>
        <v>21.2860362987608</v>
      </c>
      <c r="E546" s="34" t="n">
        <f aca="false">$C$25*'Programme cost'!$E$52</f>
        <v>15.6008250818282</v>
      </c>
      <c r="F546" s="34" t="n">
        <v>0</v>
      </c>
      <c r="G546" s="34" t="n">
        <v>0</v>
      </c>
      <c r="H546" s="34" t="n">
        <v>0</v>
      </c>
      <c r="I546" s="34" t="n">
        <v>0</v>
      </c>
      <c r="J546" s="34" t="n">
        <v>0</v>
      </c>
      <c r="K546" s="34" t="n">
        <v>0</v>
      </c>
      <c r="L546" s="34" t="n">
        <v>0</v>
      </c>
      <c r="M546" s="34" t="n">
        <v>0</v>
      </c>
      <c r="N546" s="34" t="n">
        <v>0</v>
      </c>
    </row>
    <row r="547" customFormat="false" ht="15" hidden="false" customHeight="false" outlineLevel="0" collapsed="false">
      <c r="A547" s="0" t="s">
        <v>3613</v>
      </c>
      <c r="B547" s="34" t="n">
        <v>0</v>
      </c>
      <c r="C547" s="34" t="n">
        <v>0</v>
      </c>
      <c r="D547" s="34" t="n">
        <v>0</v>
      </c>
      <c r="E547" s="34" t="n">
        <v>0</v>
      </c>
      <c r="F547" s="34" t="n">
        <f aca="false">run_cost_eur_m_year*F540/12</f>
        <v>5</v>
      </c>
      <c r="G547" s="34" t="n">
        <f aca="false">run_cost_eur_m_year*G540/12</f>
        <v>5</v>
      </c>
      <c r="H547" s="34" t="n">
        <f aca="false">run_cost_eur_m_year*H540/12</f>
        <v>5</v>
      </c>
      <c r="I547" s="34" t="n">
        <f aca="false">run_cost_eur_m_year*I540/12</f>
        <v>5</v>
      </c>
      <c r="J547" s="34" t="n">
        <f aca="false">run_cost_eur_m_year*J540/12</f>
        <v>5</v>
      </c>
      <c r="K547" s="34" t="n">
        <f aca="false">run_cost_eur_m_year*K540/12</f>
        <v>5</v>
      </c>
      <c r="L547" s="34" t="n">
        <f aca="false">run_cost_eur_m_year*L540/12</f>
        <v>5</v>
      </c>
      <c r="M547" s="34" t="n">
        <f aca="false">run_cost_eur_m_year*M540/12</f>
        <v>5</v>
      </c>
      <c r="N547" s="34" t="n">
        <f aca="false">run_cost_eur_m_year*N540/12</f>
        <v>5</v>
      </c>
    </row>
    <row r="548" customFormat="false" ht="15" hidden="false" customHeight="false" outlineLevel="0" collapsed="false">
      <c r="A548" s="0" t="s">
        <v>3614</v>
      </c>
      <c r="B548" s="18" t="n">
        <f aca="false">MAX(0,MIN(1,($B$18-B539)/B540))</f>
        <v>1</v>
      </c>
      <c r="C548" s="18" t="n">
        <f aca="false">MAX(0,MIN(1,($B$18-C539)/C540))</f>
        <v>1</v>
      </c>
      <c r="D548" s="18" t="n">
        <f aca="false">MAX(0,MIN(1,($B$18-D539)/D540))</f>
        <v>1</v>
      </c>
      <c r="E548" s="18" t="n">
        <f aca="false">MAX(0,MIN(1,($B$18-E539)/E540))</f>
        <v>1</v>
      </c>
      <c r="F548" s="18" t="n">
        <f aca="false">MAX(0,MIN(1,($B$18-F539)/F540))</f>
        <v>1</v>
      </c>
      <c r="G548" s="18" t="n">
        <f aca="false">MAX(0,MIN(1,($B$18-G539)/G540))</f>
        <v>1</v>
      </c>
      <c r="H548" s="18" t="n">
        <f aca="false">MAX(0,MIN(1,($B$18-H539)/H540))</f>
        <v>1</v>
      </c>
      <c r="I548" s="18" t="n">
        <f aca="false">MAX(0,MIN(1,($B$18-I539)/I540))</f>
        <v>1</v>
      </c>
      <c r="J548" s="18" t="n">
        <f aca="false">MAX(0,MIN(1,($B$18-J539)/J540))</f>
        <v>1</v>
      </c>
      <c r="K548" s="18" t="n">
        <f aca="false">MAX(0,MIN(1,($B$18-K539)/K540))</f>
        <v>1</v>
      </c>
      <c r="L548" s="18" t="n">
        <f aca="false">MAX(0,MIN(1,($B$18-L539)/L540))</f>
        <v>1</v>
      </c>
      <c r="M548" s="18" t="n">
        <f aca="false">MAX(0,MIN(1,($B$18-M539)/M540))</f>
        <v>0.34</v>
      </c>
      <c r="N548" s="18" t="n">
        <f aca="false">MAX(0,MIN(1,($B$18-N539)/N540))</f>
        <v>0</v>
      </c>
    </row>
    <row r="549" customFormat="false" ht="15" hidden="false" customHeight="false" outlineLevel="0" collapsed="false">
      <c r="A549" s="0" t="s">
        <v>3615</v>
      </c>
      <c r="B549" s="18" t="n">
        <f aca="false">MAX(0,MIN(1,($B$17-B539)/B540))</f>
        <v>1</v>
      </c>
      <c r="C549" s="18" t="n">
        <f aca="false">MAX(0,MIN(1,($B$17-C539)/C540))</f>
        <v>1</v>
      </c>
      <c r="D549" s="18" t="n">
        <f aca="false">MAX(0,MIN(1,($B$17-D539)/D540))</f>
        <v>1</v>
      </c>
      <c r="E549" s="18" t="n">
        <f aca="false">MAX(0,MIN(1,($B$17-E539)/E540))</f>
        <v>1</v>
      </c>
      <c r="F549" s="18" t="n">
        <f aca="false">MAX(0,MIN(1,($B$17-F539)/F540))</f>
        <v>1</v>
      </c>
      <c r="G549" s="18" t="n">
        <f aca="false">MAX(0,MIN(1,($B$17-G539)/G540))</f>
        <v>1</v>
      </c>
      <c r="H549" s="18" t="n">
        <f aca="false">MAX(0,MIN(1,($B$17-H539)/H540))</f>
        <v>0.34</v>
      </c>
      <c r="I549" s="18" t="n">
        <f aca="false">MAX(0,MIN(1,($B$17-I539)/I540))</f>
        <v>0</v>
      </c>
      <c r="J549" s="18" t="n">
        <f aca="false">MAX(0,MIN(1,($B$17-J539)/J540))</f>
        <v>0</v>
      </c>
      <c r="K549" s="18" t="n">
        <f aca="false">MAX(0,MIN(1,($B$17-K539)/K540))</f>
        <v>0</v>
      </c>
      <c r="L549" s="18" t="n">
        <f aca="false">MAX(0,MIN(1,($B$17-L539)/L540))</f>
        <v>0</v>
      </c>
      <c r="M549" s="18" t="n">
        <f aca="false">MAX(0,MIN(1,($B$17-M539)/M540))</f>
        <v>0</v>
      </c>
      <c r="N549" s="18" t="n">
        <f aca="false">MAX(0,MIN(1,($B$17-N539)/N540))</f>
        <v>0</v>
      </c>
    </row>
    <row r="550" customFormat="false" ht="15" hidden="false" customHeight="false" outlineLevel="0" collapsed="false">
      <c r="A550" s="0" t="s">
        <v>3616</v>
      </c>
      <c r="B550" s="22" t="n">
        <f aca="false">B539+B540*B548/2</f>
        <v>3.99</v>
      </c>
      <c r="C550" s="22" t="n">
        <f aca="false">C539+C540*C548/2</f>
        <v>11.97</v>
      </c>
      <c r="D550" s="22" t="n">
        <f aca="false">D539+D540*D548/2</f>
        <v>19.95</v>
      </c>
      <c r="E550" s="22" t="n">
        <f aca="false">E539+E540*E548/2</f>
        <v>27.93</v>
      </c>
      <c r="F550" s="22" t="n">
        <f aca="false">F539+F540*F548/2</f>
        <v>37.92</v>
      </c>
      <c r="G550" s="22" t="n">
        <f aca="false">G539+G540*G548/2</f>
        <v>49.92</v>
      </c>
      <c r="H550" s="22" t="n">
        <f aca="false">H539+H540*H548/2</f>
        <v>61.92</v>
      </c>
      <c r="I550" s="22" t="n">
        <f aca="false">I539+I540*I548/2</f>
        <v>73.92</v>
      </c>
      <c r="J550" s="22" t="n">
        <f aca="false">J539+J540*J548/2</f>
        <v>85.92</v>
      </c>
      <c r="K550" s="22" t="n">
        <f aca="false">K539+K540*K548/2</f>
        <v>97.92</v>
      </c>
      <c r="L550" s="22" t="n">
        <f aca="false">L539+L540*L548/2</f>
        <v>109.92</v>
      </c>
      <c r="M550" s="22" t="n">
        <f aca="false">M539+M540*M548/2</f>
        <v>117.96</v>
      </c>
      <c r="N550" s="22" t="n">
        <f aca="false">N539+N540*N548/2</f>
        <v>127.92</v>
      </c>
    </row>
    <row r="551" customFormat="false" ht="15" hidden="false" customHeight="false" outlineLevel="0" collapsed="false">
      <c r="A551" s="0" t="s">
        <v>3617</v>
      </c>
      <c r="B551" s="22" t="n">
        <f aca="false">B539+B540*B549/2</f>
        <v>3.99</v>
      </c>
      <c r="C551" s="22" t="n">
        <f aca="false">C539+C540*C549/2</f>
        <v>11.97</v>
      </c>
      <c r="D551" s="22" t="n">
        <f aca="false">D539+D540*D549/2</f>
        <v>19.95</v>
      </c>
      <c r="E551" s="22" t="n">
        <f aca="false">E539+E540*E549/2</f>
        <v>27.93</v>
      </c>
      <c r="F551" s="22" t="n">
        <f aca="false">F539+F540*F549/2</f>
        <v>37.92</v>
      </c>
      <c r="G551" s="22" t="n">
        <f aca="false">G539+G540*G549/2</f>
        <v>49.92</v>
      </c>
      <c r="H551" s="22" t="n">
        <f aca="false">H539+H540*H549/2</f>
        <v>57.96</v>
      </c>
      <c r="I551" s="22" t="n">
        <f aca="false">I539+I540*I549/2</f>
        <v>67.92</v>
      </c>
      <c r="J551" s="22" t="n">
        <f aca="false">J539+J540*J549/2</f>
        <v>79.92</v>
      </c>
      <c r="K551" s="22" t="n">
        <f aca="false">K539+K540*K549/2</f>
        <v>91.92</v>
      </c>
      <c r="L551" s="22" t="n">
        <f aca="false">L539+L540*L549/2</f>
        <v>103.92</v>
      </c>
      <c r="M551" s="22" t="n">
        <f aca="false">M539+M540*M549/2</f>
        <v>115.92</v>
      </c>
      <c r="N551" s="22" t="n">
        <f aca="false">N539+N540*N549/2</f>
        <v>127.92</v>
      </c>
    </row>
    <row r="552" customFormat="false" ht="15" hidden="false" customHeight="false" outlineLevel="0" collapsed="false">
      <c r="A552" s="0" t="s">
        <v>3618</v>
      </c>
      <c r="B552" s="34" t="n">
        <f aca="false">(B545-B547)*B548-B546*SIGN(B548)</f>
        <v>-19.714004597171</v>
      </c>
      <c r="C552" s="34" t="n">
        <f aca="false">(C545-C547)*C548-C546*SIGN(C548)</f>
        <v>-17.4393709376368</v>
      </c>
      <c r="D552" s="34" t="n">
        <f aca="false">(D545-D547)*D548-D546*SIGN(D548)</f>
        <v>2.11040816082667</v>
      </c>
      <c r="E552" s="34" t="n">
        <f aca="false">(E545-E547)*E548-E546*SIGN(E548)</f>
        <v>7.79561937775932</v>
      </c>
      <c r="F552" s="34" t="n">
        <f aca="false">(F545-F547)*F548-F546*SIGN(F548)</f>
        <v>38.4890275</v>
      </c>
      <c r="G552" s="34" t="n">
        <f aca="false">(G545-G547)*G548-G546*SIGN(G548)</f>
        <v>38.4890275</v>
      </c>
      <c r="H552" s="34" t="n">
        <f aca="false">(H545-H547)*H548-H546*SIGN(H548)</f>
        <v>38.4890275</v>
      </c>
      <c r="I552" s="34" t="n">
        <f aca="false">(I545-I547)*I548-I546*SIGN(I548)</f>
        <v>38.4890275</v>
      </c>
      <c r="J552" s="34" t="n">
        <f aca="false">(J545-J547)*J548-J546*SIGN(J548)</f>
        <v>38.4890275</v>
      </c>
      <c r="K552" s="34" t="n">
        <f aca="false">(K545-K547)*K548-K546*SIGN(K548)</f>
        <v>38.4890275</v>
      </c>
      <c r="L552" s="34" t="n">
        <f aca="false">(L545-L547)*L548-L546*SIGN(L548)</f>
        <v>38.4890275</v>
      </c>
      <c r="M552" s="34" t="n">
        <f aca="false">(M545-M547)*M548-M546*SIGN(M548)</f>
        <v>13.08626935</v>
      </c>
      <c r="N552" s="34" t="n">
        <f aca="false">(N545-N547)*N548-N546*SIGN(N548)</f>
        <v>0</v>
      </c>
    </row>
    <row r="553" customFormat="false" ht="15" hidden="false" customHeight="false" outlineLevel="0" collapsed="false">
      <c r="A553" s="0" t="s">
        <v>3619</v>
      </c>
      <c r="B553" s="34" t="n">
        <f aca="false">B552</f>
        <v>-19.714004597171</v>
      </c>
      <c r="C553" s="34" t="n">
        <f aca="false">B553+C552</f>
        <v>-37.1533755348079</v>
      </c>
      <c r="D553" s="34" t="n">
        <f aca="false">C553+D552</f>
        <v>-35.0429673739812</v>
      </c>
      <c r="E553" s="34" t="n">
        <f aca="false">D553+E552</f>
        <v>-27.2473479962219</v>
      </c>
      <c r="F553" s="34" t="n">
        <f aca="false">E553+F552</f>
        <v>11.2416795037781</v>
      </c>
      <c r="G553" s="34" t="n">
        <f aca="false">F553+G552</f>
        <v>49.7307070037781</v>
      </c>
      <c r="H553" s="34" t="n">
        <f aca="false">G553+H552</f>
        <v>88.2197345037781</v>
      </c>
      <c r="I553" s="34" t="n">
        <f aca="false">H553+I552</f>
        <v>126.708762003778</v>
      </c>
      <c r="J553" s="34" t="n">
        <f aca="false">I553+J552</f>
        <v>165.197789503778</v>
      </c>
      <c r="K553" s="34" t="n">
        <f aca="false">J553+K552</f>
        <v>203.686817003778</v>
      </c>
      <c r="L553" s="34" t="n">
        <f aca="false">K553+L552</f>
        <v>242.175844503778</v>
      </c>
      <c r="M553" s="34" t="n">
        <f aca="false">L553+M552</f>
        <v>255.262113853778</v>
      </c>
      <c r="N553" s="34" t="n">
        <f aca="false">M553+N552</f>
        <v>255.262113853778</v>
      </c>
    </row>
    <row r="554" customFormat="false" ht="15" hidden="false" customHeight="false" outlineLevel="0" collapsed="false">
      <c r="A554" s="0" t="s">
        <v>3620</v>
      </c>
      <c r="B554" s="22" t="str">
        <f aca="false">IF(AND((-B546*SIGN(B548))&lt;0,(-B546*SIGN(B548))+((B545-B547)*B548)&gt;=0,((B545-B547)*B548)&gt;0),B539+B540*B548*(-(-B546*SIGN(B548)))/((B545-B547)*B548),"-")</f>
        <v>-</v>
      </c>
      <c r="C554" s="22" t="str">
        <f aca="false">IF(AND((B553-C546*SIGN(C548))&lt;0,(B553-C546*SIGN(C548))+((C545-C547)*C548)&gt;=0,((C545-C547)*C548)&gt;0),C539+C540*C548*(-(B553-C546*SIGN(C548)))/((C545-C547)*C548),"-")</f>
        <v>-</v>
      </c>
      <c r="D554" s="22" t="str">
        <f aca="false">IF(AND((C553-D546*SIGN(D548))&lt;0,(C553-D546*SIGN(D548))+((D545-D547)*D548)&gt;=0,((D545-D547)*D548)&gt;0),D539+D540*D548*(-(C553-D546*SIGN(D548)))/((D545-D547)*D548),"-")</f>
        <v>-</v>
      </c>
      <c r="E554" s="22" t="str">
        <f aca="false">IF(AND((D553-E546*SIGN(E548))&lt;0,(D553-E546*SIGN(E548))+((E545-E547)*E548)&gt;=0,((E545-E547)*E548)&gt;0),E539+E540*E548*(-(D553-E546*SIGN(E548)))/((E545-E547)*E548),"-")</f>
        <v>-</v>
      </c>
      <c r="F554" s="22" t="n">
        <f aca="false">IF(AND((E553-F546*SIGN(F548))&lt;0,(E553-F546*SIGN(F548))+((F545-F547)*F548)&gt;=0,((F545-F547)*F548)&gt;0),F539+F540*F548*(-(E553-F546*SIGN(F548)))/((F545-F547)*F548),"-")</f>
        <v>40.4151009987109</v>
      </c>
      <c r="G554" s="22" t="str">
        <f aca="false">IF(AND((F553-G546*SIGN(G548))&lt;0,(F553-G546*SIGN(G548))+((G545-G547)*G548)&gt;=0,((G545-G547)*G548)&gt;0),G539+G540*G548*(-(F553-G546*SIGN(G548)))/((G545-G547)*G548),"-")</f>
        <v>-</v>
      </c>
      <c r="H554" s="22" t="str">
        <f aca="false">IF(AND((G553-H546*SIGN(H548))&lt;0,(G553-H546*SIGN(H548))+((H545-H547)*H548)&gt;=0,((H545-H547)*H548)&gt;0),H539+H540*H548*(-(G553-H546*SIGN(H548)))/((H545-H547)*H548),"-")</f>
        <v>-</v>
      </c>
      <c r="I554" s="22" t="str">
        <f aca="false">IF(AND((H553-I546*SIGN(I548))&lt;0,(H553-I546*SIGN(I548))+((I545-I547)*I548)&gt;=0,((I545-I547)*I548)&gt;0),I539+I540*I548*(-(H553-I546*SIGN(I548)))/((I545-I547)*I548),"-")</f>
        <v>-</v>
      </c>
      <c r="J554" s="22" t="str">
        <f aca="false">IF(AND((I553-J546*SIGN(J548))&lt;0,(I553-J546*SIGN(J548))+((J545-J547)*J548)&gt;=0,((J545-J547)*J548)&gt;0),J539+J540*J548*(-(I553-J546*SIGN(J548)))/((J545-J547)*J548),"-")</f>
        <v>-</v>
      </c>
      <c r="K554" s="22" t="str">
        <f aca="false">IF(AND((J553-K546*SIGN(K548))&lt;0,(J553-K546*SIGN(K548))+((K545-K547)*K548)&gt;=0,((K545-K547)*K548)&gt;0),K539+K540*K548*(-(J553-K546*SIGN(K548)))/((K545-K547)*K548),"-")</f>
        <v>-</v>
      </c>
      <c r="L554" s="22" t="str">
        <f aca="false">IF(AND((K553-L546*SIGN(L548))&lt;0,(K553-L546*SIGN(L548))+((L545-L547)*L548)&gt;=0,((L545-L547)*L548)&gt;0),L539+L540*L548*(-(K553-L546*SIGN(L548)))/((L545-L547)*L548),"-")</f>
        <v>-</v>
      </c>
      <c r="M554" s="22" t="str">
        <f aca="false">IF(AND((L553-M546*SIGN(M548))&lt;0,(L553-M546*SIGN(M548))+((M545-M547)*M548)&gt;=0,((M545-M547)*M548)&gt;0),M539+M540*M548*(-(L553-M546*SIGN(M548)))/((M545-M547)*M548),"-")</f>
        <v>-</v>
      </c>
      <c r="N554" s="22" t="str">
        <f aca="false">IF(AND((M553-N546*SIGN(N548))&lt;0,(M553-N546*SIGN(N548))+((N545-N547)*N548)&gt;=0,((N545-N547)*N548)&gt;0),N539+N540*N548*(-(M553-N546*SIGN(N548)))/((N545-N547)*N548),"-")</f>
        <v>-</v>
      </c>
    </row>
    <row r="555" customFormat="false" ht="15" hidden="false" customHeight="false" outlineLevel="0" collapsed="false">
      <c r="A555" s="3" t="s">
        <v>3621</v>
      </c>
      <c r="B555" s="36" t="n">
        <f aca="false">IF(COUNT($B$554:$N$554)=0,"none within ten years",MIN($B$554:$N$554))</f>
        <v>40.4151009987109</v>
      </c>
    </row>
    <row r="556" customFormat="false" ht="15" hidden="false" customHeight="false" outlineLevel="0" collapsed="false">
      <c r="A556" s="16" t="s">
        <v>3622</v>
      </c>
      <c r="B556" s="37" t="n">
        <f aca="false">-B553</f>
        <v>19.714004597171</v>
      </c>
    </row>
    <row r="557" customFormat="false" ht="15" hidden="false" customHeight="false" outlineLevel="0" collapsed="false">
      <c r="A557" s="16" t="s">
        <v>3623</v>
      </c>
      <c r="B557" s="37" t="n">
        <f aca="false">-C553</f>
        <v>37.1533755348079</v>
      </c>
    </row>
    <row r="558" customFormat="false" ht="15" hidden="false" customHeight="false" outlineLevel="0" collapsed="false">
      <c r="A558" s="16" t="s">
        <v>3624</v>
      </c>
      <c r="B558" s="37" t="n">
        <f aca="false">-D553</f>
        <v>35.0429673739812</v>
      </c>
    </row>
    <row r="559" customFormat="false" ht="15" hidden="false" customHeight="false" outlineLevel="0" collapsed="false">
      <c r="A559" s="16" t="s">
        <v>3625</v>
      </c>
      <c r="B559" s="37" t="n">
        <f aca="false">-E553</f>
        <v>27.2473479962219</v>
      </c>
    </row>
    <row r="560" customFormat="false" ht="15" hidden="false" customHeight="false" outlineLevel="0" collapsed="false">
      <c r="A560" s="16" t="s">
        <v>3626</v>
      </c>
      <c r="B560" s="37" t="n">
        <f aca="false">SUMPRODUCT(($B$545:$N$545-$B$547:$N$547)*$B$549:$N$549/(1+stla_wacc_pretax_high_pct/100)^($B$551:$N$551/12))-SUMPRODUCT($B$546:$N$546*SIGN($B$549:$N$549)/(1+stla_wacc_pretax_high_pct/100)^($B$539:$N$539/12))</f>
        <v>16.3818556030932</v>
      </c>
    </row>
    <row r="561" customFormat="false" ht="15" hidden="false" customHeight="false" outlineLevel="0" collapsed="false">
      <c r="A561" s="16" t="s">
        <v>3627</v>
      </c>
      <c r="B561" s="37" t="n">
        <f aca="false">SUMPRODUCT(($B$545:$N$545-$B$547:$N$547)*$B$549:$N$549/(1+stla_wacc_pretax_low_pct/100)^($B$551:$N$551/12))-SUMPRODUCT($B$546:$N$546*SIGN($B$549:$N$549)/(1+stla_wacc_pretax_low_pct/100)^($B$539:$N$539/12))</f>
        <v>34.7059300321043</v>
      </c>
    </row>
    <row r="562" customFormat="false" ht="15" hidden="false" customHeight="false" outlineLevel="0" collapsed="false">
      <c r="A562" s="16" t="s">
        <v>3628</v>
      </c>
      <c r="B562" s="37" t="n">
        <f aca="false">SUMPRODUCT(($B$545:$N$545-$B$547:$N$547)*$B$548:$N$548/(1+stla_wacc_pretax_high_pct/100)^($B$550:$N$550/12))-SUMPRODUCT($B$546:$N$546*SIGN($B$548:$N$548)/(1+stla_wacc_pretax_high_pct/100)^($B$539:$N$539/12))</f>
        <v>70.1755934548015</v>
      </c>
    </row>
    <row r="563" customFormat="false" ht="15" hidden="false" customHeight="false" outlineLevel="0" collapsed="false">
      <c r="A563" s="16" t="s">
        <v>3629</v>
      </c>
      <c r="B563" s="37" t="n">
        <f aca="false">SUMPRODUCT(($B$545:$N$545-$B$547:$N$547)*$B$548:$N$548/(1+stla_wacc_pretax_low_pct/100)^($B$550:$N$550/12))-SUMPRODUCT($B$546:$N$546*SIGN($B$548:$N$548)/(1+stla_wacc_pretax_low_pct/100)^($B$539:$N$539/12))</f>
        <v>132.941226065282</v>
      </c>
    </row>
    <row r="565" customFormat="false" ht="26.85" hidden="false" customHeight="false" outlineLevel="0" collapsed="false">
      <c r="A565" s="4" t="s">
        <v>3654</v>
      </c>
      <c r="B565" s="4" t="s">
        <v>3580</v>
      </c>
      <c r="C565" s="4" t="s">
        <v>3561</v>
      </c>
      <c r="D565" s="4" t="s">
        <v>3564</v>
      </c>
      <c r="E565" s="4" t="s">
        <v>3572</v>
      </c>
      <c r="F565" s="4" t="s">
        <v>3581</v>
      </c>
      <c r="G565" s="4" t="s">
        <v>3582</v>
      </c>
      <c r="H565" s="4" t="s">
        <v>3583</v>
      </c>
      <c r="I565" s="4" t="s">
        <v>3584</v>
      </c>
      <c r="J565" s="4" t="s">
        <v>3585</v>
      </c>
      <c r="K565" s="4" t="s">
        <v>3586</v>
      </c>
      <c r="L565" s="4" t="s">
        <v>3587</v>
      </c>
      <c r="M565" s="4" t="s">
        <v>3588</v>
      </c>
      <c r="N565" s="4" t="s">
        <v>3589</v>
      </c>
    </row>
    <row r="566" customFormat="false" ht="15" hidden="false" customHeight="false" outlineLevel="0" collapsed="false">
      <c r="A566" s="0" t="s">
        <v>3609</v>
      </c>
      <c r="B566" s="22" t="n">
        <v>0</v>
      </c>
      <c r="C566" s="22" t="n">
        <f aca="false">B566+B567</f>
        <v>7.98</v>
      </c>
      <c r="D566" s="22" t="n">
        <f aca="false">C566+C567</f>
        <v>15.96</v>
      </c>
      <c r="E566" s="22" t="n">
        <f aca="false">D566+D567</f>
        <v>23.94</v>
      </c>
      <c r="F566" s="22" t="n">
        <f aca="false">E566+E567</f>
        <v>31.92</v>
      </c>
      <c r="G566" s="22" t="n">
        <f aca="false">F566+F567</f>
        <v>43.92</v>
      </c>
      <c r="H566" s="22" t="n">
        <f aca="false">G566+G567</f>
        <v>55.92</v>
      </c>
      <c r="I566" s="22" t="n">
        <f aca="false">H566+H567</f>
        <v>67.92</v>
      </c>
      <c r="J566" s="22" t="n">
        <f aca="false">I566+I567</f>
        <v>79.92</v>
      </c>
      <c r="K566" s="22" t="n">
        <f aca="false">J566+J567</f>
        <v>91.92</v>
      </c>
      <c r="L566" s="22" t="n">
        <f aca="false">K566+K567</f>
        <v>103.92</v>
      </c>
      <c r="M566" s="22" t="n">
        <f aca="false">L566+L567</f>
        <v>115.92</v>
      </c>
      <c r="N566" s="22" t="n">
        <f aca="false">M566+M567</f>
        <v>127.92</v>
      </c>
    </row>
    <row r="567" customFormat="false" ht="15" hidden="false" customHeight="false" outlineLevel="0" collapsed="false">
      <c r="A567" s="0" t="s">
        <v>3610</v>
      </c>
      <c r="B567" s="22" t="n">
        <f aca="false">$D$26</f>
        <v>7.98</v>
      </c>
      <c r="C567" s="22" t="n">
        <f aca="false">$D$26</f>
        <v>7.98</v>
      </c>
      <c r="D567" s="22" t="n">
        <f aca="false">$D$26</f>
        <v>7.98</v>
      </c>
      <c r="E567" s="22" t="n">
        <f aca="false">$D$26</f>
        <v>7.98</v>
      </c>
      <c r="F567" s="22" t="n">
        <f aca="false">12</f>
        <v>12</v>
      </c>
      <c r="G567" s="22" t="n">
        <f aca="false">12</f>
        <v>12</v>
      </c>
      <c r="H567" s="22" t="n">
        <f aca="false">12</f>
        <v>12</v>
      </c>
      <c r="I567" s="22" t="n">
        <f aca="false">12</f>
        <v>12</v>
      </c>
      <c r="J567" s="22" t="n">
        <f aca="false">12</f>
        <v>12</v>
      </c>
      <c r="K567" s="22" t="n">
        <f aca="false">12</f>
        <v>12</v>
      </c>
      <c r="L567" s="22" t="n">
        <f aca="false">12</f>
        <v>12</v>
      </c>
      <c r="M567" s="22" t="n">
        <f aca="false">12</f>
        <v>12</v>
      </c>
      <c r="N567" s="22" t="n">
        <f aca="false">12</f>
        <v>12</v>
      </c>
    </row>
    <row r="568" customFormat="false" ht="15" hidden="false" customHeight="false" outlineLevel="0" collapsed="false">
      <c r="A568" s="0" t="s">
        <v>3559</v>
      </c>
      <c r="B568" s="34" t="n">
        <v>0</v>
      </c>
      <c r="C568" s="34" t="n">
        <f aca="false">$B$26*$G$6*C$16*C567/12</f>
        <v>0.302415992955563</v>
      </c>
      <c r="D568" s="34" t="n">
        <f aca="false">$B$26*$G$6*D$16*D567/12</f>
        <v>0.870656719932563</v>
      </c>
      <c r="E568" s="34" t="n">
        <f aca="false">$B$26*$G$6*E$16*E567/12</f>
        <v>0.870656719932563</v>
      </c>
      <c r="F568" s="34" t="n">
        <f aca="false">$B$26*$G$6*F$16*F567/12</f>
        <v>1.6183661625</v>
      </c>
      <c r="G568" s="34" t="n">
        <f aca="false">$B$26*$G$6*G$16*G567/12</f>
        <v>1.6183661625</v>
      </c>
      <c r="H568" s="34" t="n">
        <f aca="false">$B$26*$G$6*H$16*H567/12</f>
        <v>1.6183661625</v>
      </c>
      <c r="I568" s="34" t="n">
        <f aca="false">$B$26*$G$6*I$16*I567/12</f>
        <v>1.6183661625</v>
      </c>
      <c r="J568" s="34" t="n">
        <f aca="false">$B$26*$G$6*J$16*J567/12</f>
        <v>1.6183661625</v>
      </c>
      <c r="K568" s="34" t="n">
        <f aca="false">$B$26*$G$6*K$16*K567/12</f>
        <v>1.6183661625</v>
      </c>
      <c r="L568" s="34" t="n">
        <f aca="false">$B$26*$G$6*L$16*L567/12</f>
        <v>1.6183661625</v>
      </c>
      <c r="M568" s="34" t="n">
        <f aca="false">$B$26*$G$6*M$16*M567/12</f>
        <v>1.6183661625</v>
      </c>
      <c r="N568" s="34" t="n">
        <f aca="false">$B$26*$G$6*N$16*N567/12</f>
        <v>1.6183661625</v>
      </c>
    </row>
    <row r="569" customFormat="false" ht="15" hidden="false" customHeight="false" outlineLevel="0" collapsed="false">
      <c r="A569" s="0" t="s">
        <v>3563</v>
      </c>
      <c r="B569" s="34" t="n">
        <v>0</v>
      </c>
      <c r="C569" s="34" t="n">
        <v>0</v>
      </c>
      <c r="D569" s="34" t="n">
        <f aca="false">$B$26*$G$7*D$16*D567/12</f>
        <v>2.885184181019</v>
      </c>
      <c r="E569" s="34" t="n">
        <f aca="false">$B$26*$G$7*E$16*E567/12</f>
        <v>2.885184181019</v>
      </c>
      <c r="F569" s="34" t="n">
        <f aca="false">$B$26*$G$7*F$16*F567/12</f>
        <v>5.3629454</v>
      </c>
      <c r="G569" s="34" t="n">
        <f aca="false">$B$26*$G$7*G$16*G567/12</f>
        <v>5.3629454</v>
      </c>
      <c r="H569" s="34" t="n">
        <f aca="false">$B$26*$G$7*H$16*H567/12</f>
        <v>5.3629454</v>
      </c>
      <c r="I569" s="34" t="n">
        <f aca="false">$B$26*$G$7*I$16*I567/12</f>
        <v>5.3629454</v>
      </c>
      <c r="J569" s="34" t="n">
        <f aca="false">$B$26*$G$7*J$16*J567/12</f>
        <v>5.3629454</v>
      </c>
      <c r="K569" s="34" t="n">
        <f aca="false">$B$26*$G$7*K$16*K567/12</f>
        <v>5.3629454</v>
      </c>
      <c r="L569" s="34" t="n">
        <f aca="false">$B$26*$G$7*L$16*L567/12</f>
        <v>5.3629454</v>
      </c>
      <c r="M569" s="34" t="n">
        <f aca="false">$B$26*$G$7*M$16*M567/12</f>
        <v>5.3629454</v>
      </c>
      <c r="N569" s="34" t="n">
        <f aca="false">$B$26*$G$7*N$16*N567/12</f>
        <v>5.3629454</v>
      </c>
    </row>
    <row r="570" customFormat="false" ht="15" hidden="false" customHeight="false" outlineLevel="0" collapsed="false">
      <c r="A570" s="0" t="s">
        <v>3566</v>
      </c>
      <c r="B570" s="34" t="n">
        <v>0</v>
      </c>
      <c r="C570" s="34" t="n">
        <v>0</v>
      </c>
      <c r="D570" s="34" t="n">
        <f aca="false">$B$26*$G$8*D$16*D567/12</f>
        <v>3.64163534028525</v>
      </c>
      <c r="E570" s="34" t="n">
        <f aca="false">$B$26*$G$8*E$16*E567/12</f>
        <v>3.64163534028525</v>
      </c>
      <c r="F570" s="34" t="n">
        <f aca="false">$B$26*$G$8*F$16*F567/12</f>
        <v>6.76902765</v>
      </c>
      <c r="G570" s="34" t="n">
        <f aca="false">$B$26*$G$8*G$16*G567/12</f>
        <v>6.76902765</v>
      </c>
      <c r="H570" s="34" t="n">
        <f aca="false">$B$26*$G$8*H$16*H567/12</f>
        <v>6.76902765</v>
      </c>
      <c r="I570" s="34" t="n">
        <f aca="false">$B$26*$G$8*I$16*I567/12</f>
        <v>6.76902765</v>
      </c>
      <c r="J570" s="34" t="n">
        <f aca="false">$B$26*$G$8*J$16*J567/12</f>
        <v>6.76902765</v>
      </c>
      <c r="K570" s="34" t="n">
        <f aca="false">$B$26*$G$8*K$16*K567/12</f>
        <v>6.76902765</v>
      </c>
      <c r="L570" s="34" t="n">
        <f aca="false">$B$26*$G$8*L$16*L567/12</f>
        <v>6.76902765</v>
      </c>
      <c r="M570" s="34" t="n">
        <f aca="false">$B$26*$G$8*M$16*M567/12</f>
        <v>6.76902765</v>
      </c>
      <c r="N570" s="34" t="n">
        <f aca="false">$B$26*$G$8*N$16*N567/12</f>
        <v>6.76902765</v>
      </c>
    </row>
    <row r="571" customFormat="false" ht="15" hidden="false" customHeight="false" outlineLevel="0" collapsed="false">
      <c r="A571" s="0" t="s">
        <v>3568</v>
      </c>
      <c r="B571" s="34" t="n">
        <v>0</v>
      </c>
      <c r="C571" s="34" t="n">
        <v>0</v>
      </c>
      <c r="D571" s="34" t="n">
        <f aca="false">$B$26*$G$9*D$16*D567/12</f>
        <v>1.518336558816</v>
      </c>
      <c r="E571" s="34" t="n">
        <f aca="false">$B$26*$G$9*E$16*E567/12</f>
        <v>1.518336558816</v>
      </c>
      <c r="F571" s="34" t="n">
        <f aca="false">$B$26*$G$9*F$16*F567/12</f>
        <v>2.8222656</v>
      </c>
      <c r="G571" s="34" t="n">
        <f aca="false">$B$26*$G$9*G$16*G567/12</f>
        <v>2.8222656</v>
      </c>
      <c r="H571" s="34" t="n">
        <f aca="false">$B$26*$G$9*H$16*H567/12</f>
        <v>2.8222656</v>
      </c>
      <c r="I571" s="34" t="n">
        <f aca="false">$B$26*$G$9*I$16*I567/12</f>
        <v>2.8222656</v>
      </c>
      <c r="J571" s="34" t="n">
        <f aca="false">$B$26*$G$9*J$16*J567/12</f>
        <v>2.8222656</v>
      </c>
      <c r="K571" s="34" t="n">
        <f aca="false">$B$26*$G$9*K$16*K567/12</f>
        <v>2.8222656</v>
      </c>
      <c r="L571" s="34" t="n">
        <f aca="false">$B$26*$G$9*L$16*L567/12</f>
        <v>2.8222656</v>
      </c>
      <c r="M571" s="34" t="n">
        <f aca="false">$B$26*$G$9*M$16*M567/12</f>
        <v>2.8222656</v>
      </c>
      <c r="N571" s="34" t="n">
        <f aca="false">$B$26*$G$9*N$16*N567/12</f>
        <v>2.8222656</v>
      </c>
    </row>
    <row r="572" customFormat="false" ht="15" hidden="false" customHeight="false" outlineLevel="0" collapsed="false">
      <c r="A572" s="0" t="s">
        <v>3611</v>
      </c>
      <c r="B572" s="34" t="n">
        <f aca="false">SUM(B568:B571)</f>
        <v>0</v>
      </c>
      <c r="C572" s="34" t="n">
        <f aca="false">SUM(C568:C571)</f>
        <v>0.302415992955563</v>
      </c>
      <c r="D572" s="34" t="n">
        <f aca="false">SUM(D568:D571)</f>
        <v>8.91581280005281</v>
      </c>
      <c r="E572" s="34" t="n">
        <f aca="false">SUM(E568:E571)</f>
        <v>8.91581280005281</v>
      </c>
      <c r="F572" s="34" t="n">
        <f aca="false">SUM(F568:F571)</f>
        <v>16.5726048125</v>
      </c>
      <c r="G572" s="34" t="n">
        <f aca="false">SUM(G568:G571)</f>
        <v>16.5726048125</v>
      </c>
      <c r="H572" s="34" t="n">
        <f aca="false">SUM(H568:H571)</f>
        <v>16.5726048125</v>
      </c>
      <c r="I572" s="34" t="n">
        <f aca="false">SUM(I568:I571)</f>
        <v>16.5726048125</v>
      </c>
      <c r="J572" s="34" t="n">
        <f aca="false">SUM(J568:J571)</f>
        <v>16.5726048125</v>
      </c>
      <c r="K572" s="34" t="n">
        <f aca="false">SUM(K568:K571)</f>
        <v>16.5726048125</v>
      </c>
      <c r="L572" s="34" t="n">
        <f aca="false">SUM(L568:L571)</f>
        <v>16.5726048125</v>
      </c>
      <c r="M572" s="34" t="n">
        <f aca="false">SUM(M568:M571)</f>
        <v>16.5726048125</v>
      </c>
      <c r="N572" s="34" t="n">
        <f aca="false">SUM(N568:N571)</f>
        <v>16.5726048125</v>
      </c>
    </row>
    <row r="573" customFormat="false" ht="15" hidden="false" customHeight="false" outlineLevel="0" collapsed="false">
      <c r="A573" s="0" t="s">
        <v>3612</v>
      </c>
      <c r="B573" s="34" t="n">
        <f aca="false">$C$26*'Programme cost'!$B$52</f>
        <v>6.54504952626079</v>
      </c>
      <c r="C573" s="34" t="n">
        <f aca="false">$C$26*'Programme cost'!$C$52</f>
        <v>6.51566953438878</v>
      </c>
      <c r="D573" s="34" t="n">
        <f aca="false">$C$26*'Programme cost'!$D$52</f>
        <v>7.0669640511886</v>
      </c>
      <c r="E573" s="34" t="n">
        <f aca="false">$C$26*'Programme cost'!$E$52</f>
        <v>5.17947392716696</v>
      </c>
      <c r="F573" s="34" t="n">
        <v>0</v>
      </c>
      <c r="G573" s="34" t="n">
        <v>0</v>
      </c>
      <c r="H573" s="34" t="n">
        <v>0</v>
      </c>
      <c r="I573" s="34" t="n">
        <v>0</v>
      </c>
      <c r="J573" s="34" t="n">
        <v>0</v>
      </c>
      <c r="K573" s="34" t="n">
        <v>0</v>
      </c>
      <c r="L573" s="34" t="n">
        <v>0</v>
      </c>
      <c r="M573" s="34" t="n">
        <v>0</v>
      </c>
      <c r="N573" s="34" t="n">
        <v>0</v>
      </c>
    </row>
    <row r="574" customFormat="false" ht="15" hidden="false" customHeight="false" outlineLevel="0" collapsed="false">
      <c r="A574" s="0" t="s">
        <v>3613</v>
      </c>
      <c r="B574" s="34" t="n">
        <v>0</v>
      </c>
      <c r="C574" s="34" t="n">
        <v>0</v>
      </c>
      <c r="D574" s="34" t="n">
        <v>0</v>
      </c>
      <c r="E574" s="34" t="n">
        <v>0</v>
      </c>
      <c r="F574" s="34" t="n">
        <f aca="false">Assumptions!$E$763*F567/12</f>
        <v>8</v>
      </c>
      <c r="G574" s="34" t="n">
        <f aca="false">Assumptions!$E$763*G567/12</f>
        <v>8</v>
      </c>
      <c r="H574" s="34" t="n">
        <f aca="false">Assumptions!$E$763*H567/12</f>
        <v>8</v>
      </c>
      <c r="I574" s="34" t="n">
        <f aca="false">Assumptions!$E$763*I567/12</f>
        <v>8</v>
      </c>
      <c r="J574" s="34" t="n">
        <f aca="false">Assumptions!$E$763*J567/12</f>
        <v>8</v>
      </c>
      <c r="K574" s="34" t="n">
        <f aca="false">Assumptions!$E$763*K567/12</f>
        <v>8</v>
      </c>
      <c r="L574" s="34" t="n">
        <f aca="false">Assumptions!$E$763*L567/12</f>
        <v>8</v>
      </c>
      <c r="M574" s="34" t="n">
        <f aca="false">Assumptions!$E$763*M567/12</f>
        <v>8</v>
      </c>
      <c r="N574" s="34" t="n">
        <f aca="false">Assumptions!$E$763*N567/12</f>
        <v>8</v>
      </c>
    </row>
    <row r="575" customFormat="false" ht="15" hidden="false" customHeight="false" outlineLevel="0" collapsed="false">
      <c r="A575" s="0" t="s">
        <v>3614</v>
      </c>
      <c r="B575" s="18" t="n">
        <f aca="false">MAX(0,MIN(1,($B$18-B566)/B567))</f>
        <v>1</v>
      </c>
      <c r="C575" s="18" t="n">
        <f aca="false">MAX(0,MIN(1,($B$18-C566)/C567))</f>
        <v>1</v>
      </c>
      <c r="D575" s="18" t="n">
        <f aca="false">MAX(0,MIN(1,($B$18-D566)/D567))</f>
        <v>1</v>
      </c>
      <c r="E575" s="18" t="n">
        <f aca="false">MAX(0,MIN(1,($B$18-E566)/E567))</f>
        <v>1</v>
      </c>
      <c r="F575" s="18" t="n">
        <f aca="false">MAX(0,MIN(1,($B$18-F566)/F567))</f>
        <v>1</v>
      </c>
      <c r="G575" s="18" t="n">
        <f aca="false">MAX(0,MIN(1,($B$18-G566)/G567))</f>
        <v>1</v>
      </c>
      <c r="H575" s="18" t="n">
        <f aca="false">MAX(0,MIN(1,($B$18-H566)/H567))</f>
        <v>1</v>
      </c>
      <c r="I575" s="18" t="n">
        <f aca="false">MAX(0,MIN(1,($B$18-I566)/I567))</f>
        <v>1</v>
      </c>
      <c r="J575" s="18" t="n">
        <f aca="false">MAX(0,MIN(1,($B$18-J566)/J567))</f>
        <v>1</v>
      </c>
      <c r="K575" s="18" t="n">
        <f aca="false">MAX(0,MIN(1,($B$18-K566)/K567))</f>
        <v>1</v>
      </c>
      <c r="L575" s="18" t="n">
        <f aca="false">MAX(0,MIN(1,($B$18-L566)/L567))</f>
        <v>1</v>
      </c>
      <c r="M575" s="18" t="n">
        <f aca="false">MAX(0,MIN(1,($B$18-M566)/M567))</f>
        <v>0.34</v>
      </c>
      <c r="N575" s="18" t="n">
        <f aca="false">MAX(0,MIN(1,($B$18-N566)/N567))</f>
        <v>0</v>
      </c>
    </row>
    <row r="576" customFormat="false" ht="15" hidden="false" customHeight="false" outlineLevel="0" collapsed="false">
      <c r="A576" s="0" t="s">
        <v>3615</v>
      </c>
      <c r="B576" s="18" t="n">
        <f aca="false">MAX(0,MIN(1,($B$17-B566)/B567))</f>
        <v>1</v>
      </c>
      <c r="C576" s="18" t="n">
        <f aca="false">MAX(0,MIN(1,($B$17-C566)/C567))</f>
        <v>1</v>
      </c>
      <c r="D576" s="18" t="n">
        <f aca="false">MAX(0,MIN(1,($B$17-D566)/D567))</f>
        <v>1</v>
      </c>
      <c r="E576" s="18" t="n">
        <f aca="false">MAX(0,MIN(1,($B$17-E566)/E567))</f>
        <v>1</v>
      </c>
      <c r="F576" s="18" t="n">
        <f aca="false">MAX(0,MIN(1,($B$17-F566)/F567))</f>
        <v>1</v>
      </c>
      <c r="G576" s="18" t="n">
        <f aca="false">MAX(0,MIN(1,($B$17-G566)/G567))</f>
        <v>1</v>
      </c>
      <c r="H576" s="18" t="n">
        <f aca="false">MAX(0,MIN(1,($B$17-H566)/H567))</f>
        <v>0.34</v>
      </c>
      <c r="I576" s="18" t="n">
        <f aca="false">MAX(0,MIN(1,($B$17-I566)/I567))</f>
        <v>0</v>
      </c>
      <c r="J576" s="18" t="n">
        <f aca="false">MAX(0,MIN(1,($B$17-J566)/J567))</f>
        <v>0</v>
      </c>
      <c r="K576" s="18" t="n">
        <f aca="false">MAX(0,MIN(1,($B$17-K566)/K567))</f>
        <v>0</v>
      </c>
      <c r="L576" s="18" t="n">
        <f aca="false">MAX(0,MIN(1,($B$17-L566)/L567))</f>
        <v>0</v>
      </c>
      <c r="M576" s="18" t="n">
        <f aca="false">MAX(0,MIN(1,($B$17-M566)/M567))</f>
        <v>0</v>
      </c>
      <c r="N576" s="18" t="n">
        <f aca="false">MAX(0,MIN(1,($B$17-N566)/N567))</f>
        <v>0</v>
      </c>
    </row>
    <row r="577" customFormat="false" ht="15" hidden="false" customHeight="false" outlineLevel="0" collapsed="false">
      <c r="A577" s="0" t="s">
        <v>3616</v>
      </c>
      <c r="B577" s="22" t="n">
        <f aca="false">B566+B567*B575/2</f>
        <v>3.99</v>
      </c>
      <c r="C577" s="22" t="n">
        <f aca="false">C566+C567*C575/2</f>
        <v>11.97</v>
      </c>
      <c r="D577" s="22" t="n">
        <f aca="false">D566+D567*D575/2</f>
        <v>19.95</v>
      </c>
      <c r="E577" s="22" t="n">
        <f aca="false">E566+E567*E575/2</f>
        <v>27.93</v>
      </c>
      <c r="F577" s="22" t="n">
        <f aca="false">F566+F567*F575/2</f>
        <v>37.92</v>
      </c>
      <c r="G577" s="22" t="n">
        <f aca="false">G566+G567*G575/2</f>
        <v>49.92</v>
      </c>
      <c r="H577" s="22" t="n">
        <f aca="false">H566+H567*H575/2</f>
        <v>61.92</v>
      </c>
      <c r="I577" s="22" t="n">
        <f aca="false">I566+I567*I575/2</f>
        <v>73.92</v>
      </c>
      <c r="J577" s="22" t="n">
        <f aca="false">J566+J567*J575/2</f>
        <v>85.92</v>
      </c>
      <c r="K577" s="22" t="n">
        <f aca="false">K566+K567*K575/2</f>
        <v>97.92</v>
      </c>
      <c r="L577" s="22" t="n">
        <f aca="false">L566+L567*L575/2</f>
        <v>109.92</v>
      </c>
      <c r="M577" s="22" t="n">
        <f aca="false">M566+M567*M575/2</f>
        <v>117.96</v>
      </c>
      <c r="N577" s="22" t="n">
        <f aca="false">N566+N567*N575/2</f>
        <v>127.92</v>
      </c>
    </row>
    <row r="578" customFormat="false" ht="15" hidden="false" customHeight="false" outlineLevel="0" collapsed="false">
      <c r="A578" s="0" t="s">
        <v>3617</v>
      </c>
      <c r="B578" s="22" t="n">
        <f aca="false">B566+B567*B576/2</f>
        <v>3.99</v>
      </c>
      <c r="C578" s="22" t="n">
        <f aca="false">C566+C567*C576/2</f>
        <v>11.97</v>
      </c>
      <c r="D578" s="22" t="n">
        <f aca="false">D566+D567*D576/2</f>
        <v>19.95</v>
      </c>
      <c r="E578" s="22" t="n">
        <f aca="false">E566+E567*E576/2</f>
        <v>27.93</v>
      </c>
      <c r="F578" s="22" t="n">
        <f aca="false">F566+F567*F576/2</f>
        <v>37.92</v>
      </c>
      <c r="G578" s="22" t="n">
        <f aca="false">G566+G567*G576/2</f>
        <v>49.92</v>
      </c>
      <c r="H578" s="22" t="n">
        <f aca="false">H566+H567*H576/2</f>
        <v>57.96</v>
      </c>
      <c r="I578" s="22" t="n">
        <f aca="false">I566+I567*I576/2</f>
        <v>67.92</v>
      </c>
      <c r="J578" s="22" t="n">
        <f aca="false">J566+J567*J576/2</f>
        <v>79.92</v>
      </c>
      <c r="K578" s="22" t="n">
        <f aca="false">K566+K567*K576/2</f>
        <v>91.92</v>
      </c>
      <c r="L578" s="22" t="n">
        <f aca="false">L566+L567*L576/2</f>
        <v>103.92</v>
      </c>
      <c r="M578" s="22" t="n">
        <f aca="false">M566+M567*M576/2</f>
        <v>115.92</v>
      </c>
      <c r="N578" s="22" t="n">
        <f aca="false">N566+N567*N576/2</f>
        <v>127.92</v>
      </c>
    </row>
    <row r="579" customFormat="false" ht="15" hidden="false" customHeight="false" outlineLevel="0" collapsed="false">
      <c r="A579" s="0" t="s">
        <v>3618</v>
      </c>
      <c r="B579" s="34" t="n">
        <f aca="false">(B572-B574)*B575-B573*SIGN(B575)</f>
        <v>-6.54504952626079</v>
      </c>
      <c r="C579" s="34" t="n">
        <f aca="false">(C572-C574)*C575-C573*SIGN(C575)</f>
        <v>-6.21325354143322</v>
      </c>
      <c r="D579" s="34" t="n">
        <f aca="false">(D572-D574)*D575-D573*SIGN(D575)</f>
        <v>1.84884874886422</v>
      </c>
      <c r="E579" s="34" t="n">
        <f aca="false">(E572-E574)*E575-E573*SIGN(E575)</f>
        <v>3.73633887288586</v>
      </c>
      <c r="F579" s="34" t="n">
        <f aca="false">(F572-F574)*F575-F573*SIGN(F575)</f>
        <v>8.5726048125</v>
      </c>
      <c r="G579" s="34" t="n">
        <f aca="false">(G572-G574)*G575-G573*SIGN(G575)</f>
        <v>8.5726048125</v>
      </c>
      <c r="H579" s="34" t="n">
        <f aca="false">(H572-H574)*H575-H573*SIGN(H575)</f>
        <v>8.5726048125</v>
      </c>
      <c r="I579" s="34" t="n">
        <f aca="false">(I572-I574)*I575-I573*SIGN(I575)</f>
        <v>8.5726048125</v>
      </c>
      <c r="J579" s="34" t="n">
        <f aca="false">(J572-J574)*J575-J573*SIGN(J575)</f>
        <v>8.5726048125</v>
      </c>
      <c r="K579" s="34" t="n">
        <f aca="false">(K572-K574)*K575-K573*SIGN(K575)</f>
        <v>8.5726048125</v>
      </c>
      <c r="L579" s="34" t="n">
        <f aca="false">(L572-L574)*L575-L573*SIGN(L575)</f>
        <v>8.5726048125</v>
      </c>
      <c r="M579" s="34" t="n">
        <f aca="false">(M572-M574)*M575-M573*SIGN(M575)</f>
        <v>2.91468563625</v>
      </c>
      <c r="N579" s="34" t="n">
        <f aca="false">(N572-N574)*N575-N573*SIGN(N575)</f>
        <v>0</v>
      </c>
    </row>
    <row r="580" customFormat="false" ht="15" hidden="false" customHeight="false" outlineLevel="0" collapsed="false">
      <c r="A580" s="0" t="s">
        <v>3619</v>
      </c>
      <c r="B580" s="34" t="n">
        <f aca="false">B579</f>
        <v>-6.54504952626079</v>
      </c>
      <c r="C580" s="34" t="n">
        <f aca="false">B580+C579</f>
        <v>-12.758303067694</v>
      </c>
      <c r="D580" s="34" t="n">
        <f aca="false">C580+D579</f>
        <v>-10.9094543188298</v>
      </c>
      <c r="E580" s="34" t="n">
        <f aca="false">D580+E579</f>
        <v>-7.17311544594393</v>
      </c>
      <c r="F580" s="34" t="n">
        <f aca="false">E580+F579</f>
        <v>1.39948936655607</v>
      </c>
      <c r="G580" s="34" t="n">
        <f aca="false">F580+G579</f>
        <v>9.97209417905607</v>
      </c>
      <c r="H580" s="34" t="n">
        <f aca="false">G580+H579</f>
        <v>18.5446989915561</v>
      </c>
      <c r="I580" s="34" t="n">
        <f aca="false">H580+I579</f>
        <v>27.1173038040561</v>
      </c>
      <c r="J580" s="34" t="n">
        <f aca="false">I580+J579</f>
        <v>35.6899086165561</v>
      </c>
      <c r="K580" s="34" t="n">
        <f aca="false">J580+K579</f>
        <v>44.2625134290561</v>
      </c>
      <c r="L580" s="34" t="n">
        <f aca="false">K580+L579</f>
        <v>52.8351182415561</v>
      </c>
      <c r="M580" s="34" t="n">
        <f aca="false">L580+M579</f>
        <v>55.7498038778061</v>
      </c>
      <c r="N580" s="34" t="n">
        <f aca="false">M580+N579</f>
        <v>55.7498038778061</v>
      </c>
    </row>
    <row r="581" customFormat="false" ht="15" hidden="false" customHeight="false" outlineLevel="0" collapsed="false">
      <c r="A581" s="0" t="s">
        <v>3620</v>
      </c>
      <c r="B581" s="22" t="str">
        <f aca="false">IF(AND((-B573*SIGN(B575))&lt;0,(-B573*SIGN(B575))+((B572-B574)*B575)&gt;=0,((B572-B574)*B575)&gt;0),B566+B567*B575*(-(-B573*SIGN(B575)))/((B572-B574)*B575),"-")</f>
        <v>-</v>
      </c>
      <c r="C581" s="22" t="str">
        <f aca="false">IF(AND((B580-C573*SIGN(C575))&lt;0,(B580-C573*SIGN(C575))+((C572-C574)*C575)&gt;=0,((C572-C574)*C575)&gt;0),C566+C567*C575*(-(B580-C573*SIGN(C575)))/((C572-C574)*C575),"-")</f>
        <v>-</v>
      </c>
      <c r="D581" s="22" t="str">
        <f aca="false">IF(AND((C580-D573*SIGN(D575))&lt;0,(C580-D573*SIGN(D575))+((D572-D574)*D575)&gt;=0,((D572-D574)*D575)&gt;0),D566+D567*D575*(-(C580-D573*SIGN(D575)))/((D572-D574)*D575),"-")</f>
        <v>-</v>
      </c>
      <c r="E581" s="22" t="str">
        <f aca="false">IF(AND((D580-E573*SIGN(E575))&lt;0,(D580-E573*SIGN(E575))+((E572-E574)*E575)&gt;=0,((E572-E574)*E575)&gt;0),E566+E567*E575*(-(D580-E573*SIGN(E575)))/((E572-E574)*E575),"-")</f>
        <v>-</v>
      </c>
      <c r="F581" s="22" t="n">
        <f aca="false">IF(AND((E580-F573*SIGN(F575))&lt;0,(E580-F573*SIGN(F575))+((F572-F574)*F575)&gt;=0,((F572-F574)*F575)&gt;0),F566+F567*F575*(-(E580-F573*SIGN(F575)))/((F572-F574)*F575),"-")</f>
        <v>41.9609837189526</v>
      </c>
      <c r="G581" s="22" t="str">
        <f aca="false">IF(AND((F580-G573*SIGN(G575))&lt;0,(F580-G573*SIGN(G575))+((G572-G574)*G575)&gt;=0,((G572-G574)*G575)&gt;0),G566+G567*G575*(-(F580-G573*SIGN(G575)))/((G572-G574)*G575),"-")</f>
        <v>-</v>
      </c>
      <c r="H581" s="22" t="str">
        <f aca="false">IF(AND((G580-H573*SIGN(H575))&lt;0,(G580-H573*SIGN(H575))+((H572-H574)*H575)&gt;=0,((H572-H574)*H575)&gt;0),H566+H567*H575*(-(G580-H573*SIGN(H575)))/((H572-H574)*H575),"-")</f>
        <v>-</v>
      </c>
      <c r="I581" s="22" t="str">
        <f aca="false">IF(AND((H580-I573*SIGN(I575))&lt;0,(H580-I573*SIGN(I575))+((I572-I574)*I575)&gt;=0,((I572-I574)*I575)&gt;0),I566+I567*I575*(-(H580-I573*SIGN(I575)))/((I572-I574)*I575),"-")</f>
        <v>-</v>
      </c>
      <c r="J581" s="22" t="str">
        <f aca="false">IF(AND((I580-J573*SIGN(J575))&lt;0,(I580-J573*SIGN(J575))+((J572-J574)*J575)&gt;=0,((J572-J574)*J575)&gt;0),J566+J567*J575*(-(I580-J573*SIGN(J575)))/((J572-J574)*J575),"-")</f>
        <v>-</v>
      </c>
      <c r="K581" s="22" t="str">
        <f aca="false">IF(AND((J580-K573*SIGN(K575))&lt;0,(J580-K573*SIGN(K575))+((K572-K574)*K575)&gt;=0,((K572-K574)*K575)&gt;0),K566+K567*K575*(-(J580-K573*SIGN(K575)))/((K572-K574)*K575),"-")</f>
        <v>-</v>
      </c>
      <c r="L581" s="22" t="str">
        <f aca="false">IF(AND((K580-L573*SIGN(L575))&lt;0,(K580-L573*SIGN(L575))+((L572-L574)*L575)&gt;=0,((L572-L574)*L575)&gt;0),L566+L567*L575*(-(K580-L573*SIGN(L575)))/((L572-L574)*L575),"-")</f>
        <v>-</v>
      </c>
      <c r="M581" s="22" t="str">
        <f aca="false">IF(AND((L580-M573*SIGN(M575))&lt;0,(L580-M573*SIGN(M575))+((M572-M574)*M575)&gt;=0,((M572-M574)*M575)&gt;0),M566+M567*M575*(-(L580-M573*SIGN(M575)))/((M572-M574)*M575),"-")</f>
        <v>-</v>
      </c>
      <c r="N581" s="22" t="str">
        <f aca="false">IF(AND((M580-N573*SIGN(N575))&lt;0,(M580-N573*SIGN(N575))+((N572-N574)*N575)&gt;=0,((N572-N574)*N575)&gt;0),N566+N567*N575*(-(M580-N573*SIGN(N575)))/((N572-N574)*N575),"-")</f>
        <v>-</v>
      </c>
    </row>
    <row r="582" customFormat="false" ht="15" hidden="false" customHeight="false" outlineLevel="0" collapsed="false">
      <c r="A582" s="3" t="s">
        <v>3621</v>
      </c>
      <c r="B582" s="36" t="n">
        <f aca="false">IF(COUNT($B$581:$N$581)=0,"none within ten years",MIN($B$581:$N$581))</f>
        <v>41.9609837189526</v>
      </c>
    </row>
    <row r="583" customFormat="false" ht="15" hidden="false" customHeight="false" outlineLevel="0" collapsed="false">
      <c r="A583" s="16" t="s">
        <v>3622</v>
      </c>
      <c r="B583" s="37" t="n">
        <f aca="false">-B580</f>
        <v>6.54504952626079</v>
      </c>
    </row>
    <row r="584" customFormat="false" ht="15" hidden="false" customHeight="false" outlineLevel="0" collapsed="false">
      <c r="A584" s="16" t="s">
        <v>3623</v>
      </c>
      <c r="B584" s="37" t="n">
        <f aca="false">-C580</f>
        <v>12.758303067694</v>
      </c>
    </row>
    <row r="585" customFormat="false" ht="15" hidden="false" customHeight="false" outlineLevel="0" collapsed="false">
      <c r="A585" s="16" t="s">
        <v>3624</v>
      </c>
      <c r="B585" s="37" t="n">
        <f aca="false">-D580</f>
        <v>10.9094543188298</v>
      </c>
    </row>
    <row r="586" customFormat="false" ht="15" hidden="false" customHeight="false" outlineLevel="0" collapsed="false">
      <c r="A586" s="16" t="s">
        <v>3625</v>
      </c>
      <c r="B586" s="37" t="n">
        <f aca="false">-E580</f>
        <v>7.17311544594393</v>
      </c>
    </row>
    <row r="587" customFormat="false" ht="15" hidden="false" customHeight="false" outlineLevel="0" collapsed="false">
      <c r="A587" s="16" t="s">
        <v>3626</v>
      </c>
      <c r="B587" s="37" t="n">
        <f aca="false">SUMPRODUCT(($B$572:$N$572-$B$574:$N$574)*$B$576:$N$576/(1+stla_wacc_pretax_high_pct/100)^($B$578:$N$578/12))-SUMPRODUCT($B$573:$N$573*SIGN($B$576:$N$576)/(1+stla_wacc_pretax_high_pct/100)^($B$566:$N$566/12))</f>
        <v>1.62442091330476</v>
      </c>
    </row>
    <row r="588" customFormat="false" ht="15" hidden="false" customHeight="false" outlineLevel="0" collapsed="false">
      <c r="A588" s="16" t="s">
        <v>3627</v>
      </c>
      <c r="B588" s="37" t="n">
        <f aca="false">SUMPRODUCT(($B$572:$N$572-$B$574:$N$574)*$B$576:$N$576/(1+stla_wacc_pretax_low_pct/100)^($B$578:$N$578/12))-SUMPRODUCT($B$573:$N$573*SIGN($B$576:$N$576)/(1+stla_wacc_pretax_low_pct/100)^($B$566:$N$566/12))</f>
        <v>6.08972325480189</v>
      </c>
    </row>
    <row r="589" customFormat="false" ht="15" hidden="false" customHeight="false" outlineLevel="0" collapsed="false">
      <c r="A589" s="16" t="s">
        <v>3628</v>
      </c>
      <c r="B589" s="37" t="n">
        <f aca="false">SUMPRODUCT(($B$572:$N$572-$B$574:$N$574)*$B$575:$N$575/(1+stla_wacc_pretax_high_pct/100)^($B$577:$N$577/12))-SUMPRODUCT($B$573:$N$573*SIGN($B$575:$N$575)/(1+stla_wacc_pretax_high_pct/100)^($B$566:$N$566/12))</f>
        <v>13.6058214823349</v>
      </c>
    </row>
    <row r="590" customFormat="false" ht="15" hidden="false" customHeight="false" outlineLevel="0" collapsed="false">
      <c r="A590" s="16" t="s">
        <v>3629</v>
      </c>
      <c r="B590" s="37" t="n">
        <f aca="false">SUMPRODUCT(($B$572:$N$572-$B$574:$N$574)*$B$575:$N$575/(1+stla_wacc_pretax_low_pct/100)^($B$577:$N$577/12))-SUMPRODUCT($B$573:$N$573*SIGN($B$575:$N$575)/(1+stla_wacc_pretax_low_pct/100)^($B$566:$N$566/12))</f>
        <v>27.9695270906193</v>
      </c>
    </row>
    <row r="592" customFormat="false" ht="15" hidden="false" customHeight="false" outlineLevel="0" collapsed="false">
      <c r="A592" s="3" t="s">
        <v>3655</v>
      </c>
    </row>
    <row r="593" customFormat="false" ht="52.2" hidden="false" customHeight="false" outlineLevel="0" collapsed="false">
      <c r="A593" s="4" t="s">
        <v>3656</v>
      </c>
      <c r="B593" s="4" t="s">
        <v>3657</v>
      </c>
      <c r="C593" s="4" t="s">
        <v>3658</v>
      </c>
      <c r="D593" s="4" t="s">
        <v>3659</v>
      </c>
      <c r="E593" s="4" t="s">
        <v>3660</v>
      </c>
      <c r="F593" s="4" t="s">
        <v>3661</v>
      </c>
      <c r="G593" s="4" t="s">
        <v>3662</v>
      </c>
      <c r="H593" s="4" t="s">
        <v>3663</v>
      </c>
      <c r="I593" s="4" t="s">
        <v>3664</v>
      </c>
      <c r="J593" s="4" t="s">
        <v>3665</v>
      </c>
    </row>
    <row r="594" customFormat="false" ht="15" hidden="false" customHeight="false" outlineLevel="0" collapsed="false">
      <c r="A594" s="0" t="s">
        <v>3666</v>
      </c>
      <c r="B594" s="22" t="n">
        <f aca="false">B45</f>
        <v>13.553757955467</v>
      </c>
      <c r="C594" s="34" t="n">
        <f aca="false">B46</f>
        <v>4.03138564</v>
      </c>
      <c r="D594" s="34" t="n">
        <f aca="false">B47</f>
        <v>4.7559313475</v>
      </c>
      <c r="E594" s="34" t="n">
        <f aca="false">B48</f>
        <v>-26.07174312</v>
      </c>
      <c r="F594" s="34" t="n">
        <f aca="false">B49</f>
        <v>-58.0830716675</v>
      </c>
      <c r="G594" s="34" t="n">
        <f aca="false">B50</f>
        <v>178.466596496684</v>
      </c>
      <c r="H594" s="34" t="n">
        <f aca="false">B51</f>
        <v>229.385010018294</v>
      </c>
      <c r="I594" s="34" t="n">
        <f aca="false">B52</f>
        <v>293.050050420292</v>
      </c>
      <c r="J594" s="34" t="n">
        <f aca="false">B53</f>
        <v>438.619059978924</v>
      </c>
    </row>
    <row r="595" customFormat="false" ht="15" hidden="false" customHeight="false" outlineLevel="0" collapsed="false">
      <c r="A595" s="0" t="s">
        <v>3667</v>
      </c>
      <c r="B595" s="22" t="n">
        <f aca="false">B72</f>
        <v>19.4431405765446</v>
      </c>
      <c r="C595" s="34" t="n">
        <f aca="false">B73</f>
        <v>6.6921001624</v>
      </c>
      <c r="D595" s="34" t="n">
        <f aca="false">B74</f>
        <v>9.72298482133325</v>
      </c>
      <c r="E595" s="34" t="n">
        <f aca="false">B75</f>
        <v>-21.885898006782</v>
      </c>
      <c r="F595" s="34" t="n">
        <f aca="false">B76</f>
        <v>-55.4596466076973</v>
      </c>
      <c r="G595" s="34" t="n">
        <f aca="false">B77</f>
        <v>117.186973887052</v>
      </c>
      <c r="H595" s="34" t="n">
        <f aca="false">B78</f>
        <v>155.634728500573</v>
      </c>
      <c r="I595" s="34" t="n">
        <f aca="false">B79</f>
        <v>211.096785015543</v>
      </c>
      <c r="J595" s="34" t="n">
        <f aca="false">B80</f>
        <v>327.127888579132</v>
      </c>
    </row>
    <row r="596" customFormat="false" ht="15" hidden="false" customHeight="false" outlineLevel="0" collapsed="false">
      <c r="A596" s="0" t="s">
        <v>3668</v>
      </c>
      <c r="B596" s="22" t="n">
        <f aca="false">B105</f>
        <v>70.1595102895284</v>
      </c>
      <c r="C596" s="34" t="n">
        <f aca="false">B106</f>
        <v>20.1569282</v>
      </c>
      <c r="D596" s="34" t="n">
        <f aca="false">B107</f>
        <v>39.1237275459438</v>
      </c>
      <c r="E596" s="34" t="n">
        <f aca="false">B108</f>
        <v>49.20024921615</v>
      </c>
      <c r="F596" s="34" t="n">
        <f aca="false">B109</f>
        <v>53.3585004863563</v>
      </c>
      <c r="G596" s="34" t="n">
        <f aca="false">B110</f>
        <v>-28.7852675028691</v>
      </c>
      <c r="H596" s="34" t="n">
        <f aca="false">B111</f>
        <v>-23.3207340116554</v>
      </c>
      <c r="I596" s="34" t="n">
        <f aca="false">B112</f>
        <v>-5.38249425478367</v>
      </c>
      <c r="J596" s="34" t="n">
        <f aca="false">B113</f>
        <v>19.4161801689606</v>
      </c>
    </row>
    <row r="597" customFormat="false" ht="15" hidden="false" customHeight="false" outlineLevel="0" collapsed="false">
      <c r="A597" s="0" t="s">
        <v>3669</v>
      </c>
      <c r="B597" s="22" t="n">
        <f aca="false">B132</f>
        <v>40.9206907571918</v>
      </c>
      <c r="C597" s="34" t="n">
        <f aca="false">B133</f>
        <v>20.1569282</v>
      </c>
      <c r="D597" s="34" t="n">
        <f aca="false">B134</f>
        <v>38.0306576918875</v>
      </c>
      <c r="E597" s="34" t="n">
        <f aca="false">B135</f>
        <v>36.4089571323</v>
      </c>
      <c r="F597" s="34" t="n">
        <f aca="false">B136</f>
        <v>28.8689861727125</v>
      </c>
      <c r="G597" s="34" t="n">
        <f aca="false">B137</f>
        <v>14.9835675617045</v>
      </c>
      <c r="H597" s="34" t="n">
        <f aca="false">B138</f>
        <v>33.2076363905384</v>
      </c>
      <c r="I597" s="34" t="n">
        <f aca="false">B139</f>
        <v>68.7773054134128</v>
      </c>
      <c r="J597" s="34" t="n">
        <f aca="false">B140</f>
        <v>131.442932423716</v>
      </c>
    </row>
    <row r="598" customFormat="false" ht="15" hidden="false" customHeight="false" outlineLevel="0" collapsed="false">
      <c r="A598" s="0" t="s">
        <v>3670</v>
      </c>
      <c r="B598" s="22" t="n">
        <f aca="false">B159</f>
        <v>42.714617723604</v>
      </c>
      <c r="C598" s="34" t="n">
        <f aca="false">B160</f>
        <v>6.6921001624</v>
      </c>
      <c r="D598" s="34" t="n">
        <f aca="false">B161</f>
        <v>13.0495607438444</v>
      </c>
      <c r="E598" s="34" t="n">
        <f aca="false">B162</f>
        <v>11.3629629185916</v>
      </c>
      <c r="F598" s="34" t="n">
        <f aca="false">B163</f>
        <v>7.71149932053881</v>
      </c>
      <c r="G598" s="34" t="n">
        <f aca="false">B164</f>
        <v>1.16018928356372</v>
      </c>
      <c r="H598" s="34" t="n">
        <f aca="false">B165</f>
        <v>5.59228976580204</v>
      </c>
      <c r="I598" s="34" t="n">
        <f aca="false">B166</f>
        <v>13.1415898525939</v>
      </c>
      <c r="J598" s="34" t="n">
        <f aca="false">B167</f>
        <v>27.4720936016195</v>
      </c>
    </row>
    <row r="599" customFormat="false" ht="15" hidden="false" customHeight="false" outlineLevel="0" collapsed="false">
      <c r="A599" s="0" t="s">
        <v>3671</v>
      </c>
      <c r="B599" s="22" t="n">
        <f aca="false">B186</f>
        <v>15.7359745790716</v>
      </c>
      <c r="C599" s="34" t="n">
        <f aca="false">B187</f>
        <v>8.02328719312889</v>
      </c>
      <c r="D599" s="34" t="n">
        <f aca="false">B188</f>
        <v>12.8255287044564</v>
      </c>
      <c r="E599" s="34" t="n">
        <f aca="false">B189</f>
        <v>-13.275725567881</v>
      </c>
      <c r="F599" s="34" t="n">
        <f aca="false">B190</f>
        <v>-42.7757171292754</v>
      </c>
      <c r="G599" s="34" t="n">
        <f aca="false">B191</f>
        <v>164.830325197876</v>
      </c>
      <c r="H599" s="34" t="n">
        <f aca="false">B192</f>
        <v>214.988232489122</v>
      </c>
      <c r="I599" s="34" t="n">
        <f aca="false">B193</f>
        <v>279.413779121484</v>
      </c>
      <c r="J599" s="34" t="n">
        <f aca="false">B194</f>
        <v>424.222282449752</v>
      </c>
    </row>
    <row r="600" customFormat="false" ht="15" hidden="false" customHeight="false" outlineLevel="0" collapsed="false">
      <c r="A600" s="0" t="s">
        <v>3672</v>
      </c>
      <c r="B600" s="22" t="n">
        <f aca="false">B213</f>
        <v>23.8075738237539</v>
      </c>
      <c r="C600" s="34" t="n">
        <f aca="false">B214</f>
        <v>13.318656740594</v>
      </c>
      <c r="D600" s="34" t="n">
        <f aca="false">B215</f>
        <v>23.1185164338809</v>
      </c>
      <c r="E600" s="34" t="n">
        <f aca="false">B216</f>
        <v>-0.644508870264502</v>
      </c>
      <c r="F600" s="34" t="n">
        <f aca="false">B217</f>
        <v>-30.0494380742445</v>
      </c>
      <c r="G600" s="34" t="n">
        <f aca="false">B218</f>
        <v>95.3591037612013</v>
      </c>
      <c r="H600" s="34" t="n">
        <f aca="false">B219</f>
        <v>132.203454405066</v>
      </c>
      <c r="I600" s="34" t="n">
        <f aca="false">B220</f>
        <v>189.268914889692</v>
      </c>
      <c r="J600" s="34" t="n">
        <f aca="false">B221</f>
        <v>303.696614483626</v>
      </c>
    </row>
    <row r="601" customFormat="false" ht="15" hidden="false" customHeight="false" outlineLevel="0" collapsed="false">
      <c r="A601" s="0" t="s">
        <v>3673</v>
      </c>
      <c r="B601" s="22" t="str">
        <f aca="false">B246</f>
        <v>none within ten years</v>
      </c>
      <c r="C601" s="34" t="n">
        <f aca="false">B247</f>
        <v>40.1164359656445</v>
      </c>
      <c r="D601" s="34" t="n">
        <f aca="false">B248</f>
        <v>79.4717143307259</v>
      </c>
      <c r="E601" s="34" t="n">
        <f aca="false">B249</f>
        <v>113.180336976745</v>
      </c>
      <c r="F601" s="34" t="n">
        <f aca="false">B250</f>
        <v>129.895273177479</v>
      </c>
      <c r="G601" s="34" t="n">
        <f aca="false">B251</f>
        <v>-94.5318642674808</v>
      </c>
      <c r="H601" s="34" t="n">
        <f aca="false">B252</f>
        <v>-93.8968608053495</v>
      </c>
      <c r="I601" s="34" t="n">
        <f aca="false">B253</f>
        <v>-71.1290910193954</v>
      </c>
      <c r="J601" s="34" t="n">
        <f aca="false">B254</f>
        <v>-51.1599466247335</v>
      </c>
    </row>
    <row r="602" customFormat="false" ht="15" hidden="false" customHeight="false" outlineLevel="0" collapsed="false">
      <c r="A602" s="0" t="s">
        <v>3674</v>
      </c>
      <c r="B602" s="22" t="n">
        <f aca="false">B273</f>
        <v>64.7831090085616</v>
      </c>
      <c r="C602" s="34" t="n">
        <f aca="false">B274</f>
        <v>40.1164359656445</v>
      </c>
      <c r="D602" s="34" t="n">
        <f aca="false">B275</f>
        <v>78.3786444766696</v>
      </c>
      <c r="E602" s="34" t="n">
        <f aca="false">B276</f>
        <v>100.389044892895</v>
      </c>
      <c r="F602" s="34" t="n">
        <f aca="false">B277</f>
        <v>105.405758863835</v>
      </c>
      <c r="G602" s="34" t="n">
        <f aca="false">B278</f>
        <v>-50.7630292029072</v>
      </c>
      <c r="H602" s="34" t="n">
        <f aca="false">B279</f>
        <v>-37.3684904031557</v>
      </c>
      <c r="I602" s="34" t="n">
        <f aca="false">B280</f>
        <v>3.0307086488011</v>
      </c>
      <c r="J602" s="34" t="n">
        <f aca="false">B281</f>
        <v>60.8668056300222</v>
      </c>
    </row>
    <row r="603" customFormat="false" ht="15" hidden="false" customHeight="false" outlineLevel="0" collapsed="false">
      <c r="A603" s="0" t="s">
        <v>3675</v>
      </c>
      <c r="B603" s="22" t="n">
        <f aca="false">B300</f>
        <v>78.2840285468833</v>
      </c>
      <c r="C603" s="34" t="n">
        <f aca="false">B301</f>
        <v>13.318656740594</v>
      </c>
      <c r="D603" s="34" t="n">
        <f aca="false">B302</f>
        <v>26.4450923563921</v>
      </c>
      <c r="E603" s="34" t="n">
        <f aca="false">B303</f>
        <v>32.6043520551091</v>
      </c>
      <c r="F603" s="34" t="n">
        <f aca="false">B304</f>
        <v>33.1217078539916</v>
      </c>
      <c r="G603" s="34" t="n">
        <f aca="false">B305</f>
        <v>-20.6676808422874</v>
      </c>
      <c r="H603" s="34" t="n">
        <f aca="false">B306</f>
        <v>-17.8389843297044</v>
      </c>
      <c r="I603" s="34" t="n">
        <f aca="false">B307</f>
        <v>-8.6862802732572</v>
      </c>
      <c r="J603" s="34" t="n">
        <f aca="false">B308</f>
        <v>4.04081950611305</v>
      </c>
    </row>
    <row r="604" customFormat="false" ht="15" hidden="false" customHeight="false" outlineLevel="0" collapsed="false">
      <c r="A604" s="0" t="s">
        <v>3676</v>
      </c>
      <c r="B604" s="22" t="n">
        <f aca="false">B327</f>
        <v>13.5071671228718</v>
      </c>
      <c r="C604" s="34" t="n">
        <f aca="false">B328</f>
        <v>3.94280091943421</v>
      </c>
      <c r="D604" s="34" t="n">
        <f aca="false">B329</f>
        <v>4.58047491608408</v>
      </c>
      <c r="E604" s="34" t="n">
        <f aca="false">B330</f>
        <v>-26.3449410716638</v>
      </c>
      <c r="F604" s="34" t="n">
        <f aca="false">B331</f>
        <v>-58.4073993027981</v>
      </c>
      <c r="G604" s="34" t="n">
        <f aca="false">B332</f>
        <v>178.756339093591</v>
      </c>
      <c r="H604" s="34" t="n">
        <f aca="false">B333</f>
        <v>229.690496516739</v>
      </c>
      <c r="I604" s="34" t="n">
        <f aca="false">B334</f>
        <v>293.339793017199</v>
      </c>
      <c r="J604" s="34" t="n">
        <f aca="false">B335</f>
        <v>438.924546477369</v>
      </c>
    </row>
    <row r="605" customFormat="false" ht="15" hidden="false" customHeight="false" outlineLevel="0" collapsed="false">
      <c r="A605" s="0" t="s">
        <v>3677</v>
      </c>
      <c r="B605" s="22" t="n">
        <f aca="false">B354</f>
        <v>19.3499589113543</v>
      </c>
      <c r="C605" s="34" t="n">
        <f aca="false">B355</f>
        <v>6.54504952626079</v>
      </c>
      <c r="D605" s="34" t="n">
        <f aca="false">B356</f>
        <v>9.43172714518282</v>
      </c>
      <c r="E605" s="34" t="n">
        <f aca="false">B357</f>
        <v>-22.3394066065438</v>
      </c>
      <c r="F605" s="34" t="n">
        <f aca="false">B358</f>
        <v>-55.9980304822921</v>
      </c>
      <c r="G605" s="34" t="n">
        <f aca="false">B359</f>
        <v>117.651205516793</v>
      </c>
      <c r="H605" s="34" t="n">
        <f aca="false">B360</f>
        <v>156.132161989572</v>
      </c>
      <c r="I605" s="34" t="n">
        <f aca="false">B361</f>
        <v>211.561016645284</v>
      </c>
      <c r="J605" s="34" t="n">
        <f aca="false">B362</f>
        <v>327.625322068132</v>
      </c>
    </row>
    <row r="606" customFormat="false" ht="15" hidden="false" customHeight="false" outlineLevel="0" collapsed="false">
      <c r="A606" s="0" t="s">
        <v>3678</v>
      </c>
      <c r="B606" s="22" t="n">
        <f aca="false">B387</f>
        <v>68.9973590077161</v>
      </c>
      <c r="C606" s="34" t="n">
        <f aca="false">B388</f>
        <v>19.714004597171</v>
      </c>
      <c r="D606" s="34" t="n">
        <f aca="false">B389</f>
        <v>38.2464453888641</v>
      </c>
      <c r="E606" s="34" t="n">
        <f aca="false">B390</f>
        <v>47.8342594578312</v>
      </c>
      <c r="F606" s="34" t="n">
        <f aca="false">B391</f>
        <v>51.7368623098656</v>
      </c>
      <c r="G606" s="34" t="n">
        <f aca="false">B392</f>
        <v>-27.3869794614804</v>
      </c>
      <c r="H606" s="34" t="n">
        <f aca="false">B393</f>
        <v>-21.8224403700895</v>
      </c>
      <c r="I606" s="34" t="n">
        <f aca="false">B394</f>
        <v>-3.98420621339498</v>
      </c>
      <c r="J606" s="34" t="n">
        <f aca="false">B395</f>
        <v>20.9144738105264</v>
      </c>
    </row>
    <row r="607" customFormat="false" ht="15" hidden="false" customHeight="false" outlineLevel="0" collapsed="false">
      <c r="A607" s="0" t="s">
        <v>3679</v>
      </c>
      <c r="B607" s="22" t="n">
        <f aca="false">B414</f>
        <v>40.4151009987109</v>
      </c>
      <c r="C607" s="34" t="n">
        <f aca="false">B415</f>
        <v>19.714004597171</v>
      </c>
      <c r="D607" s="34" t="n">
        <f aca="false">B416</f>
        <v>37.1533755348079</v>
      </c>
      <c r="E607" s="34" t="n">
        <f aca="false">B417</f>
        <v>35.0429673739812</v>
      </c>
      <c r="F607" s="34" t="n">
        <f aca="false">B418</f>
        <v>27.2473479962219</v>
      </c>
      <c r="G607" s="34" t="n">
        <f aca="false">B419</f>
        <v>16.3818556030932</v>
      </c>
      <c r="H607" s="34" t="n">
        <f aca="false">B420</f>
        <v>34.7059300321043</v>
      </c>
      <c r="I607" s="34" t="n">
        <f aca="false">B421</f>
        <v>70.1755934548015</v>
      </c>
      <c r="J607" s="34" t="n">
        <f aca="false">B422</f>
        <v>132.941226065282</v>
      </c>
    </row>
    <row r="608" customFormat="false" ht="15" hidden="false" customHeight="false" outlineLevel="0" collapsed="false">
      <c r="A608" s="0" t="s">
        <v>3680</v>
      </c>
      <c r="B608" s="22" t="n">
        <f aca="false">B441</f>
        <v>41.9609837189526</v>
      </c>
      <c r="C608" s="34" t="n">
        <f aca="false">B442</f>
        <v>6.54504952626079</v>
      </c>
      <c r="D608" s="34" t="n">
        <f aca="false">B443</f>
        <v>12.758303067694</v>
      </c>
      <c r="E608" s="34" t="n">
        <f aca="false">B444</f>
        <v>10.9094543188298</v>
      </c>
      <c r="F608" s="34" t="n">
        <f aca="false">B445</f>
        <v>7.17311544594393</v>
      </c>
      <c r="G608" s="34" t="n">
        <f aca="false">B446</f>
        <v>1.62442091330476</v>
      </c>
      <c r="H608" s="34" t="n">
        <f aca="false">B447</f>
        <v>6.08972325480189</v>
      </c>
      <c r="I608" s="34" t="n">
        <f aca="false">B448</f>
        <v>13.6058214823349</v>
      </c>
      <c r="J608" s="34" t="n">
        <f aca="false">B449</f>
        <v>27.9695270906193</v>
      </c>
    </row>
    <row r="609" customFormat="false" ht="15" hidden="false" customHeight="false" outlineLevel="0" collapsed="false">
      <c r="A609" s="0" t="s">
        <v>3681</v>
      </c>
      <c r="B609" s="22" t="n">
        <f aca="false">B468</f>
        <v>13.5071671228718</v>
      </c>
      <c r="C609" s="34" t="n">
        <f aca="false">B469</f>
        <v>3.94280091943421</v>
      </c>
      <c r="D609" s="34" t="n">
        <f aca="false">B470</f>
        <v>4.58047491608408</v>
      </c>
      <c r="E609" s="34" t="n">
        <f aca="false">B471</f>
        <v>-26.3449410716638</v>
      </c>
      <c r="F609" s="34" t="n">
        <f aca="false">B472</f>
        <v>-58.4073993027981</v>
      </c>
      <c r="G609" s="34" t="n">
        <f aca="false">B473</f>
        <v>178.756339093591</v>
      </c>
      <c r="H609" s="34" t="n">
        <f aca="false">B474</f>
        <v>229.690496516739</v>
      </c>
      <c r="I609" s="34" t="n">
        <f aca="false">B475</f>
        <v>293.339793017199</v>
      </c>
      <c r="J609" s="34" t="n">
        <f aca="false">B476</f>
        <v>438.924546477369</v>
      </c>
    </row>
    <row r="610" customFormat="false" ht="15" hidden="false" customHeight="false" outlineLevel="0" collapsed="false">
      <c r="A610" s="0" t="s">
        <v>3682</v>
      </c>
      <c r="B610" s="22" t="n">
        <f aca="false">B495</f>
        <v>19.3499589113543</v>
      </c>
      <c r="C610" s="34" t="n">
        <f aca="false">B496</f>
        <v>6.54504952626079</v>
      </c>
      <c r="D610" s="34" t="n">
        <f aca="false">B497</f>
        <v>9.43172714518282</v>
      </c>
      <c r="E610" s="34" t="n">
        <f aca="false">B498</f>
        <v>-22.3394066065438</v>
      </c>
      <c r="F610" s="34" t="n">
        <f aca="false">B499</f>
        <v>-55.9980304822921</v>
      </c>
      <c r="G610" s="34" t="n">
        <f aca="false">B500</f>
        <v>117.651205516793</v>
      </c>
      <c r="H610" s="34" t="n">
        <f aca="false">B501</f>
        <v>156.132161989572</v>
      </c>
      <c r="I610" s="34" t="n">
        <f aca="false">B502</f>
        <v>211.561016645284</v>
      </c>
      <c r="J610" s="34" t="n">
        <f aca="false">B503</f>
        <v>327.625322068132</v>
      </c>
    </row>
    <row r="611" customFormat="false" ht="15" hidden="false" customHeight="false" outlineLevel="0" collapsed="false">
      <c r="A611" s="0" t="s">
        <v>3683</v>
      </c>
      <c r="B611" s="22" t="n">
        <f aca="false">B528</f>
        <v>68.9973590077161</v>
      </c>
      <c r="C611" s="34" t="n">
        <f aca="false">B529</f>
        <v>19.714004597171</v>
      </c>
      <c r="D611" s="34" t="n">
        <f aca="false">B530</f>
        <v>38.2464453888641</v>
      </c>
      <c r="E611" s="34" t="n">
        <f aca="false">B531</f>
        <v>47.8342594578312</v>
      </c>
      <c r="F611" s="34" t="n">
        <f aca="false">B532</f>
        <v>51.7368623098656</v>
      </c>
      <c r="G611" s="34" t="n">
        <f aca="false">B533</f>
        <v>-27.3869794614804</v>
      </c>
      <c r="H611" s="34" t="n">
        <f aca="false">B534</f>
        <v>-21.8224403700895</v>
      </c>
      <c r="I611" s="34" t="n">
        <f aca="false">B535</f>
        <v>-3.98420621339498</v>
      </c>
      <c r="J611" s="34" t="n">
        <f aca="false">B536</f>
        <v>20.9144738105264</v>
      </c>
    </row>
    <row r="612" customFormat="false" ht="15" hidden="false" customHeight="false" outlineLevel="0" collapsed="false">
      <c r="A612" s="0" t="s">
        <v>3684</v>
      </c>
      <c r="B612" s="22" t="n">
        <f aca="false">B555</f>
        <v>40.4151009987109</v>
      </c>
      <c r="C612" s="34" t="n">
        <f aca="false">B556</f>
        <v>19.714004597171</v>
      </c>
      <c r="D612" s="34" t="n">
        <f aca="false">B557</f>
        <v>37.1533755348079</v>
      </c>
      <c r="E612" s="34" t="n">
        <f aca="false">B558</f>
        <v>35.0429673739812</v>
      </c>
      <c r="F612" s="34" t="n">
        <f aca="false">B559</f>
        <v>27.2473479962219</v>
      </c>
      <c r="G612" s="34" t="n">
        <f aca="false">B560</f>
        <v>16.3818556030932</v>
      </c>
      <c r="H612" s="34" t="n">
        <f aca="false">B561</f>
        <v>34.7059300321043</v>
      </c>
      <c r="I612" s="34" t="n">
        <f aca="false">B562</f>
        <v>70.1755934548015</v>
      </c>
      <c r="J612" s="34" t="n">
        <f aca="false">B563</f>
        <v>132.941226065282</v>
      </c>
    </row>
    <row r="613" customFormat="false" ht="15" hidden="false" customHeight="false" outlineLevel="0" collapsed="false">
      <c r="A613" s="0" t="s">
        <v>3685</v>
      </c>
      <c r="B613" s="22" t="n">
        <f aca="false">B582</f>
        <v>41.9609837189526</v>
      </c>
      <c r="C613" s="34" t="n">
        <f aca="false">B583</f>
        <v>6.54504952626079</v>
      </c>
      <c r="D613" s="34" t="n">
        <f aca="false">B584</f>
        <v>12.758303067694</v>
      </c>
      <c r="E613" s="34" t="n">
        <f aca="false">B585</f>
        <v>10.9094543188298</v>
      </c>
      <c r="F613" s="34" t="n">
        <f aca="false">B586</f>
        <v>7.17311544594393</v>
      </c>
      <c r="G613" s="34" t="n">
        <f aca="false">B587</f>
        <v>1.62442091330476</v>
      </c>
      <c r="H613" s="34" t="n">
        <f aca="false">B588</f>
        <v>6.08972325480189</v>
      </c>
      <c r="I613" s="34" t="n">
        <f aca="false">B589</f>
        <v>13.6058214823349</v>
      </c>
      <c r="J613" s="34" t="n">
        <f aca="false">B590</f>
        <v>27.9695270906193</v>
      </c>
    </row>
    <row r="615" customFormat="false" ht="15" hidden="false" customHeight="false" outlineLevel="0" collapsed="false">
      <c r="A615" s="3" t="s">
        <v>3686</v>
      </c>
    </row>
    <row r="616" customFormat="false" ht="39.55" hidden="false" customHeight="false" outlineLevel="0" collapsed="false">
      <c r="A616" s="4" t="s">
        <v>3279</v>
      </c>
      <c r="B616" s="4" t="s">
        <v>3687</v>
      </c>
      <c r="C616" s="4" t="s">
        <v>3688</v>
      </c>
      <c r="D616" s="4" t="s">
        <v>3689</v>
      </c>
      <c r="E616" s="4" t="s">
        <v>3690</v>
      </c>
    </row>
    <row r="617" customFormat="false" ht="15" hidden="false" customHeight="false" outlineLevel="0" collapsed="false">
      <c r="A617" s="3" t="s">
        <v>3691</v>
      </c>
      <c r="B617" s="18" t="n">
        <f aca="false">B77/(B81+B82+B83+B84)</f>
        <v>0.806447812449328</v>
      </c>
      <c r="C617" s="18" t="n">
        <f aca="false">B218/(B222+B223+B224+B225)</f>
        <v>0.656234546166107</v>
      </c>
      <c r="D617" s="18" t="n">
        <f aca="false">B359/(B363+B364+B365+B366)</f>
        <v>0.809642524027385</v>
      </c>
      <c r="E617" s="18" t="n">
        <f aca="false">B500/(B504+B505+B506+B507)</f>
        <v>0.809642524027385</v>
      </c>
      <c r="F617" s="14" t="s">
        <v>3692</v>
      </c>
    </row>
    <row r="618" customFormat="false" ht="15" hidden="false" customHeight="false" outlineLevel="0" collapsed="false">
      <c r="A618" s="16" t="s">
        <v>3693</v>
      </c>
      <c r="B618" s="29" t="n">
        <f aca="false">($C$23*((B81+B82+B83+B84)-B86)/B85-1)*100</f>
        <v>946.975285684334</v>
      </c>
      <c r="C618" s="29" t="n">
        <f aca="false">($C$23*((B222+B223+B224+B225)-B227)/B226-1)*100</f>
        <v>426.508484433106</v>
      </c>
      <c r="D618" s="29" t="n">
        <f aca="false">($C$23*((B363+B364+B365+B366)-B368)/B367-1)*100</f>
        <v>969.459375778319</v>
      </c>
      <c r="E618" s="29" t="n">
        <f aca="false">($C$23*((B504+B505+B506+B507)-B509)/B508-1)*100</f>
        <v>969.459375778319</v>
      </c>
      <c r="F618" s="14" t="s">
        <v>3694</v>
      </c>
    </row>
    <row r="619" customFormat="false" ht="15" hidden="false" customHeight="false" outlineLevel="0" collapsed="false">
      <c r="A619" s="16" t="s">
        <v>3695</v>
      </c>
      <c r="B619" s="34" t="n">
        <f aca="false">run_cost_eur_m_year*((B81+B82+B83+B84)-B85)/B86</f>
        <v>101.939972880392</v>
      </c>
      <c r="C619" s="34" t="n">
        <f aca="false">run_cost_eur_m_year*((B222+B223+B224+B225)-B226)/B227</f>
        <v>83.8834170376222</v>
      </c>
      <c r="D619" s="34" t="n">
        <f aca="false">run_cost_eur_m_year*((B363+B364+B365+B366)-B367)/B368</f>
        <v>102.323996804763</v>
      </c>
      <c r="E619" s="34" t="n">
        <f aca="false">run_cost_eur_m_year*((B504+B505+B506+B507)-B508)/B509</f>
        <v>102.323996804763</v>
      </c>
      <c r="F619" s="14" t="s">
        <v>3696</v>
      </c>
    </row>
    <row r="620" customFormat="false" ht="15" hidden="false" customHeight="false" outlineLevel="0" collapsed="false">
      <c r="A620" s="16" t="s">
        <v>3697</v>
      </c>
      <c r="B620" s="28" t="str">
        <f aca="false">IF((1-B77/B81)&gt;0,process_leak_pct*(1-B77/B81),"survives at zero")</f>
        <v>survives at zero</v>
      </c>
      <c r="C620" s="28" t="str">
        <f aca="false">IF((1-B218/B222)&gt;0,process_leak_pct*(1-B218/B222),"survives at zero")</f>
        <v>survives at zero</v>
      </c>
      <c r="D620" s="28" t="str">
        <f aca="false">IF((1-B359/B363)&gt;0,process_leak_pct*(1-B359/B363),"survives at zero")</f>
        <v>survives at zero</v>
      </c>
      <c r="E620" s="28" t="str">
        <f aca="false">IF((1-B500/B504)&gt;0,process_leak_pct*(1-B500/B504),"survives at zero")</f>
        <v>survives at zero</v>
      </c>
      <c r="F620" s="14" t="s">
        <v>3698</v>
      </c>
    </row>
    <row r="621" customFormat="false" ht="15" hidden="false" customHeight="false" outlineLevel="0" collapsed="false">
      <c r="A621" s="16" t="s">
        <v>3699</v>
      </c>
      <c r="B621" s="28" t="str">
        <f aca="false">IF((1-B77/B81)&gt;0,recoverable_share*(1-B77/B81),"survives at zero")</f>
        <v>survives at zero</v>
      </c>
      <c r="C621" s="28" t="str">
        <f aca="false">IF((1-B218/B222)&gt;0,recoverable_share*(1-B218/B222),"survives at zero")</f>
        <v>survives at zero</v>
      </c>
      <c r="D621" s="28" t="str">
        <f aca="false">IF((1-B359/B363)&gt;0,recoverable_share*(1-B359/B363),"survives at zero")</f>
        <v>survives at zero</v>
      </c>
      <c r="E621" s="28" t="str">
        <f aca="false">IF((1-B500/B504)&gt;0,recoverable_share*(1-B500/B504),"survives at zero")</f>
        <v>survives at zero</v>
      </c>
      <c r="F621" s="14" t="s">
        <v>3698</v>
      </c>
    </row>
    <row r="622" customFormat="false" ht="15" hidden="false" customHeight="false" outlineLevel="0" collapsed="false">
      <c r="A622" s="16" t="s">
        <v>3700</v>
      </c>
      <c r="B622" s="28" t="str">
        <f aca="false">IF((1-B77/B82)&gt;0,upgrade_capture_uplift*(1-B77/B82),"survives at zero")</f>
        <v>survives at zero</v>
      </c>
      <c r="C622" s="28" t="str">
        <f aca="false">IF((1-B218/B223)&gt;0,upgrade_capture_uplift*(1-B218/B223),"survives at zero")</f>
        <v>survives at zero</v>
      </c>
      <c r="D622" s="28" t="str">
        <f aca="false">IF((1-B359/B364)&gt;0,upgrade_capture_uplift*(1-B359/B364),"survives at zero")</f>
        <v>survives at zero</v>
      </c>
      <c r="E622" s="28" t="str">
        <f aca="false">IF((1-B500/B505)&gt;0,upgrade_capture_uplift*(1-B500/B505),"survives at zero")</f>
        <v>survives at zero</v>
      </c>
      <c r="F622" s="14" t="s">
        <v>3698</v>
      </c>
    </row>
    <row r="623" customFormat="false" ht="15" hidden="false" customHeight="false" outlineLevel="0" collapsed="false">
      <c r="A623" s="16" t="s">
        <v>3701</v>
      </c>
      <c r="B623" s="28" t="str">
        <f aca="false">IF((1-B77/B82)&gt;0,margin_per_repeat_sale*(1-B77/B82),"survives at zero")</f>
        <v>survives at zero</v>
      </c>
      <c r="C623" s="28" t="str">
        <f aca="false">IF((1-B218/B223)&gt;0,margin_per_repeat_sale*(1-B218/B223),"survives at zero")</f>
        <v>survives at zero</v>
      </c>
      <c r="D623" s="28" t="str">
        <f aca="false">IF((1-B359/B364)&gt;0,margin_per_repeat_sale*(1-B359/B364),"survives at zero")</f>
        <v>survives at zero</v>
      </c>
      <c r="E623" s="28" t="str">
        <f aca="false">IF((1-B500/B505)&gt;0,margin_per_repeat_sale*(1-B500/B505),"survives at zero")</f>
        <v>survives at zero</v>
      </c>
      <c r="F623" s="14" t="s">
        <v>3698</v>
      </c>
    </row>
    <row r="624" customFormat="false" ht="15" hidden="false" customHeight="false" outlineLevel="0" collapsed="false">
      <c r="A624" s="16" t="s">
        <v>3702</v>
      </c>
      <c r="B624" s="28" t="str">
        <f aca="false">IF((1-B77/B83)&gt;0,x17_days_cut*(1-B77/B83),"survives at zero")</f>
        <v>survives at zero</v>
      </c>
      <c r="C624" s="28" t="str">
        <f aca="false">IF((1-B218/B224)&gt;0,x17_days_cut*(1-B218/B224),"survives at zero")</f>
        <v>survives at zero</v>
      </c>
      <c r="D624" s="28" t="str">
        <f aca="false">IF((1-B359/B365)&gt;0,x17_days_cut*(1-B359/B365),"survives at zero")</f>
        <v>survives at zero</v>
      </c>
      <c r="E624" s="28" t="str">
        <f aca="false">IF((1-B500/B506)&gt;0,x17_days_cut*(1-B500/B506),"survives at zero")</f>
        <v>survives at zero</v>
      </c>
      <c r="F624" s="14" t="s">
        <v>3698</v>
      </c>
    </row>
    <row r="625" customFormat="false" ht="15" hidden="false" customHeight="false" outlineLevel="0" collapsed="false">
      <c r="A625" s="16" t="s">
        <v>3703</v>
      </c>
      <c r="B625" s="28" t="str">
        <f aca="false">IF((1-B77/B84)&gt;0,x17_share_routed*(1-B77/B84),"survives at zero")</f>
        <v>survives at zero</v>
      </c>
      <c r="C625" s="28" t="str">
        <f aca="false">IF((1-B218/B225)&gt;0,x17_share_routed*(1-B218/B225),"survives at zero")</f>
        <v>survives at zero</v>
      </c>
      <c r="D625" s="28" t="str">
        <f aca="false">IF((1-B359/B366)&gt;0,x17_share_routed*(1-B359/B366),"survives at zero")</f>
        <v>survives at zero</v>
      </c>
      <c r="E625" s="28" t="str">
        <f aca="false">IF((1-B500/B507)&gt;0,x17_share_routed*(1-B500/B507),"survives at zero")</f>
        <v>survives at zero</v>
      </c>
      <c r="F625" s="14" t="s">
        <v>3698</v>
      </c>
    </row>
    <row r="627" customFormat="false" ht="15" hidden="false" customHeight="false" outlineLevel="0" collapsed="false">
      <c r="A627" s="3" t="s">
        <v>3704</v>
      </c>
    </row>
    <row r="628" customFormat="false" ht="26.85" hidden="false" customHeight="false" outlineLevel="0" collapsed="false">
      <c r="A628" s="4"/>
      <c r="B628" s="4" t="s">
        <v>3228</v>
      </c>
      <c r="C628" s="4" t="s">
        <v>3705</v>
      </c>
    </row>
    <row r="629" customFormat="false" ht="15" hidden="false" customHeight="false" outlineLevel="0" collapsed="false">
      <c r="A629" s="0" t="s">
        <v>3706</v>
      </c>
      <c r="B629" s="34" t="n">
        <f aca="false">(eu_revenue_eur_m * x14_incentive_claims_central/100 * process_leak_pct/100 + eu_revenue_eur_m * x5_targeting_gain_central/100) + sfse_eu_nv_contracts_2025 * upgrade_capture_uplift/100 * margin_per_repeat_sale / 1000000 + (buyback_payables_current_eur_m * MAX(0, x18_exp_twosided_book)/100 + buyback_payables_current_eur_m * (x17_days_cut * x17_day_cost_central/10000 + x17_share_routed/100 * x17_channel_gain_after_costs/100))</f>
        <v>205.643797</v>
      </c>
      <c r="C629" s="34" t="n">
        <f aca="false">(eu_revenue_eur_m * x14_incentive_claims_central/100 * process_leak_pct/100 + eu_revenue_eur_m * x5_targeting_gain_central/100) + sfse_eu_nv_contracts_2025 * upgrade_capture_uplift/100 * margin_per_repeat_sale / 1000000 + ((buyback_payables_current_eur_m * (ABS(level_1y_p10_book)/100 + (curve_1y_p80_known/2/retained_1y_pooled * (1 - thin_share_of_book/100) + curve_1y_p80_unknown/2/retained_1y_pooled * thin_share_of_book/100))) * x18_joint_share_book/100 + buyback_payables_current_eur_m * (x17_days_cut * x17_day_cost_central/10000 + x17_share_routed/100 * x17_channel_gain_after_costs/100))</f>
        <v>298.115218068458</v>
      </c>
    </row>
    <row r="630" customFormat="false" ht="15" hidden="false" customHeight="false" outlineLevel="0" collapsed="false">
      <c r="A630" s="0" t="s">
        <v>3248</v>
      </c>
      <c r="B630" s="34" t="n">
        <f aca="false">eu_revenue_eur_m * x14_incentive_claims_central/100 * process_leak_pct/100 + eu_revenue_eur_m * x5_targeting_gain_central/100 * finance_penetration/100 + sfse_eu_nv_contracts_2025 * upgrade_capture_uplift/100 * margin_per_repeat_sale / 1000000 + buyback_payables_current_eur_m * (x17_days_cut * x17_day_cost_central/10000 + x17_share_routed/100 * x17_channel_gain_after_costs/100) + buyback_payables_current_eur_m * MAX(0, x18_exp_twosided_book)/100</f>
        <v>160.089844273</v>
      </c>
      <c r="C630" s="34" t="s">
        <v>3249</v>
      </c>
    </row>
    <row r="631" customFormat="false" ht="15" hidden="false" customHeight="false" outlineLevel="0" collapsed="false">
      <c r="A631" s="0" t="s">
        <v>3251</v>
      </c>
      <c r="B631" s="34" t="n">
        <f aca="false">D12</f>
        <v>86.978055</v>
      </c>
      <c r="C631" s="34" t="n">
        <f aca="false">D12+D11</f>
        <v>107.639802935022</v>
      </c>
    </row>
    <row r="632" customFormat="false" ht="15" hidden="false" customHeight="false" outlineLevel="0" collapsed="false">
      <c r="A632" s="0" t="s">
        <v>3253</v>
      </c>
      <c r="B632" s="34" t="n">
        <f aca="false">$B$23*D12</f>
        <v>72.19178565</v>
      </c>
      <c r="C632" s="34" t="n">
        <f aca="false">$B$23*(D12+D11)</f>
        <v>89.3410364360683</v>
      </c>
    </row>
    <row r="633" customFormat="false" ht="15" hidden="false" customHeight="false" outlineLevel="0" collapsed="false">
      <c r="A633" s="0" t="s">
        <v>3707</v>
      </c>
      <c r="B633" s="34" t="n">
        <f aca="false">D10</f>
        <v>18.516304273</v>
      </c>
      <c r="C633" s="34" t="n">
        <f aca="false">D10</f>
        <v>18.516304273</v>
      </c>
    </row>
    <row r="634" customFormat="false" ht="15" hidden="false" customHeight="false" outlineLevel="0" collapsed="false">
      <c r="A634" s="0" t="s">
        <v>3255</v>
      </c>
      <c r="B634" s="34" t="n">
        <v>0</v>
      </c>
      <c r="C634" s="34" t="n">
        <v>0</v>
      </c>
    </row>
    <row r="636" customFormat="false" ht="15" hidden="false" customHeight="false" outlineLevel="0" collapsed="false">
      <c r="A636" s="3" t="s">
        <v>3708</v>
      </c>
    </row>
    <row r="637" customFormat="false" ht="15" hidden="false" customHeight="false" outlineLevel="0" collapsed="false">
      <c r="A637" s="3" t="s">
        <v>3709</v>
      </c>
      <c r="B637" s="35" t="n">
        <f aca="false">$B$23*D12*x21_cov_core_2024/100</f>
        <v>58.40315459085</v>
      </c>
    </row>
    <row r="638" customFormat="false" ht="15" hidden="false" customHeight="false" outlineLevel="0" collapsed="false">
      <c r="A638" s="16" t="s">
        <v>3710</v>
      </c>
      <c r="B638" s="37" t="n">
        <f aca="false">$B$23*E12*x21_cov_core_2024/100</f>
        <v>32.37141761925</v>
      </c>
    </row>
    <row r="639" customFormat="false" ht="15" hidden="false" customHeight="false" outlineLevel="0" collapsed="false">
      <c r="A639" s="16" t="s">
        <v>3711</v>
      </c>
      <c r="B639" s="37" t="n">
        <f aca="false">$B$23*F12*x21_cov_core_2024/100</f>
        <v>48.5365846037646</v>
      </c>
    </row>
    <row r="640" customFormat="false" ht="15" hidden="false" customHeight="false" outlineLevel="0" collapsed="false">
      <c r="A640" s="16" t="s">
        <v>3712</v>
      </c>
      <c r="B640" s="37" t="n">
        <f aca="false">$B$23*G12*x21_cov_core_2024/100</f>
        <v>13.4072372933125</v>
      </c>
    </row>
    <row r="642" customFormat="false" ht="15" hidden="false" customHeight="false" outlineLevel="0" collapsed="false">
      <c r="A642" s="3" t="s">
        <v>3713</v>
      </c>
    </row>
    <row r="643" customFormat="false" ht="39.55" hidden="false" customHeight="false" outlineLevel="0" collapsed="false">
      <c r="A643" s="4" t="s">
        <v>3714</v>
      </c>
      <c r="B643" s="4" t="s">
        <v>3687</v>
      </c>
      <c r="C643" s="4" t="s">
        <v>3688</v>
      </c>
      <c r="D643" s="4" t="s">
        <v>3689</v>
      </c>
      <c r="E643" s="4" t="s">
        <v>3690</v>
      </c>
    </row>
    <row r="644" customFormat="false" ht="15" hidden="false" customHeight="false" outlineLevel="0" collapsed="false">
      <c r="A644" s="16" t="s">
        <v>3715</v>
      </c>
      <c r="B644" s="34" t="n">
        <f aca="false">$B$637*(1-B617)</f>
        <v>11.3040583309191</v>
      </c>
      <c r="C644" s="34" t="n">
        <f aca="false">$B$637*(1-C617)</f>
        <v>20.0769869432546</v>
      </c>
      <c r="D644" s="34" t="n">
        <f aca="false">$B$637*(1-D617)</f>
        <v>11.1174770967527</v>
      </c>
      <c r="E644" s="34" t="n">
        <f aca="false">$B$637*(1-E617)</f>
        <v>11.1174770967527</v>
      </c>
      <c r="F644" s="14" t="s">
        <v>3716</v>
      </c>
    </row>
    <row r="645" customFormat="false" ht="15" hidden="false" customHeight="false" outlineLevel="0" collapsed="false">
      <c r="A645" s="16" t="s">
        <v>3717</v>
      </c>
      <c r="B645" s="28" t="n">
        <f aca="false">process_leak_pct*(B63/(1+stla_wacc_pretax_high_pct/100)^(B56/12)+C63/(1+stla_wacc_pretax_high_pct/100)^(C56/12))/B81</f>
        <v>0.611045307286192</v>
      </c>
      <c r="C645" s="28" t="n">
        <f aca="false">process_leak_pct*(B204/(1+stla_wacc_pretax_high_pct/100)^(B197/12)+C204/(1+stla_wacc_pretax_high_pct/100)^(C197/12))/B222</f>
        <v>1.22362190333944</v>
      </c>
      <c r="D645" s="28" t="n">
        <f aca="false">process_leak_pct*(B345/(1+stla_wacc_pretax_high_pct/100)^(B338/12)+C345/(1+stla_wacc_pretax_high_pct/100)^(C338/12))/B363</f>
        <v>0.597710412994261</v>
      </c>
      <c r="E645" s="28" t="n">
        <f aca="false">process_leak_pct*(B486/(1+stla_wacc_pretax_high_pct/100)^(B479/12)+C486/(1+stla_wacc_pretax_high_pct/100)^(C479/12))/B504</f>
        <v>0.597710412994261</v>
      </c>
      <c r="F645" s="14" t="s">
        <v>3718</v>
      </c>
    </row>
    <row r="646" customFormat="false" ht="15" hidden="false" customHeight="false" outlineLevel="0" collapsed="false">
      <c r="A646" s="16" t="s">
        <v>3719</v>
      </c>
      <c r="B646" s="34" t="n">
        <f aca="false">$D$6*B645/process_leak_pct*x21_cov_pilot_2024/100</f>
        <v>2.00876753340473</v>
      </c>
      <c r="C646" s="34" t="n">
        <f aca="false">$D$6*C645/process_leak_pct*x21_cov_pilot_2024/100</f>
        <v>4.02256906858127</v>
      </c>
      <c r="D646" s="34" t="n">
        <f aca="false">$D$6*D645/process_leak_pct*x21_cov_pilot_2024/100</f>
        <v>1.96493002676553</v>
      </c>
      <c r="E646" s="34" t="n">
        <f aca="false">$D$6*E645/process_leak_pct*x21_cov_pilot_2024/100</f>
        <v>1.96493002676553</v>
      </c>
      <c r="F646" s="14" t="s">
        <v>3720</v>
      </c>
    </row>
    <row r="647" customFormat="false" ht="15" hidden="false" customHeight="false" outlineLevel="0" collapsed="false">
      <c r="A647" s="14" t="s">
        <v>3721</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72"/>
  </cols>
  <sheetData>
    <row r="1" customFormat="false" ht="17.35" hidden="false" customHeight="false" outlineLevel="0" collapsed="false">
      <c r="A1" s="1" t="s">
        <v>3722</v>
      </c>
    </row>
    <row r="3" customFormat="false" ht="32.8" hidden="false" customHeight="false" outlineLevel="0" collapsed="false">
      <c r="A3" s="12" t="s">
        <v>3723</v>
      </c>
    </row>
    <row r="5" customFormat="false" ht="15" hidden="false" customHeight="false" outlineLevel="0" collapsed="false">
      <c r="A5" s="3" t="s">
        <v>3724</v>
      </c>
    </row>
    <row r="6" customFormat="false" ht="15" hidden="false" customHeight="false" outlineLevel="0" collapsed="false">
      <c r="A6" s="16" t="s">
        <v>3725</v>
      </c>
      <c r="B6" s="27" t="n">
        <f aca="false">dpt_passthrough</f>
        <v>0.3</v>
      </c>
      <c r="C6" s="14" t="s">
        <v>3726</v>
      </c>
    </row>
    <row r="7" customFormat="false" ht="15" hidden="false" customHeight="false" outlineLevel="0" collapsed="false">
      <c r="A7" s="16" t="s">
        <v>3727</v>
      </c>
      <c r="B7" s="26" t="n">
        <f aca="false">hk_passthrough_36m</f>
        <v>6.5</v>
      </c>
      <c r="C7" s="14" t="s">
        <v>3728</v>
      </c>
    </row>
    <row r="8" customFormat="false" ht="15" hidden="false" customHeight="false" outlineLevel="0" collapsed="false">
      <c r="A8" s="16" t="s">
        <v>3729</v>
      </c>
      <c r="B8" s="26" t="n">
        <f aca="false">hk_passthrough_now</f>
        <v>1.5</v>
      </c>
      <c r="C8" s="14" t="s">
        <v>3730</v>
      </c>
    </row>
    <row r="9" customFormat="false" ht="15" hidden="false" customHeight="false" outlineLevel="0" collapsed="false">
      <c r="A9" s="16" t="s">
        <v>3731</v>
      </c>
      <c r="B9" s="26" t="n">
        <f aca="false">pl_incentive_pct_list</f>
        <v>8</v>
      </c>
      <c r="C9" s="14" t="s">
        <v>3732</v>
      </c>
    </row>
    <row r="11" customFormat="false" ht="15" hidden="false" customHeight="false" outlineLevel="0" collapsed="false">
      <c r="A11" s="3" t="s">
        <v>3733</v>
      </c>
    </row>
    <row r="12" customFormat="false" ht="15" hidden="false" customHeight="false" outlineLevel="0" collapsed="false">
      <c r="A12" s="16" t="s">
        <v>3734</v>
      </c>
      <c r="B12" s="21" t="n">
        <f aca="false">new_car_price_eur</f>
        <v>11969</v>
      </c>
    </row>
    <row r="13" customFormat="false" ht="15" hidden="false" customHeight="false" outlineLevel="0" collapsed="false">
      <c r="A13" s="16" t="s">
        <v>3735</v>
      </c>
      <c r="B13" s="21" t="n">
        <f aca="false">new_car_price_eur * pl_incentive_pct_list/100</f>
        <v>957.52</v>
      </c>
    </row>
    <row r="14" customFormat="false" ht="15" hidden="false" customHeight="false" outlineLevel="0" collapsed="false">
      <c r="A14" s="16" t="s">
        <v>3736</v>
      </c>
      <c r="B14" s="21" t="n">
        <f aca="false">new_car_price_eur * retained_4y_uk/100</f>
        <v>7061.71</v>
      </c>
      <c r="C14" s="14" t="s">
        <v>3737</v>
      </c>
    </row>
    <row r="15" customFormat="false" ht="15" hidden="false" customHeight="false" outlineLevel="0" collapsed="false">
      <c r="A15" s="16" t="s">
        <v>3738</v>
      </c>
      <c r="B15" s="27" t="n">
        <f aca="false">1-(1-pl_incentive_pct_list/100)^dpt_passthrough</f>
        <v>0.0247042129724129</v>
      </c>
    </row>
    <row r="16" customFormat="false" ht="15" hidden="false" customHeight="false" outlineLevel="0" collapsed="false">
      <c r="A16" s="16" t="s">
        <v>3739</v>
      </c>
      <c r="B16" s="27" t="n">
        <f aca="false">(hk_passthrough_36m + hk_passthrough_now)/100 * pl_incentive_pct_list/10</f>
        <v>0.064</v>
      </c>
    </row>
    <row r="17" customFormat="false" ht="15" hidden="false" customHeight="false" outlineLevel="0" collapsed="false">
      <c r="A17" s="16" t="s">
        <v>3740</v>
      </c>
      <c r="B17" s="21" t="n">
        <f aca="false">B14 * B15</f>
        <v>174.453987789418</v>
      </c>
    </row>
    <row r="18" customFormat="false" ht="15" hidden="false" customHeight="false" outlineLevel="0" collapsed="false">
      <c r="A18" s="16" t="s">
        <v>3741</v>
      </c>
      <c r="B18" s="21" t="n">
        <f aca="false">B14 * B16</f>
        <v>451.94944</v>
      </c>
    </row>
    <row r="20" customFormat="false" ht="15" hidden="false" customHeight="false" outlineLevel="0" collapsed="false">
      <c r="A20" s="3" t="s">
        <v>3742</v>
      </c>
      <c r="B20" s="38" t="n">
        <f aca="false">B17 / B13</f>
        <v>0.182193570671545</v>
      </c>
      <c r="C20" s="14" t="s">
        <v>3743</v>
      </c>
    </row>
    <row r="21" customFormat="false" ht="15" hidden="false" customHeight="false" outlineLevel="0" collapsed="false">
      <c r="A21" s="3" t="s">
        <v>3744</v>
      </c>
      <c r="B21" s="38" t="n">
        <f aca="false">B18 / B13</f>
        <v>0.472</v>
      </c>
    </row>
    <row r="24" customFormat="false" ht="15" hidden="false" customHeight="false" outlineLevel="0" collapsed="false">
      <c r="A24" s="3" t="s">
        <v>3745</v>
      </c>
    </row>
    <row r="25" customFormat="false" ht="15" hidden="false" customHeight="false" outlineLevel="0" collapsed="false">
      <c r="A25" s="16" t="s">
        <v>3746</v>
      </c>
      <c r="B25" s="21" t="n">
        <f aca="false">buyback_payables_current_eur_m</f>
        <v>5313</v>
      </c>
      <c r="C25" s="14" t="s">
        <v>3747</v>
      </c>
    </row>
    <row r="26" customFormat="false" ht="15" hidden="false" customHeight="false" outlineLevel="0" collapsed="false">
      <c r="A26" s="3" t="s">
        <v>3748</v>
      </c>
      <c r="B26" s="15" t="n">
        <f aca="false">B25 * B15</f>
        <v>131.25348352243</v>
      </c>
    </row>
    <row r="27" customFormat="false" ht="15" hidden="false" customHeight="false" outlineLevel="0" collapsed="false">
      <c r="A27" s="3" t="s">
        <v>3749</v>
      </c>
      <c r="B27" s="15" t="n">
        <f aca="false">B25 * B16</f>
        <v>340.032</v>
      </c>
    </row>
    <row r="30" customFormat="false" ht="15" hidden="false" customHeight="false" outlineLevel="0" collapsed="false">
      <c r="A30" s="39" t="s">
        <v>3750</v>
      </c>
    </row>
    <row r="31" customFormat="false" ht="15" hidden="false" customHeight="false" outlineLevel="0" collapsed="false">
      <c r="A31" s="12" t="s">
        <v>3751</v>
      </c>
    </row>
    <row r="32" customFormat="false" ht="43.25" hidden="false" customHeight="false" outlineLevel="0" collapsed="false">
      <c r="A32" s="12" t="s">
        <v>3752</v>
      </c>
    </row>
    <row r="33" customFormat="false" ht="22.35" hidden="false" customHeight="false" outlineLevel="0" collapsed="false">
      <c r="A33" s="12" t="s">
        <v>3753</v>
      </c>
    </row>
    <row r="34" customFormat="false" ht="43.25" hidden="false" customHeight="false" outlineLevel="0" collapsed="false">
      <c r="A34" s="12" t="s">
        <v>3754</v>
      </c>
    </row>
    <row r="35" customFormat="false" ht="22.35" hidden="false" customHeight="false" outlineLevel="0" collapsed="false">
      <c r="A35" s="12" t="s">
        <v>3755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6" min="3" style="0" width="14"/>
    <col collapsed="false" customWidth="true" hidden="false" outlineLevel="0" max="10" min="7" style="0" width="12"/>
  </cols>
  <sheetData>
    <row r="1" customFormat="false" ht="17.35" hidden="false" customHeight="false" outlineLevel="0" collapsed="false">
      <c r="A1" s="1" t="s">
        <v>3756</v>
      </c>
    </row>
    <row r="2" customFormat="false" ht="72" hidden="false" customHeight="true" outlineLevel="0" collapsed="false">
      <c r="A2" s="33" t="s">
        <v>3757</v>
      </c>
      <c r="B2" s="33"/>
      <c r="C2" s="33"/>
      <c r="D2" s="33"/>
      <c r="E2" s="33"/>
      <c r="F2" s="33"/>
      <c r="G2" s="33"/>
      <c r="H2" s="33"/>
      <c r="I2" s="33"/>
      <c r="J2" s="33"/>
    </row>
    <row r="4" customFormat="false" ht="52.2" hidden="false" customHeight="false" outlineLevel="0" collapsed="false">
      <c r="A4" s="4" t="s">
        <v>3758</v>
      </c>
      <c r="B4" s="4" t="s">
        <v>3759</v>
      </c>
      <c r="C4" s="4" t="s">
        <v>3760</v>
      </c>
      <c r="D4" s="4" t="s">
        <v>3761</v>
      </c>
      <c r="E4" s="4" t="s">
        <v>3762</v>
      </c>
      <c r="F4" s="4" t="s">
        <v>3763</v>
      </c>
      <c r="G4" s="4" t="s">
        <v>3764</v>
      </c>
      <c r="H4" s="4" t="s">
        <v>3765</v>
      </c>
      <c r="I4" s="4" t="s">
        <v>3766</v>
      </c>
      <c r="J4" s="4" t="s">
        <v>3767</v>
      </c>
    </row>
    <row r="5" customFormat="false" ht="15" hidden="false" customHeight="false" outlineLevel="0" collapsed="false">
      <c r="A5" s="40" t="s">
        <v>3768</v>
      </c>
      <c r="B5" s="40" t="s">
        <v>3769</v>
      </c>
      <c r="C5" s="40" t="n">
        <f aca="false">(x25_loc_fr_pct/100*x25_loaded_oc2_fr_eur+(1-x25_loc_fr_pct/100)*x25_loaded_oc2_it_eur)/12*(1+x25_overhead_pct/100)</f>
        <v>10125.06</v>
      </c>
      <c r="D5" s="40" t="n">
        <f aca="false">(x25_loaded_oc2_fr_eur+x25_loaded_oc2_it_eur+x25_loaded_oc2_de_eur+x25_loaded_oc2_es_eur)/4/12*(1+x25_overhead_pct/100)</f>
        <v>10177.9</v>
      </c>
      <c r="E5" s="40" t="n">
        <f aca="false">x25_loaded_oc2_pl_eur/12*(1+x25_overhead_pct/100)</f>
        <v>3847.5</v>
      </c>
      <c r="F5" s="40" t="n">
        <f aca="false">dl_gc14_dev_l4_gbp_day/x25_gbp_per_eur*x25_days_per_fte_year/12</f>
        <v>27265.3908231496</v>
      </c>
      <c r="G5" s="41" t="n">
        <f aca="false">(ai_timewarp_coding_pct+ai_timewarp_debugging_pct+ai_timewarp_review_pct)/100*(1-1/(1+ai_cui_tasks_pct/100))</f>
        <v>0.0517131979695431</v>
      </c>
      <c r="H5" s="41" t="n">
        <f aca="false">(ai_timewarp_coding_pct+ai_timewarp_debugging_pct+ai_timewarp_review_pct)/100*ai_peng_faster_pct/100</f>
        <v>0.1395</v>
      </c>
      <c r="I5" s="41" t="n">
        <f aca="false">-(ai_timewarp_coding_pct+ai_timewarp_debugging_pct+ai_timewarp_review_pct)/100*ai_metr25_time_pct/100</f>
        <v>-0.0475</v>
      </c>
      <c r="J5" s="42" t="n">
        <f aca="false">(gh_copilot_enterprise_usd_user_month+claude_team_std_usd_seat_month)/x25_usd_per_eur</f>
        <v>50.69599587558</v>
      </c>
    </row>
    <row r="6" customFormat="false" ht="15" hidden="false" customHeight="false" outlineLevel="0" collapsed="false">
      <c r="A6" s="40" t="s">
        <v>3770</v>
      </c>
      <c r="B6" s="40" t="s">
        <v>3769</v>
      </c>
      <c r="C6" s="40" t="n">
        <f aca="false">(x25_loc_fr_pct/100*x25_loaded_oc2_fr_eur+(1-x25_loc_fr_pct/100)*x25_loaded_oc2_it_eur)/12*(1+x25_overhead_pct/100)</f>
        <v>10125.06</v>
      </c>
      <c r="D6" s="40" t="n">
        <f aca="false">(x25_loaded_oc2_fr_eur+x25_loaded_oc2_it_eur+x25_loaded_oc2_de_eur+x25_loaded_oc2_es_eur)/4/12*(1+x25_overhead_pct/100)</f>
        <v>10177.9</v>
      </c>
      <c r="E6" s="40" t="n">
        <f aca="false">x25_loaded_oc2_pl_eur/12*(1+x25_overhead_pct/100)</f>
        <v>3847.5</v>
      </c>
      <c r="F6" s="40" t="n">
        <f aca="false">dl_gc14_dev_l5_gbp_day/x25_gbp_per_eur*x25_days_per_fte_year/12</f>
        <v>34874.3370993775</v>
      </c>
      <c r="G6" s="41" t="n">
        <f aca="false">(ai_timewarp_coding_pct+ai_timewarp_debugging_pct+ai_timewarp_review_pct)/100*(1-1/(1+ai_cui_tasks_pct/100))</f>
        <v>0.0517131979695431</v>
      </c>
      <c r="H6" s="41" t="n">
        <f aca="false">(ai_timewarp_coding_pct+ai_timewarp_debugging_pct+ai_timewarp_review_pct)/100*ai_peng_faster_pct/100</f>
        <v>0.1395</v>
      </c>
      <c r="I6" s="41" t="n">
        <f aca="false">-(ai_timewarp_coding_pct+ai_timewarp_debugging_pct+ai_timewarp_review_pct)/100*ai_metr25_time_pct/100</f>
        <v>-0.0475</v>
      </c>
      <c r="J6" s="42" t="n">
        <f aca="false">(gh_copilot_enterprise_usd_user_month+claude_team_std_usd_seat_month)/x25_usd_per_eur</f>
        <v>50.69599587558</v>
      </c>
    </row>
    <row r="7" customFormat="false" ht="15" hidden="false" customHeight="false" outlineLevel="0" collapsed="false">
      <c r="A7" s="40" t="s">
        <v>3771</v>
      </c>
      <c r="B7" s="40" t="s">
        <v>3769</v>
      </c>
      <c r="C7" s="40" t="n">
        <f aca="false">(x25_loc_fr_pct/100*x25_loaded_oc2_fr_eur+(1-x25_loc_fr_pct/100)*x25_loaded_oc2_it_eur)/12*(1+x25_overhead_pct/100)</f>
        <v>10125.06</v>
      </c>
      <c r="D7" s="40" t="n">
        <f aca="false">(x25_loaded_oc2_fr_eur+x25_loaded_oc2_it_eur+x25_loaded_oc2_de_eur+x25_loaded_oc2_es_eur)/4/12*(1+x25_overhead_pct/100)</f>
        <v>10177.9</v>
      </c>
      <c r="E7" s="40" t="n">
        <f aca="false">x25_loaded_oc2_pl_eur/12*(1+x25_overhead_pct/100)</f>
        <v>3847.5</v>
      </c>
      <c r="F7" s="40" t="n">
        <f aca="false">dl_gc14_arch_l5_gbp_day/x25_gbp_per_eur*x25_days_per_fte_year/12</f>
        <v>38573.1304280993</v>
      </c>
      <c r="G7" s="41" t="n">
        <f aca="false">hv_time_savings_pct/100</f>
        <v>0.03</v>
      </c>
      <c r="H7" s="41" t="n">
        <f aca="false">hv_time_savings_pct/100</f>
        <v>0.03</v>
      </c>
      <c r="I7" s="41" t="n">
        <f aca="false">0</f>
        <v>0</v>
      </c>
      <c r="J7" s="42" t="n">
        <f aca="false">claude_team_std_usd_seat_month/x25_usd_per_eur</f>
        <v>17.1850833476542</v>
      </c>
    </row>
    <row r="8" customFormat="false" ht="15" hidden="false" customHeight="false" outlineLevel="0" collapsed="false">
      <c r="A8" s="40" t="s">
        <v>3772</v>
      </c>
      <c r="B8" s="40" t="s">
        <v>3769</v>
      </c>
      <c r="C8" s="40" t="n">
        <f aca="false">(x25_loc_fr_pct/100*x25_loaded_oc2_fr_eur+(1-x25_loc_fr_pct/100)*x25_loaded_oc2_it_eur)/12*(1+x25_overhead_pct/100)</f>
        <v>10125.06</v>
      </c>
      <c r="D8" s="40" t="n">
        <f aca="false">(x25_loaded_oc2_fr_eur+x25_loaded_oc2_it_eur+x25_loaded_oc2_de_eur+x25_loaded_oc2_es_eur)/4/12*(1+x25_overhead_pct/100)</f>
        <v>10177.9</v>
      </c>
      <c r="E8" s="40" t="n">
        <f aca="false">x25_loaded_oc2_pl_eur/12*(1+x25_overhead_pct/100)</f>
        <v>3847.5</v>
      </c>
      <c r="F8" s="40" t="n">
        <f aca="false">dl_gc14_arch_l4_gbp_day/x25_gbp_per_eur*x25_days_per_fte_year/12</f>
        <v>34874.3370993775</v>
      </c>
      <c r="G8" s="41" t="n">
        <f aca="false">hv_time_savings_pct/100</f>
        <v>0.03</v>
      </c>
      <c r="H8" s="41" t="n">
        <f aca="false">hv_time_savings_pct/100</f>
        <v>0.03</v>
      </c>
      <c r="I8" s="41" t="n">
        <f aca="false">0</f>
        <v>0</v>
      </c>
      <c r="J8" s="42" t="n">
        <f aca="false">claude_team_std_usd_seat_month/x25_usd_per_eur</f>
        <v>17.1850833476542</v>
      </c>
    </row>
    <row r="9" customFormat="false" ht="15" hidden="false" customHeight="false" outlineLevel="0" collapsed="false">
      <c r="A9" s="40" t="s">
        <v>3773</v>
      </c>
      <c r="B9" s="40" t="s">
        <v>3769</v>
      </c>
      <c r="C9" s="40" t="n">
        <f aca="false">(x25_loc_fr_pct/100*x25_loaded_oc2_fr_eur+(1-x25_loc_fr_pct/100)*x25_loaded_oc2_it_eur)/12*(1+x25_overhead_pct/100)</f>
        <v>10125.06</v>
      </c>
      <c r="D9" s="40" t="n">
        <f aca="false">(x25_loaded_oc2_fr_eur+x25_loaded_oc2_it_eur+x25_loaded_oc2_de_eur+x25_loaded_oc2_es_eur)/4/12*(1+x25_overhead_pct/100)</f>
        <v>10177.9</v>
      </c>
      <c r="E9" s="40" t="n">
        <f aca="false">x25_loaded_oc2_pl_eur/12*(1+x25_overhead_pct/100)</f>
        <v>3847.5</v>
      </c>
      <c r="F9" s="40" t="s">
        <v>3774</v>
      </c>
      <c r="G9" s="41" t="n">
        <f aca="false">hv_time_savings_pct/100</f>
        <v>0.03</v>
      </c>
      <c r="H9" s="41" t="n">
        <f aca="false">hv_time_savings_pct/100</f>
        <v>0.03</v>
      </c>
      <c r="I9" s="41" t="n">
        <f aca="false">0</f>
        <v>0</v>
      </c>
      <c r="J9" s="42" t="n">
        <f aca="false">claude_team_std_usd_seat_month/x25_usd_per_eur</f>
        <v>17.1850833476542</v>
      </c>
    </row>
    <row r="10" customFormat="false" ht="15" hidden="false" customHeight="false" outlineLevel="0" collapsed="false">
      <c r="A10" s="40" t="s">
        <v>3775</v>
      </c>
      <c r="B10" s="40" t="s">
        <v>3769</v>
      </c>
      <c r="C10" s="40" t="n">
        <f aca="false">(x25_loc_fr_pct/100*x25_loaded_oc2_fr_eur+(1-x25_loc_fr_pct/100)*x25_loaded_oc2_it_eur)/12*(1+x25_overhead_pct/100)</f>
        <v>10125.06</v>
      </c>
      <c r="D10" s="40" t="n">
        <f aca="false">(x25_loaded_oc2_fr_eur+x25_loaded_oc2_it_eur+x25_loaded_oc2_de_eur+x25_loaded_oc2_es_eur)/4/12*(1+x25_overhead_pct/100)</f>
        <v>10177.9</v>
      </c>
      <c r="E10" s="40" t="n">
        <f aca="false">x25_loaded_oc2_pl_eur/12*(1+x25_overhead_pct/100)</f>
        <v>3847.5</v>
      </c>
      <c r="F10" s="40" t="s">
        <v>3774</v>
      </c>
      <c r="G10" s="41" t="n">
        <f aca="false">hv_time_savings_pct/100</f>
        <v>0.03</v>
      </c>
      <c r="H10" s="41" t="n">
        <f aca="false">hv_time_savings_pct/100</f>
        <v>0.03</v>
      </c>
      <c r="I10" s="41" t="n">
        <f aca="false">0</f>
        <v>0</v>
      </c>
      <c r="J10" s="42" t="n">
        <f aca="false">claude_team_std_usd_seat_month/x25_usd_per_eur</f>
        <v>17.1850833476542</v>
      </c>
    </row>
    <row r="11" customFormat="false" ht="15" hidden="false" customHeight="false" outlineLevel="0" collapsed="false">
      <c r="A11" s="40" t="s">
        <v>3776</v>
      </c>
      <c r="B11" s="40" t="s">
        <v>3769</v>
      </c>
      <c r="C11" s="40" t="n">
        <f aca="false">(x25_loc_fr_pct/100*x25_loaded_oc2_fr_eur+(1-x25_loc_fr_pct/100)*x25_loaded_oc2_it_eur)/12*(1+x25_overhead_pct/100)</f>
        <v>10125.06</v>
      </c>
      <c r="D11" s="40" t="n">
        <f aca="false">(x25_loaded_oc2_fr_eur+x25_loaded_oc2_it_eur+x25_loaded_oc2_de_eur+x25_loaded_oc2_es_eur)/4/12*(1+x25_overhead_pct/100)</f>
        <v>10177.9</v>
      </c>
      <c r="E11" s="40" t="n">
        <f aca="false">x25_loaded_oc2_pl_eur/12*(1+x25_overhead_pct/100)</f>
        <v>3847.5</v>
      </c>
      <c r="F11" s="40" t="n">
        <f aca="false">dl_gc14_arch_l4_gbp_day/x25_gbp_per_eur*x25_days_per_fte_year/12</f>
        <v>34874.3370993775</v>
      </c>
      <c r="G11" s="41" t="n">
        <f aca="false">hv_time_savings_pct/100</f>
        <v>0.03</v>
      </c>
      <c r="H11" s="41" t="n">
        <f aca="false">hv_time_savings_pct/100</f>
        <v>0.03</v>
      </c>
      <c r="I11" s="41" t="n">
        <f aca="false">0</f>
        <v>0</v>
      </c>
      <c r="J11" s="42" t="n">
        <f aca="false">claude_team_std_usd_seat_month/x25_usd_per_eur</f>
        <v>17.1850833476542</v>
      </c>
    </row>
    <row r="12" customFormat="false" ht="15" hidden="false" customHeight="false" outlineLevel="0" collapsed="false">
      <c r="A12" s="40" t="s">
        <v>3777</v>
      </c>
      <c r="B12" s="40" t="s">
        <v>3769</v>
      </c>
      <c r="C12" s="40" t="n">
        <f aca="false">(x25_loc_fr_pct/100*x25_loaded_oc2_fr_eur+(1-x25_loc_fr_pct/100)*x25_loaded_oc2_it_eur)/12*(1+x25_overhead_pct/100)</f>
        <v>10125.06</v>
      </c>
      <c r="D12" s="40" t="n">
        <f aca="false">(x25_loaded_oc2_fr_eur+x25_loaded_oc2_it_eur+x25_loaded_oc2_de_eur+x25_loaded_oc2_es_eur)/4/12*(1+x25_overhead_pct/100)</f>
        <v>10177.9</v>
      </c>
      <c r="E12" s="40" t="n">
        <f aca="false">x25_loaded_oc2_pl_eur/12*(1+x25_overhead_pct/100)</f>
        <v>3847.5</v>
      </c>
      <c r="F12" s="40" t="s">
        <v>3774</v>
      </c>
      <c r="G12" s="41" t="n">
        <f aca="false">hv_time_savings_pct/100</f>
        <v>0.03</v>
      </c>
      <c r="H12" s="41" t="n">
        <f aca="false">hv_time_savings_pct/100</f>
        <v>0.03</v>
      </c>
      <c r="I12" s="41" t="n">
        <f aca="false">0</f>
        <v>0</v>
      </c>
      <c r="J12" s="42" t="n">
        <f aca="false">claude_team_std_usd_seat_month/x25_usd_per_eur</f>
        <v>17.1850833476542</v>
      </c>
    </row>
    <row r="13" customFormat="false" ht="15" hidden="false" customHeight="false" outlineLevel="0" collapsed="false">
      <c r="A13" s="40" t="s">
        <v>3778</v>
      </c>
      <c r="B13" s="40" t="s">
        <v>3779</v>
      </c>
      <c r="C13" s="40" t="n">
        <f aca="false">(x25_loc_fr_pct/100*x25_loaded_oc1_fr_eur+(1-x25_loc_fr_pct/100)*x25_loaded_oc1_it_eur)/12*(1+x25_overhead_pct/100)</f>
        <v>19607.1</v>
      </c>
      <c r="D13" s="40" t="n">
        <f aca="false">(x25_loaded_oc1_fr_eur+x25_loaded_oc1_it_eur+x25_loaded_oc1_de_eur+x25_loaded_oc1_es_eur)/4/12*(1+x25_overhead_pct/100)</f>
        <v>17897.45</v>
      </c>
      <c r="E13" s="40" t="n">
        <f aca="false">x25_loaded_oc1_pl_eur/12*(1+x25_overhead_pct/100)</f>
        <v>5979.5</v>
      </c>
      <c r="F13" s="40" t="n">
        <f aca="false">dl_gc14_arch_l6_gbp_day/x25_gbp_per_eur*x25_days_per_fte_year/12</f>
        <v>44385.5199446622</v>
      </c>
      <c r="G13" s="41" t="n">
        <f aca="false">hv_time_savings_pct/100</f>
        <v>0.03</v>
      </c>
      <c r="H13" s="41" t="n">
        <f aca="false">hv_time_savings_pct/100</f>
        <v>0.03</v>
      </c>
      <c r="I13" s="41" t="n">
        <f aca="false">0</f>
        <v>0</v>
      </c>
      <c r="J13" s="42" t="n">
        <f aca="false">claude_team_std_usd_seat_month/x25_usd_per_eur</f>
        <v>17.1850833476542</v>
      </c>
    </row>
    <row r="14" customFormat="false" ht="15" hidden="false" customHeight="false" outlineLevel="0" collapsed="false">
      <c r="A14" s="40" t="s">
        <v>3780</v>
      </c>
      <c r="B14" s="40" t="s">
        <v>3781</v>
      </c>
      <c r="C14" s="40" t="n">
        <f aca="false">(x25_loc_fr_pct/100*x25_loaded_oc3_fr_eur+(1-x25_loc_fr_pct/100)*x25_loaded_oc3_it_eur)/12*(1+x25_overhead_pct/100)</f>
        <v>6889.76</v>
      </c>
      <c r="D14" s="40" t="n">
        <f aca="false">(x25_loaded_oc3_fr_eur+x25_loaded_oc3_it_eur+x25_loaded_oc3_de_eur+x25_loaded_oc3_es_eur)/4/12*(1+x25_overhead_pct/100)</f>
        <v>7598.35</v>
      </c>
      <c r="E14" s="40" t="n">
        <f aca="false">x25_loaded_oc3_pl_eur/12*(1+x25_overhead_pct/100)</f>
        <v>3161.9</v>
      </c>
      <c r="F14" s="40" t="n">
        <f aca="false">dl_gc14_dev_l3_gbp_day/x25_gbp_per_eur*x25_days_per_fte_year/12</f>
        <v>23038.1984474675</v>
      </c>
      <c r="G14" s="41" t="n">
        <f aca="false">hv_time_savings_pct/100</f>
        <v>0.03</v>
      </c>
      <c r="H14" s="41" t="n">
        <f aca="false">hv_time_savings_pct/100</f>
        <v>0.03</v>
      </c>
      <c r="I14" s="41" t="n">
        <f aca="false">0</f>
        <v>0</v>
      </c>
      <c r="J14" s="42" t="n">
        <f aca="false">claude_team_std_usd_seat_month/x25_usd_per_eur</f>
        <v>17.1850833476542</v>
      </c>
    </row>
    <row r="16" customFormat="false" ht="15" hidden="false" customHeight="false" outlineLevel="0" collapsed="false">
      <c r="A16" s="3" t="s">
        <v>3782</v>
      </c>
    </row>
    <row r="17" customFormat="false" ht="39.55" hidden="false" customHeight="false" outlineLevel="0" collapsed="false">
      <c r="A17" s="4" t="s">
        <v>3258</v>
      </c>
      <c r="B17" s="4" t="s">
        <v>2681</v>
      </c>
      <c r="C17" s="4" t="s">
        <v>3783</v>
      </c>
      <c r="D17" s="4" t="s">
        <v>3784</v>
      </c>
      <c r="E17" s="4" t="s">
        <v>3785</v>
      </c>
      <c r="F17" s="4" t="s">
        <v>3786</v>
      </c>
    </row>
    <row r="18" customFormat="false" ht="15" hidden="false" customHeight="false" outlineLevel="0" collapsed="false">
      <c r="A18" s="0" t="s">
        <v>3687</v>
      </c>
      <c r="B18" s="42" t="n">
        <f aca="false">SUM('Work list'!$H$2:$H$91)</f>
        <v>8.56960296</v>
      </c>
      <c r="C18" s="42" t="n">
        <f aca="false">0</f>
        <v>0</v>
      </c>
      <c r="D18" s="42" t="n">
        <f aca="false">inv_platform_eur_m</f>
        <v>4</v>
      </c>
      <c r="E18" s="42" t="n">
        <f aca="false">inv_change_eur_m</f>
        <v>3</v>
      </c>
      <c r="F18" s="42" t="n">
        <f aca="false">SUM(B18:E18)</f>
        <v>15.56960296</v>
      </c>
    </row>
    <row r="19" customFormat="false" ht="15" hidden="false" customHeight="false" outlineLevel="0" collapsed="false">
      <c r="A19" s="0" t="s">
        <v>3787</v>
      </c>
      <c r="B19" s="42" t="n">
        <f aca="false">SUM('Work list'!$I$2:$I$91)</f>
        <v>23.8769574982246</v>
      </c>
      <c r="C19" s="42" t="n">
        <f aca="false">0</f>
        <v>0</v>
      </c>
      <c r="D19" s="42" t="n">
        <f aca="false">inv_platform_eur_m</f>
        <v>4</v>
      </c>
      <c r="E19" s="42" t="n">
        <f aca="false">inv_change_eur_m</f>
        <v>3</v>
      </c>
      <c r="F19" s="42" t="n">
        <f aca="false">SUM(B19:E19)</f>
        <v>30.8769574982246</v>
      </c>
    </row>
    <row r="20" customFormat="false" ht="15" hidden="false" customHeight="false" outlineLevel="0" collapsed="false">
      <c r="A20" s="0" t="s">
        <v>3788</v>
      </c>
      <c r="B20" s="42" t="n">
        <f aca="false">SUM('Work list'!$J$2:$J$91)</f>
        <v>8.21820032277183</v>
      </c>
      <c r="C20" s="42" t="n">
        <f aca="false">SUM('Work list'!$K$2:$K$91)</f>
        <v>0.0270750019300506</v>
      </c>
      <c r="D20" s="42" t="n">
        <f aca="false">inv_platform_eur_m</f>
        <v>4</v>
      </c>
      <c r="E20" s="42" t="n">
        <f aca="false">inv_change_eur_m</f>
        <v>3</v>
      </c>
      <c r="F20" s="42" t="n">
        <f aca="false">SUM(B20:E20)</f>
        <v>15.2452753247019</v>
      </c>
    </row>
    <row r="21" customFormat="false" ht="15" hidden="false" customHeight="false" outlineLevel="0" collapsed="false">
      <c r="A21" s="0" t="s">
        <v>3789</v>
      </c>
      <c r="B21" s="42" t="n">
        <f aca="false">SUM('Work list'!$L$2:$L$91)</f>
        <v>7.83688511517</v>
      </c>
      <c r="C21" s="42" t="n">
        <f aca="false">SUM('Work list'!$M$2:$M$91)</f>
        <v>0.0251657634473277</v>
      </c>
      <c r="D21" s="42" t="n">
        <f aca="false">inv_platform_eur_m</f>
        <v>4</v>
      </c>
      <c r="E21" s="42" t="n">
        <f aca="false">inv_change_eur_m</f>
        <v>3</v>
      </c>
      <c r="F21" s="42" t="n">
        <f aca="false">SUM(B21:E21)</f>
        <v>14.8620508786173</v>
      </c>
    </row>
    <row r="22" customFormat="false" ht="15" hidden="false" customHeight="false" outlineLevel="0" collapsed="false">
      <c r="A22" s="0" t="s">
        <v>3790</v>
      </c>
      <c r="B22" s="42" t="n">
        <f aca="false">SUM('Work list'!$N$2:$N$91)</f>
        <v>8.77592637015</v>
      </c>
      <c r="C22" s="42" t="n">
        <f aca="false">SUM('Work list'!$O$2:$O$91)</f>
        <v>0.0294322671421206</v>
      </c>
      <c r="D22" s="42" t="n">
        <f aca="false">inv_platform_eur_m</f>
        <v>4</v>
      </c>
      <c r="E22" s="42" t="n">
        <f aca="false">inv_change_eur_m</f>
        <v>3</v>
      </c>
      <c r="F22" s="42" t="n">
        <f aca="false">SUM(B22:E22)</f>
        <v>15.8053586372921</v>
      </c>
    </row>
    <row r="23" customFormat="false" ht="15" hidden="false" customHeight="false" outlineLevel="0" collapsed="false">
      <c r="A23" s="0" t="s">
        <v>3690</v>
      </c>
      <c r="B23" s="42" t="n">
        <f aca="false">SUM(G29:G39)</f>
        <v>8.24527532470188</v>
      </c>
      <c r="C23" s="42" t="n">
        <f aca="false">0</f>
        <v>0</v>
      </c>
      <c r="D23" s="42" t="n">
        <f aca="false">inv_platform_eur_m</f>
        <v>4</v>
      </c>
      <c r="E23" s="42" t="n">
        <f aca="false">inv_change_eur_m</f>
        <v>3</v>
      </c>
      <c r="F23" s="42" t="n">
        <f aca="false">SUM(B23:E23)</f>
        <v>15.2452753247019</v>
      </c>
    </row>
    <row r="24" customFormat="false" ht="15" hidden="false" customHeight="false" outlineLevel="0" collapsed="false">
      <c r="A24" s="0" t="s">
        <v>3791</v>
      </c>
      <c r="B24" s="42" t="n">
        <f aca="false">SUM('Work list'!$P$2:$P$91)</f>
        <v>3.1074054</v>
      </c>
      <c r="C24" s="42" t="n">
        <f aca="false">0</f>
        <v>0</v>
      </c>
      <c r="D24" s="42" t="n">
        <f aca="false">inv_platform_eur_m</f>
        <v>4</v>
      </c>
      <c r="E24" s="42" t="n">
        <f aca="false">inv_change_eur_m</f>
        <v>3</v>
      </c>
      <c r="F24" s="42" t="n">
        <f aca="false">SUM(B24:E24)</f>
        <v>10.1074054</v>
      </c>
    </row>
    <row r="25" customFormat="false" ht="15" hidden="false" customHeight="false" outlineLevel="0" collapsed="false">
      <c r="A25" s="0" t="s">
        <v>3792</v>
      </c>
      <c r="B25" s="42" t="n">
        <f aca="false">SUM('Work list'!$Q$2:$Q$91)</f>
        <v>19.6451152109292</v>
      </c>
      <c r="C25" s="42" t="n">
        <f aca="false">0</f>
        <v>0</v>
      </c>
      <c r="D25" s="42" t="n">
        <f aca="false">inv_platform_eur_m</f>
        <v>4</v>
      </c>
      <c r="E25" s="42" t="n">
        <f aca="false">inv_change_eur_m</f>
        <v>3</v>
      </c>
      <c r="F25" s="42" t="n">
        <f aca="false">SUM(B25:E25)</f>
        <v>26.6451152109292</v>
      </c>
    </row>
    <row r="26" customFormat="false" ht="15" hidden="false" customHeight="false" outlineLevel="0" collapsed="false">
      <c r="A26" s="0" t="s">
        <v>3793</v>
      </c>
      <c r="B26" s="42" t="n">
        <f aca="false">SUM('Work list'!$R$2:$R$91)</f>
        <v>5.87652972</v>
      </c>
      <c r="C26" s="42" t="n">
        <f aca="false">0</f>
        <v>0</v>
      </c>
      <c r="D26" s="42" t="n">
        <f aca="false">inv_platform_eur_m</f>
        <v>4</v>
      </c>
      <c r="E26" s="42" t="n">
        <f aca="false">inv_change_eur_m</f>
        <v>3</v>
      </c>
      <c r="F26" s="42" t="n">
        <f aca="false">SUM(B26:E26)</f>
        <v>12.87652972</v>
      </c>
    </row>
    <row r="28" customFormat="false" ht="15" hidden="false" customHeight="false" outlineLevel="0" collapsed="false">
      <c r="A28" s="4" t="s">
        <v>3794</v>
      </c>
      <c r="B28" s="4" t="s">
        <v>3795</v>
      </c>
      <c r="C28" s="4" t="s">
        <v>3796</v>
      </c>
      <c r="D28" s="4" t="s">
        <v>3797</v>
      </c>
      <c r="E28" s="4" t="s">
        <v>3798</v>
      </c>
      <c r="F28" s="4" t="s">
        <v>3799</v>
      </c>
      <c r="G28" s="4" t="s">
        <v>3800</v>
      </c>
    </row>
    <row r="29" customFormat="false" ht="15" hidden="false" customHeight="false" outlineLevel="0" collapsed="false">
      <c r="A29" s="0" t="s">
        <v>3801</v>
      </c>
      <c r="B29" s="42" t="n">
        <f aca="false">SUMIF('Work list'!$A$2:$A$91,"ws01 Data integration and the per-car store",'Work list'!$H$2:$H$91)</f>
        <v>1.42763346</v>
      </c>
      <c r="C29" s="42" t="n">
        <f aca="false">SUMIF('Work list'!$A$2:$A$91,"ws01 Data integration and the per-car store",'Work list'!$I$2:$I$91)</f>
        <v>4.08188263776804</v>
      </c>
      <c r="D29" s="42" t="n">
        <f aca="false">SUMIF('Work list'!$A$2:$A$91,"ws01 Data integration and the per-car store",'Work list'!$J$2:$J$91)+SUMIF('Work list'!$A$2:$A$91,"ws01 Data integration and the per-car store",'Work list'!$K$2:$K$91)</f>
        <v>1.36454174573632</v>
      </c>
      <c r="E29" s="0" t="s">
        <v>3802</v>
      </c>
      <c r="F29" s="0" t="str">
        <f aca="false">IF(G29=B29,"in-house",IF(G29=D29,"in-house with AI","integrator"))</f>
        <v>in-house with AI</v>
      </c>
      <c r="G29" s="42" t="n">
        <f aca="false">MIN(B29,D29)</f>
        <v>1.36454174573632</v>
      </c>
    </row>
    <row r="30" customFormat="false" ht="15" hidden="false" customHeight="false" outlineLevel="0" collapsed="false">
      <c r="A30" s="0" t="s">
        <v>3803</v>
      </c>
      <c r="B30" s="42" t="n">
        <f aca="false">SUMIF('Work list'!$A$2:$A$91,"ws02 Entity resolution and VIN linkage",'Work list'!$H$2:$H$91)</f>
        <v>1.09624008</v>
      </c>
      <c r="C30" s="42" t="n">
        <f aca="false">SUMIF('Work list'!$A$2:$A$91,"ws02 Entity resolution and VIN linkage",'Work list'!$I$2:$I$91)</f>
        <v>3.40753977403735</v>
      </c>
      <c r="D30" s="42" t="n">
        <f aca="false">SUMIF('Work list'!$A$2:$A$91,"ws02 Entity resolution and VIN linkage",'Work list'!$J$2:$J$91)+SUMIF('Work list'!$A$2:$A$91,"ws02 Entity resolution and VIN linkage",'Work list'!$K$2:$K$91)</f>
        <v>1.05527733704584</v>
      </c>
      <c r="E30" s="0" t="s">
        <v>3804</v>
      </c>
      <c r="F30" s="0" t="str">
        <f aca="false">IF(G30=B30,"in-house",IF(G30=D30,"in-house with AI","integrator"))</f>
        <v>in-house with AI</v>
      </c>
      <c r="G30" s="42" t="n">
        <f aca="false">MIN(B30:D30)</f>
        <v>1.05527733704584</v>
      </c>
    </row>
    <row r="31" customFormat="false" ht="15" hidden="false" customHeight="false" outlineLevel="0" collapsed="false">
      <c r="A31" s="0" t="s">
        <v>3805</v>
      </c>
      <c r="B31" s="42" t="n">
        <f aca="false">SUMIF('Work list'!$A$2:$A$91,"ws03 Claims controls and the rulebook map",'Work list'!$H$2:$H$91)</f>
        <v>0.82012986</v>
      </c>
      <c r="C31" s="42" t="n">
        <f aca="false">SUMIF('Work list'!$A$2:$A$91,"ws03 Claims controls and the rulebook map",'Work list'!$I$2:$I$91)</f>
        <v>2.54513192429329</v>
      </c>
      <c r="D31" s="42" t="n">
        <f aca="false">SUMIF('Work list'!$A$2:$A$91,"ws03 Claims controls and the rulebook map",'Work list'!$J$2:$J$91)+SUMIF('Work list'!$A$2:$A$91,"ws03 Claims controls and the rulebook map",'Work list'!$K$2:$K$91)</f>
        <v>0.786700294757715</v>
      </c>
      <c r="E31" s="0" t="s">
        <v>3804</v>
      </c>
      <c r="F31" s="0" t="str">
        <f aca="false">IF(G31=B31,"in-house",IF(G31=D31,"in-house with AI","integrator"))</f>
        <v>in-house with AI</v>
      </c>
      <c r="G31" s="42" t="n">
        <f aca="false">MIN(B31:D31)</f>
        <v>0.786700294757715</v>
      </c>
    </row>
    <row r="32" customFormat="false" ht="15" hidden="false" customHeight="false" outlineLevel="0" collapsed="false">
      <c r="A32" s="0" t="s">
        <v>3806</v>
      </c>
      <c r="B32" s="42" t="n">
        <f aca="false">SUMIF('Work list'!$A$2:$A$91,"ws04 Value engine re-mark and level charge",'Work list'!$H$2:$H$91)</f>
        <v>0.9112554</v>
      </c>
      <c r="C32" s="42" t="n">
        <f aca="false">SUMIF('Work list'!$A$2:$A$91,"ws04 Value engine re-mark and level charge",'Work list'!$I$2:$I$91)</f>
        <v>2.91042195065714</v>
      </c>
      <c r="D32" s="42" t="n">
        <f aca="false">SUMIF('Work list'!$A$2:$A$91,"ws04 Value engine re-mark and level charge",'Work list'!$J$2:$J$91)+SUMIF('Work list'!$A$2:$A$91,"ws04 Value engine re-mark and level charge",'Work list'!$K$2:$K$91)</f>
        <v>0.868458160041399</v>
      </c>
      <c r="E32" s="0" t="s">
        <v>3802</v>
      </c>
      <c r="F32" s="0" t="str">
        <f aca="false">IF(G32=B32,"in-house",IF(G32=D32,"in-house with AI","integrator"))</f>
        <v>in-house with AI</v>
      </c>
      <c r="G32" s="42" t="n">
        <f aca="false">MIN(B32,D32)</f>
        <v>0.868458160041399</v>
      </c>
    </row>
    <row r="33" customFormat="false" ht="15" hidden="false" customHeight="false" outlineLevel="0" collapsed="false">
      <c r="A33" s="0" t="s">
        <v>3807</v>
      </c>
      <c r="B33" s="42" t="n">
        <f aca="false">SUMIF('Work list'!$A$2:$A$91,"ws05 Readiness upgrade queue and retention pilot",'Work list'!$H$2:$H$91)</f>
        <v>0.82108098</v>
      </c>
      <c r="C33" s="42" t="n">
        <f aca="false">SUMIF('Work list'!$A$2:$A$91,"ws05 Readiness upgrade queue and retention pilot",'Work list'!$I$2:$I$91)</f>
        <v>2.73351394973484</v>
      </c>
      <c r="D33" s="42" t="n">
        <f aca="false">SUMIF('Work list'!$A$2:$A$91,"ws05 Readiness upgrade queue and retention pilot",'Work list'!$J$2:$J$91)+SUMIF('Work list'!$A$2:$A$91,"ws05 Readiness upgrade queue and retention pilot",'Work list'!$K$2:$K$91)</f>
        <v>0.790449520446857</v>
      </c>
      <c r="E33" s="0" t="s">
        <v>3804</v>
      </c>
      <c r="F33" s="0" t="str">
        <f aca="false">IF(G33=B33,"in-house",IF(G33=D33,"in-house with AI","integrator"))</f>
        <v>in-house with AI</v>
      </c>
      <c r="G33" s="42" t="n">
        <f aca="false">MIN(B33:D33)</f>
        <v>0.790449520446857</v>
      </c>
    </row>
    <row r="34" customFormat="false" ht="15" hidden="false" customHeight="false" outlineLevel="0" collapsed="false">
      <c r="A34" s="0" t="s">
        <v>3808</v>
      </c>
      <c r="B34" s="42" t="n">
        <f aca="false">SUMIF('Work list'!$A$2:$A$91,"ws06 Resale tools pricing desk channel and days",'Work list'!$H$2:$H$91)</f>
        <v>0.5166951</v>
      </c>
      <c r="C34" s="42" t="n">
        <f aca="false">SUMIF('Work list'!$A$2:$A$91,"ws06 Resale tools pricing desk channel and days",'Work list'!$I$2:$I$91)</f>
        <v>1.59597648143878</v>
      </c>
      <c r="D34" s="42" t="n">
        <f aca="false">SUMIF('Work list'!$A$2:$A$91,"ws06 Resale tools pricing desk channel and days",'Work list'!$J$2:$J$91)+SUMIF('Work list'!$A$2:$A$91,"ws06 Resale tools pricing desk channel and days",'Work list'!$K$2:$K$91)</f>
        <v>0.496391114494925</v>
      </c>
      <c r="E34" s="0" t="s">
        <v>3804</v>
      </c>
      <c r="F34" s="0" t="str">
        <f aca="false">IF(G34=B34,"in-house",IF(G34=D34,"in-house with AI","integrator"))</f>
        <v>in-house with AI</v>
      </c>
      <c r="G34" s="42" t="n">
        <f aca="false">MIN(B34:D34)</f>
        <v>0.496391114494925</v>
      </c>
    </row>
    <row r="35" customFormat="false" ht="15" hidden="false" customHeight="false" outlineLevel="0" collapsed="false">
      <c r="A35" s="0" t="s">
        <v>3809</v>
      </c>
      <c r="B35" s="42" t="n">
        <f aca="false">SUMIF('Work list'!$A$2:$A$91,"ws07 Dashboards",'Work list'!$H$2:$H$91)</f>
        <v>0.24300144</v>
      </c>
      <c r="C35" s="42" t="n">
        <f aca="false">SUMIF('Work list'!$A$2:$A$91,"ws07 Dashboards",'Work list'!$I$2:$I$91)</f>
        <v>0.677196218584275</v>
      </c>
      <c r="D35" s="42" t="n">
        <f aca="false">SUMIF('Work list'!$A$2:$A$91,"ws07 Dashboards",'Work list'!$J$2:$J$91)+SUMIF('Work list'!$A$2:$A$91,"ws07 Dashboards",'Work list'!$K$2:$K$91)</f>
        <v>0.232154170535535</v>
      </c>
      <c r="E35" s="0" t="s">
        <v>3804</v>
      </c>
      <c r="F35" s="0" t="str">
        <f aca="false">IF(G35=B35,"in-house",IF(G35=D35,"in-house with AI","integrator"))</f>
        <v>in-house with AI</v>
      </c>
      <c r="G35" s="42" t="n">
        <f aca="false">MIN(B35:D35)</f>
        <v>0.232154170535535</v>
      </c>
    </row>
    <row r="36" customFormat="false" ht="15" hidden="false" customHeight="false" outlineLevel="0" collapsed="false">
      <c r="A36" s="0" t="s">
        <v>3810</v>
      </c>
      <c r="B36" s="42" t="n">
        <f aca="false">SUMIF('Work list'!$A$2:$A$91,"ws08 MLOps and model risk",'Work list'!$H$2:$H$91)</f>
        <v>0.42525252</v>
      </c>
      <c r="C36" s="42" t="n">
        <f aca="false">SUMIF('Work list'!$A$2:$A$91,"ws08 MLOps and model risk",'Work list'!$I$2:$I$91)</f>
        <v>0.785199467286143</v>
      </c>
      <c r="D36" s="42" t="n">
        <f aca="false">SUMIF('Work list'!$A$2:$A$91,"ws08 MLOps and model risk",'Work list'!$J$2:$J$91)+SUMIF('Work list'!$A$2:$A$91,"ws08 MLOps and model risk",'Work list'!$K$2:$K$91)</f>
        <v>0.409237769690785</v>
      </c>
      <c r="E36" s="0" t="s">
        <v>3804</v>
      </c>
      <c r="F36" s="0" t="str">
        <f aca="false">IF(G36=B36,"in-house",IF(G36=D36,"in-house with AI","integrator"))</f>
        <v>in-house with AI</v>
      </c>
      <c r="G36" s="42" t="n">
        <f aca="false">MIN(B36:D36)</f>
        <v>0.409237769690785</v>
      </c>
    </row>
    <row r="37" customFormat="false" ht="15" hidden="false" customHeight="false" outlineLevel="0" collapsed="false">
      <c r="A37" s="0" t="s">
        <v>3811</v>
      </c>
      <c r="B37" s="42" t="n">
        <f aca="false">SUMIF('Work list'!$A$2:$A$91,"ws09 Data rights privacy and governance",'Work list'!$H$2:$H$91)</f>
        <v>0.36450216</v>
      </c>
      <c r="C37" s="42" t="n">
        <f aca="false">SUMIF('Work list'!$A$2:$A$91,"ws09 Data rights privacy and governance",'Work list'!$I$2:$I$91)</f>
        <v>0.449846371284298</v>
      </c>
      <c r="D37" s="42" t="n">
        <f aca="false">SUMIF('Work list'!$A$2:$A$91,"ws09 Data rights privacy and governance",'Work list'!$J$2:$J$91)+SUMIF('Work list'!$A$2:$A$91,"ws09 Data rights privacy and governance",'Work list'!$K$2:$K$91)</f>
        <v>0.3541671983105</v>
      </c>
      <c r="E37" s="0" t="s">
        <v>3804</v>
      </c>
      <c r="F37" s="0" t="str">
        <f aca="false">IF(G37=B37,"in-house",IF(G37=D37,"in-house with AI","integrator"))</f>
        <v>in-house with AI</v>
      </c>
      <c r="G37" s="42" t="n">
        <f aca="false">MIN(B37:D37)</f>
        <v>0.3541671983105</v>
      </c>
    </row>
    <row r="38" customFormat="false" ht="15" hidden="false" customHeight="false" outlineLevel="0" collapsed="false">
      <c r="A38" s="0" t="s">
        <v>3812</v>
      </c>
      <c r="B38" s="42" t="n">
        <f aca="false">SUMIF('Work list'!$A$2:$A$91,"ws10 Change training and pilot operations",'Work list'!$H$2:$H$91)</f>
        <v>0.60972288</v>
      </c>
      <c r="C38" s="42" t="n">
        <f aca="false">SUMIF('Work list'!$A$2:$A$91,"ws10 Change training and pilot operations",'Work list'!$I$2:$I$91)</f>
        <v>2.09246022596265</v>
      </c>
      <c r="D38" s="42" t="n">
        <f aca="false">SUMIF('Work list'!$A$2:$A$91,"ws10 Change training and pilot operations",'Work list'!$J$2:$J$91)+SUMIF('Work list'!$A$2:$A$91,"ws10 Change training and pilot operations",'Work list'!$K$2:$K$91)</f>
        <v>0.592431365450834</v>
      </c>
      <c r="E38" s="0" t="s">
        <v>3804</v>
      </c>
      <c r="F38" s="0" t="str">
        <f aca="false">IF(G38=B38,"in-house",IF(G38=D38,"in-house with AI","integrator"))</f>
        <v>in-house with AI</v>
      </c>
      <c r="G38" s="42" t="n">
        <f aca="false">MIN(B38:D38)</f>
        <v>0.592431365450834</v>
      </c>
    </row>
    <row r="39" customFormat="false" ht="15" hidden="false" customHeight="false" outlineLevel="0" collapsed="false">
      <c r="A39" s="0" t="s">
        <v>3813</v>
      </c>
      <c r="B39" s="42" t="n">
        <f aca="false">SUMIF('Work list'!$A$2:$A$91,"ws11 Programme management and benefit certification",'Work list'!$H$2:$H$91)</f>
        <v>1.33408908</v>
      </c>
      <c r="C39" s="42" t="n">
        <f aca="false">SUMIF('Work list'!$A$2:$A$91,"ws11 Programme management and benefit certification",'Work list'!$I$2:$I$91)</f>
        <v>2.59778849717777</v>
      </c>
      <c r="D39" s="42" t="n">
        <f aca="false">SUMIF('Work list'!$A$2:$A$91,"ws11 Programme management and benefit certification",'Work list'!$J$2:$J$91)+SUMIF('Work list'!$A$2:$A$91,"ws11 Programme management and benefit certification",'Work list'!$K$2:$K$91)</f>
        <v>1.29546664819117</v>
      </c>
      <c r="E39" s="0" t="s">
        <v>3804</v>
      </c>
      <c r="F39" s="0" t="str">
        <f aca="false">IF(G39=B39,"in-house",IF(G39=D39,"in-house with AI","integrator"))</f>
        <v>in-house with AI</v>
      </c>
      <c r="G39" s="42" t="n">
        <f aca="false">MIN(B39:D39)</f>
        <v>1.29546664819117</v>
      </c>
    </row>
    <row r="41" customFormat="false" ht="15" hidden="false" customHeight="false" outlineLevel="0" collapsed="false">
      <c r="A41" s="3" t="s">
        <v>3814</v>
      </c>
    </row>
    <row r="42" customFormat="false" ht="15" hidden="false" customHeight="false" outlineLevel="0" collapsed="false">
      <c r="A42" s="16" t="s">
        <v>3815</v>
      </c>
      <c r="B42" s="43" t="n">
        <f aca="false">100*(SUMIF('Work list'!$G$2:$G$91,"integrator",'Work list'!$I$2:$I$91)/((SUM('Work list'!$H$2:$H$91)-SUMIF('Work list'!$G$2:$G$91,"kept",'Work list'!$H$2:$H$91))/(1+x25_overhead_pct/100))-1)</f>
        <v>259.85364077508</v>
      </c>
      <c r="C42" s="14" t="s">
        <v>3816</v>
      </c>
    </row>
    <row r="43" customFormat="false" ht="15" hidden="false" customHeight="false" outlineLevel="0" collapsed="false">
      <c r="A43" s="16" t="s">
        <v>3817</v>
      </c>
      <c r="B43" s="23" t="n">
        <f aca="false">(SUM('Work list'!$H$2:$H$91)-SUMIF('Work list'!$G$2:$G$91,"kept",'Work list'!$H$2:$H$91))*1000000/(SUMIF('Work list'!$G$2:$G$91,"integrator",'Work list'!$E$2:$E$91)*x25_days_per_fte_year/12)</f>
        <v>575.382987227649</v>
      </c>
      <c r="C43" s="14" t="s">
        <v>3818</v>
      </c>
    </row>
    <row r="44" customFormat="false" ht="15" hidden="false" customHeight="false" outlineLevel="0" collapsed="false">
      <c r="A44" s="16" t="s">
        <v>3819</v>
      </c>
      <c r="B44" s="23" t="n">
        <f aca="false">SUMIF('Work list'!$G$2:$G$91,"integrator",'Work list'!$E$2:$E$91)*x25_days_per_fte_year/12</f>
        <v>13310</v>
      </c>
    </row>
    <row r="46" customFormat="false" ht="15" hidden="false" customHeight="false" outlineLevel="0" collapsed="false">
      <c r="A46" s="3" t="s">
        <v>3820</v>
      </c>
    </row>
    <row r="47" customFormat="false" ht="15" hidden="false" customHeight="false" outlineLevel="0" collapsed="false">
      <c r="A47" s="4" t="s">
        <v>3258</v>
      </c>
      <c r="B47" s="4" t="s">
        <v>3580</v>
      </c>
      <c r="C47" s="4" t="s">
        <v>3561</v>
      </c>
      <c r="D47" s="4" t="s">
        <v>3564</v>
      </c>
      <c r="E47" s="4" t="s">
        <v>3572</v>
      </c>
    </row>
    <row r="48" customFormat="false" ht="15" hidden="false" customHeight="false" outlineLevel="0" collapsed="false">
      <c r="A48" s="0" t="s">
        <v>3821</v>
      </c>
      <c r="B48" s="0" t="n">
        <v>1</v>
      </c>
      <c r="C48" s="0" t="n">
        <v>2</v>
      </c>
      <c r="D48" s="0" t="n">
        <v>3</v>
      </c>
      <c r="E48" s="0" t="n">
        <v>4</v>
      </c>
    </row>
    <row r="49" customFormat="false" ht="15" hidden="false" customHeight="false" outlineLevel="0" collapsed="false">
      <c r="A49" s="0" t="s">
        <v>3687</v>
      </c>
      <c r="B49" s="42" t="n">
        <f aca="false">SUMIF('Work list'!$B$2:$B$91,B$48,'Work list'!$H$2:$H$91)+(inv_platform_eur_m+inv_change_eur_m)/4</f>
        <v>4.03138564</v>
      </c>
      <c r="C49" s="42" t="n">
        <f aca="false">SUMIF('Work list'!$B$2:$B$91,C$48,'Work list'!$H$2:$H$91)+(inv_platform_eur_m+inv_change_eur_m)/4</f>
        <v>4.01197384</v>
      </c>
      <c r="D49" s="42" t="n">
        <f aca="false">SUMIF('Work list'!$B$2:$B$91,D$48,'Work list'!$H$2:$H$91)+(inv_platform_eur_m+inv_change_eur_m)/4</f>
        <v>4.35494878</v>
      </c>
      <c r="E49" s="42" t="n">
        <f aca="false">SUMIF('Work list'!$B$2:$B$91,E$48,'Work list'!$H$2:$H$91)+(inv_platform_eur_m+inv_change_eur_m)/4</f>
        <v>3.1712947</v>
      </c>
    </row>
    <row r="50" customFormat="false" ht="15" hidden="false" customHeight="false" outlineLevel="0" collapsed="false">
      <c r="A50" s="0" t="s">
        <v>3787</v>
      </c>
      <c r="B50" s="42" t="n">
        <f aca="false">SUMIF('Work list'!$B$2:$B$91,B$48,'Work list'!$I$2:$I$91)+(inv_platform_eur_m+inv_change_eur_m)/4</f>
        <v>8.02328719312889</v>
      </c>
      <c r="C50" s="42" t="n">
        <f aca="false">SUMIF('Work list'!$B$2:$B$91,C$48,'Work list'!$I$2:$I$91)+(inv_platform_eur_m+inv_change_eur_m)/4</f>
        <v>8.08966964382753</v>
      </c>
      <c r="D50" s="42" t="n">
        <f aca="false">SUMIF('Work list'!$B$2:$B$91,D$48,'Work list'!$I$2:$I$91)+(inv_platform_eur_m+inv_change_eur_m)/4</f>
        <v>9.08136897516256</v>
      </c>
      <c r="E50" s="42" t="n">
        <f aca="false">SUMIF('Work list'!$B$2:$B$91,E$48,'Work list'!$I$2:$I$91)+(inv_platform_eur_m+inv_change_eur_m)/4</f>
        <v>5.6826316861056</v>
      </c>
    </row>
    <row r="51" customFormat="false" ht="15" hidden="false" customHeight="false" outlineLevel="0" collapsed="false">
      <c r="A51" s="0" t="s">
        <v>3788</v>
      </c>
      <c r="B51" s="42" t="n">
        <f aca="false">SUMIF('Work list'!$B$2:$B$91,B$48,'Work list'!$J$2:$J$91)+SUMIF('Work list'!$B$2:$B$91,B$48,'Work list'!$K$2:$K$91)+(inv_platform_eur_m+inv_change_eur_m)/4</f>
        <v>3.94280091943421</v>
      </c>
      <c r="C51" s="42" t="n">
        <f aca="false">SUMIF('Work list'!$B$2:$B$91,C$48,'Work list'!$J$2:$J$91)+SUMIF('Work list'!$B$2:$B$91,C$48,'Work list'!$K$2:$K$91)+(inv_platform_eur_m+inv_change_eur_m)/4</f>
        <v>3.92510212914987</v>
      </c>
      <c r="D51" s="42" t="n">
        <f aca="false">SUMIF('Work list'!$B$2:$B$91,D$48,'Work list'!$J$2:$J$91)+SUMIF('Work list'!$B$2:$B$91,D$48,'Work list'!$K$2:$K$91)+(inv_platform_eur_m+inv_change_eur_m)/4</f>
        <v>4.25720725975217</v>
      </c>
      <c r="E51" s="42" t="n">
        <f aca="false">SUMIF('Work list'!$B$2:$B$91,E$48,'Work list'!$J$2:$J$91)+SUMIF('Work list'!$B$2:$B$91,E$48,'Work list'!$K$2:$K$91)+(inv_platform_eur_m+inv_change_eur_m)/4</f>
        <v>3.12016501636564</v>
      </c>
    </row>
    <row r="52" customFormat="false" ht="15" hidden="false" customHeight="false" outlineLevel="0" collapsed="false">
      <c r="A52" s="0" t="s">
        <v>3690</v>
      </c>
      <c r="B52" s="42" t="n">
        <f aca="false">SUMIF('Work list'!$B$2:$B$91,B$48,'Work list'!$S$2:$S$91)+(inv_platform_eur_m+inv_change_eur_m)/4</f>
        <v>3.94280091943421</v>
      </c>
      <c r="C52" s="42" t="n">
        <f aca="false">SUMIF('Work list'!$B$2:$B$91,C$48,'Work list'!$S$2:$S$91)+(inv_platform_eur_m+inv_change_eur_m)/4</f>
        <v>3.92510212914987</v>
      </c>
      <c r="D52" s="42" t="n">
        <f aca="false">SUMIF('Work list'!$B$2:$B$91,D$48,'Work list'!$S$2:$S$91)+(inv_platform_eur_m+inv_change_eur_m)/4</f>
        <v>4.25720725975217</v>
      </c>
      <c r="E52" s="42" t="n">
        <f aca="false">SUMIF('Work list'!$B$2:$B$91,E$48,'Work list'!$S$2:$S$91)+(inv_platform_eur_m+inv_change_eur_m)/4</f>
        <v>3.12016501636564</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7"/>
    <col collapsed="false" customWidth="true" hidden="false" outlineLevel="0" max="3" min="3" style="0" width="18"/>
    <col collapsed="false" customWidth="true" hidden="false" outlineLevel="0" max="5" min="4" style="0" width="10"/>
    <col collapsed="false" customWidth="true" hidden="false" outlineLevel="0" max="6" min="6" style="0" width="15"/>
    <col collapsed="false" customWidth="true" hidden="false" outlineLevel="0" max="19" min="7" style="0" width="11"/>
    <col collapsed="false" customWidth="true" hidden="false" outlineLevel="0" max="20" min="20" style="0" width="80"/>
  </cols>
  <sheetData>
    <row r="1" customFormat="false" ht="39.55" hidden="false" customHeight="false" outlineLevel="0" collapsed="false">
      <c r="A1" s="4" t="s">
        <v>3794</v>
      </c>
      <c r="B1" s="4" t="s">
        <v>3821</v>
      </c>
      <c r="C1" s="4" t="s">
        <v>3758</v>
      </c>
      <c r="D1" s="4" t="s">
        <v>3822</v>
      </c>
      <c r="E1" s="4" t="s">
        <v>3823</v>
      </c>
      <c r="F1" s="4" t="s">
        <v>3824</v>
      </c>
      <c r="G1" s="4" t="s">
        <v>3825</v>
      </c>
      <c r="H1" s="4" t="s">
        <v>3795</v>
      </c>
      <c r="I1" s="4" t="s">
        <v>3796</v>
      </c>
      <c r="J1" s="4" t="s">
        <v>3826</v>
      </c>
      <c r="K1" s="4" t="s">
        <v>3827</v>
      </c>
      <c r="L1" s="4" t="s">
        <v>3828</v>
      </c>
      <c r="M1" s="4" t="s">
        <v>3829</v>
      </c>
      <c r="N1" s="4" t="s">
        <v>3830</v>
      </c>
      <c r="O1" s="4" t="s">
        <v>3831</v>
      </c>
      <c r="P1" s="4" t="s">
        <v>3832</v>
      </c>
      <c r="Q1" s="4" t="s">
        <v>3833</v>
      </c>
      <c r="R1" s="4" t="s">
        <v>3834</v>
      </c>
      <c r="S1" s="4" t="s">
        <v>3800</v>
      </c>
      <c r="T1" s="4" t="s">
        <v>3835</v>
      </c>
    </row>
    <row r="2" customFormat="false" ht="15" hidden="false" customHeight="false" outlineLevel="0" collapsed="false">
      <c r="A2" s="0" t="s">
        <v>3801</v>
      </c>
      <c r="B2" s="0" t="n">
        <v>1</v>
      </c>
      <c r="C2" s="0" t="s">
        <v>3768</v>
      </c>
      <c r="D2" s="0" t="n">
        <v>6</v>
      </c>
      <c r="E2" s="0" t="n">
        <f aca="false">D2*x21_phase_months</f>
        <v>36</v>
      </c>
      <c r="F2" s="0" t="s">
        <v>3836</v>
      </c>
      <c r="G2" s="0" t="s">
        <v>3837</v>
      </c>
      <c r="H2" s="44" t="n">
        <f aca="false">E2*'Programme cost'!$C$5/1000000</f>
        <v>0.36450216</v>
      </c>
      <c r="I2" s="44" t="n">
        <f aca="false">E2*'Programme cost'!$F$5/1000000</f>
        <v>0.981554069633387</v>
      </c>
      <c r="J2" s="44" t="n">
        <f aca="false">E2*(1-'Programme cost'!$G$5)*'Programme cost'!$C$5/1000000</f>
        <v>0.345652587639594</v>
      </c>
      <c r="K2" s="44" t="n">
        <f aca="false">E2*(1-'Programme cost'!$G$5)*'Programme cost'!$J$5/1000000</f>
        <v>0.00173067637696571</v>
      </c>
      <c r="L2" s="44" t="n">
        <f aca="false">E2*(1-'Programme cost'!$H$5)*'Programme cost'!$C$5/1000000</f>
        <v>0.31365410868</v>
      </c>
      <c r="M2" s="44" t="n">
        <f aca="false">E2*(1-'Programme cost'!$H$5)*'Programme cost'!$J$5/1000000</f>
        <v>0.00157046056023372</v>
      </c>
      <c r="N2" s="44" t="n">
        <f aca="false">E2*(1-'Programme cost'!$I$5)*'Programme cost'!$C$5/1000000</f>
        <v>0.3818160126</v>
      </c>
      <c r="O2" s="44" t="n">
        <f aca="false">E2*(1-'Programme cost'!$I$5)*'Programme cost'!$J$5/1000000</f>
        <v>0.00191174600446812</v>
      </c>
      <c r="P2" s="44" t="n">
        <f aca="false">E2*consip_svi_eur_team_day*x25_days_per_fte_year/12/1000000</f>
        <v>0.1089</v>
      </c>
      <c r="Q2" s="44" t="n">
        <f aca="false">E2*dl_gc14_off_dev_l4_gbp_day/x25_gbp_per_eur*x25_days_per_fte_year/12/1000000</f>
        <v>0.441318884021213</v>
      </c>
      <c r="R2" s="44" t="n">
        <f aca="false">E2*'Programme cost'!$E$5/1000000</f>
        <v>0.13851</v>
      </c>
      <c r="S2" s="44" t="n">
        <f aca="false">IF('Programme cost'!$F$29="in-house",H2,IF('Programme cost'!$F$29="integrator",I2,J2+K2))</f>
        <v>0.34738326401656</v>
      </c>
      <c r="T2" s="0" t="s">
        <v>3838</v>
      </c>
    </row>
    <row r="3" customFormat="false" ht="15" hidden="false" customHeight="false" outlineLevel="0" collapsed="false">
      <c r="A3" s="0" t="s">
        <v>3801</v>
      </c>
      <c r="B3" s="0" t="n">
        <v>1</v>
      </c>
      <c r="C3" s="0" t="s">
        <v>3771</v>
      </c>
      <c r="D3" s="0" t="n">
        <v>1</v>
      </c>
      <c r="E3" s="0" t="n">
        <f aca="false">D3*x21_phase_months</f>
        <v>6</v>
      </c>
      <c r="F3" s="0" t="s">
        <v>3836</v>
      </c>
      <c r="G3" s="0" t="s">
        <v>3837</v>
      </c>
      <c r="H3" s="44" t="n">
        <f aca="false">E3*'Programme cost'!$C$7/1000000</f>
        <v>0.06075036</v>
      </c>
      <c r="I3" s="44" t="n">
        <f aca="false">E3*'Programme cost'!$F$7/1000000</f>
        <v>0.231438782568596</v>
      </c>
      <c r="J3" s="44" t="n">
        <f aca="false">E3*(1-'Programme cost'!$G$7)*'Programme cost'!$C$7/1000000</f>
        <v>0.0589278492</v>
      </c>
      <c r="K3" s="44" t="n">
        <f aca="false">E3*(1-'Programme cost'!$G$7)*'Programme cost'!$J$7/1000000</f>
        <v>0.000100017185083348</v>
      </c>
      <c r="L3" s="44" t="n">
        <f aca="false">E3*(1-'Programme cost'!$H$7)*'Programme cost'!$C$7/1000000</f>
        <v>0.0589278492</v>
      </c>
      <c r="M3" s="44" t="n">
        <f aca="false">E3*(1-'Programme cost'!$H$7)*'Programme cost'!$J$7/1000000</f>
        <v>0.000100017185083348</v>
      </c>
      <c r="N3" s="44" t="n">
        <f aca="false">E3*(1-'Programme cost'!$I$7)*'Programme cost'!$C$7/1000000</f>
        <v>0.06075036</v>
      </c>
      <c r="O3" s="44" t="n">
        <f aca="false">E3*(1-'Programme cost'!$I$7)*'Programme cost'!$J$7/1000000</f>
        <v>0.000103110500085925</v>
      </c>
      <c r="P3" s="44" t="n">
        <f aca="false">E3*consip_svi_eur_team_day*x25_days_per_fte_year/12/1000000</f>
        <v>0.01815</v>
      </c>
      <c r="Q3" s="44" t="n">
        <f aca="false">I3</f>
        <v>0.231438782568596</v>
      </c>
      <c r="R3" s="44" t="n">
        <f aca="false">H3</f>
        <v>0.06075036</v>
      </c>
      <c r="S3" s="44" t="n">
        <f aca="false">IF('Programme cost'!$F$29="in-house",H3,IF('Programme cost'!$F$29="integrator",I3,J3+K3))</f>
        <v>0.0590278663850834</v>
      </c>
      <c r="T3" s="0" t="s">
        <v>3839</v>
      </c>
    </row>
    <row r="4" customFormat="false" ht="15" hidden="false" customHeight="false" outlineLevel="0" collapsed="false">
      <c r="A4" s="0" t="s">
        <v>3801</v>
      </c>
      <c r="B4" s="0" t="n">
        <v>2</v>
      </c>
      <c r="C4" s="0" t="s">
        <v>3768</v>
      </c>
      <c r="D4" s="0" t="n">
        <v>5</v>
      </c>
      <c r="E4" s="0" t="n">
        <f aca="false">D4*x21_phase_months</f>
        <v>30</v>
      </c>
      <c r="F4" s="0" t="s">
        <v>3836</v>
      </c>
      <c r="G4" s="0" t="s">
        <v>3837</v>
      </c>
      <c r="H4" s="44" t="n">
        <f aca="false">E4*'Programme cost'!$C$5/1000000</f>
        <v>0.3037518</v>
      </c>
      <c r="I4" s="44" t="n">
        <f aca="false">E4*'Programme cost'!$F$5/1000000</f>
        <v>0.817961724694489</v>
      </c>
      <c r="J4" s="44" t="n">
        <f aca="false">E4*(1-'Programme cost'!$G$5)*'Programme cost'!$C$5/1000000</f>
        <v>0.288043823032995</v>
      </c>
      <c r="K4" s="44" t="n">
        <f aca="false">E4*(1-'Programme cost'!$G$5)*'Programme cost'!$J$5/1000000</f>
        <v>0.00144223031413809</v>
      </c>
      <c r="L4" s="44" t="n">
        <f aca="false">E4*(1-'Programme cost'!$H$5)*'Programme cost'!$C$5/1000000</f>
        <v>0.2613784239</v>
      </c>
      <c r="M4" s="44" t="n">
        <f aca="false">E4*(1-'Programme cost'!$H$5)*'Programme cost'!$J$5/1000000</f>
        <v>0.0013087171335281</v>
      </c>
      <c r="N4" s="44" t="n">
        <f aca="false">E4*(1-'Programme cost'!$I$5)*'Programme cost'!$C$5/1000000</f>
        <v>0.3181800105</v>
      </c>
      <c r="O4" s="44" t="n">
        <f aca="false">E4*(1-'Programme cost'!$I$5)*'Programme cost'!$J$5/1000000</f>
        <v>0.0015931216703901</v>
      </c>
      <c r="P4" s="44" t="n">
        <f aca="false">E4*consip_svi_eur_team_day*x25_days_per_fte_year/12/1000000</f>
        <v>0.09075</v>
      </c>
      <c r="Q4" s="44" t="n">
        <f aca="false">E4*dl_gc14_off_dev_l4_gbp_day/x25_gbp_per_eur*x25_days_per_fte_year/12/1000000</f>
        <v>0.367765736684344</v>
      </c>
      <c r="R4" s="44" t="n">
        <f aca="false">E4*'Programme cost'!$E$5/1000000</f>
        <v>0.115425</v>
      </c>
      <c r="S4" s="44" t="n">
        <f aca="false">IF('Programme cost'!$F$29="in-house",H4,IF('Programme cost'!$F$29="integrator",I4,J4+K4))</f>
        <v>0.289486053347133</v>
      </c>
      <c r="T4" s="0" t="s">
        <v>3840</v>
      </c>
    </row>
    <row r="5" customFormat="false" ht="15" hidden="false" customHeight="false" outlineLevel="0" collapsed="false">
      <c r="A5" s="0" t="s">
        <v>3801</v>
      </c>
      <c r="B5" s="0" t="n">
        <v>2</v>
      </c>
      <c r="C5" s="0" t="s">
        <v>3771</v>
      </c>
      <c r="D5" s="0" t="n">
        <v>1</v>
      </c>
      <c r="E5" s="0" t="n">
        <f aca="false">D5*x21_phase_months</f>
        <v>6</v>
      </c>
      <c r="F5" s="0" t="s">
        <v>3836</v>
      </c>
      <c r="G5" s="0" t="s">
        <v>3837</v>
      </c>
      <c r="H5" s="44" t="n">
        <f aca="false">E5*'Programme cost'!$C$7/1000000</f>
        <v>0.06075036</v>
      </c>
      <c r="I5" s="44" t="n">
        <f aca="false">E5*'Programme cost'!$F$7/1000000</f>
        <v>0.231438782568596</v>
      </c>
      <c r="J5" s="44" t="n">
        <f aca="false">E5*(1-'Programme cost'!$G$7)*'Programme cost'!$C$7/1000000</f>
        <v>0.0589278492</v>
      </c>
      <c r="K5" s="44" t="n">
        <f aca="false">E5*(1-'Programme cost'!$G$7)*'Programme cost'!$J$7/1000000</f>
        <v>0.000100017185083348</v>
      </c>
      <c r="L5" s="44" t="n">
        <f aca="false">E5*(1-'Programme cost'!$H$7)*'Programme cost'!$C$7/1000000</f>
        <v>0.0589278492</v>
      </c>
      <c r="M5" s="44" t="n">
        <f aca="false">E5*(1-'Programme cost'!$H$7)*'Programme cost'!$J$7/1000000</f>
        <v>0.000100017185083348</v>
      </c>
      <c r="N5" s="44" t="n">
        <f aca="false">E5*(1-'Programme cost'!$I$7)*'Programme cost'!$C$7/1000000</f>
        <v>0.06075036</v>
      </c>
      <c r="O5" s="44" t="n">
        <f aca="false">E5*(1-'Programme cost'!$I$7)*'Programme cost'!$J$7/1000000</f>
        <v>0.000103110500085925</v>
      </c>
      <c r="P5" s="44" t="n">
        <f aca="false">E5*consip_svi_eur_team_day*x25_days_per_fte_year/12/1000000</f>
        <v>0.01815</v>
      </c>
      <c r="Q5" s="44" t="n">
        <f aca="false">I5</f>
        <v>0.231438782568596</v>
      </c>
      <c r="R5" s="44" t="n">
        <f aca="false">H5</f>
        <v>0.06075036</v>
      </c>
      <c r="S5" s="44" t="n">
        <f aca="false">IF('Programme cost'!$F$29="in-house",H5,IF('Programme cost'!$F$29="integrator",I5,J5+K5))</f>
        <v>0.0590278663850834</v>
      </c>
      <c r="T5" s="0" t="s">
        <v>3841</v>
      </c>
    </row>
    <row r="6" customFormat="false" ht="15" hidden="false" customHeight="false" outlineLevel="0" collapsed="false">
      <c r="A6" s="0" t="s">
        <v>3801</v>
      </c>
      <c r="B6" s="0" t="n">
        <v>3</v>
      </c>
      <c r="C6" s="0" t="s">
        <v>3768</v>
      </c>
      <c r="D6" s="0" t="n">
        <v>6</v>
      </c>
      <c r="E6" s="0" t="n">
        <f aca="false">D6*x21_phase_months</f>
        <v>36</v>
      </c>
      <c r="F6" s="0" t="s">
        <v>3836</v>
      </c>
      <c r="G6" s="0" t="s">
        <v>3837</v>
      </c>
      <c r="H6" s="44" t="n">
        <f aca="false">E6*'Programme cost'!$C$5/1000000</f>
        <v>0.36450216</v>
      </c>
      <c r="I6" s="44" t="n">
        <f aca="false">E6*'Programme cost'!$F$5/1000000</f>
        <v>0.981554069633387</v>
      </c>
      <c r="J6" s="44" t="n">
        <f aca="false">E6*(1-'Programme cost'!$G$5)*'Programme cost'!$C$5/1000000</f>
        <v>0.345652587639594</v>
      </c>
      <c r="K6" s="44" t="n">
        <f aca="false">E6*(1-'Programme cost'!$G$5)*'Programme cost'!$J$5/1000000</f>
        <v>0.00173067637696571</v>
      </c>
      <c r="L6" s="44" t="n">
        <f aca="false">E6*(1-'Programme cost'!$H$5)*'Programme cost'!$C$5/1000000</f>
        <v>0.31365410868</v>
      </c>
      <c r="M6" s="44" t="n">
        <f aca="false">E6*(1-'Programme cost'!$H$5)*'Programme cost'!$J$5/1000000</f>
        <v>0.00157046056023372</v>
      </c>
      <c r="N6" s="44" t="n">
        <f aca="false">E6*(1-'Programme cost'!$I$5)*'Programme cost'!$C$5/1000000</f>
        <v>0.3818160126</v>
      </c>
      <c r="O6" s="44" t="n">
        <f aca="false">E6*(1-'Programme cost'!$I$5)*'Programme cost'!$J$5/1000000</f>
        <v>0.00191174600446812</v>
      </c>
      <c r="P6" s="44" t="n">
        <f aca="false">E6*consip_svi_eur_team_day*x25_days_per_fte_year/12/1000000</f>
        <v>0.1089</v>
      </c>
      <c r="Q6" s="44" t="n">
        <f aca="false">E6*dl_gc14_off_dev_l4_gbp_day/x25_gbp_per_eur*x25_days_per_fte_year/12/1000000</f>
        <v>0.441318884021213</v>
      </c>
      <c r="R6" s="44" t="n">
        <f aca="false">E6*'Programme cost'!$E$5/1000000</f>
        <v>0.13851</v>
      </c>
      <c r="S6" s="44" t="n">
        <f aca="false">IF('Programme cost'!$F$29="in-house",H6,IF('Programme cost'!$F$29="integrator",I6,J6+K6))</f>
        <v>0.34738326401656</v>
      </c>
      <c r="T6" s="0" t="s">
        <v>3842</v>
      </c>
    </row>
    <row r="7" customFormat="false" ht="15" hidden="false" customHeight="false" outlineLevel="0" collapsed="false">
      <c r="A7" s="0" t="s">
        <v>3801</v>
      </c>
      <c r="B7" s="0" t="n">
        <v>3</v>
      </c>
      <c r="C7" s="0" t="s">
        <v>3771</v>
      </c>
      <c r="D7" s="0" t="n">
        <v>1</v>
      </c>
      <c r="E7" s="0" t="n">
        <f aca="false">D7*x21_phase_months</f>
        <v>6</v>
      </c>
      <c r="F7" s="0" t="s">
        <v>3836</v>
      </c>
      <c r="G7" s="0" t="s">
        <v>3837</v>
      </c>
      <c r="H7" s="44" t="n">
        <f aca="false">E7*'Programme cost'!$C$7/1000000</f>
        <v>0.06075036</v>
      </c>
      <c r="I7" s="44" t="n">
        <f aca="false">E7*'Programme cost'!$F$7/1000000</f>
        <v>0.231438782568596</v>
      </c>
      <c r="J7" s="44" t="n">
        <f aca="false">E7*(1-'Programme cost'!$G$7)*'Programme cost'!$C$7/1000000</f>
        <v>0.0589278492</v>
      </c>
      <c r="K7" s="44" t="n">
        <f aca="false">E7*(1-'Programme cost'!$G$7)*'Programme cost'!$J$7/1000000</f>
        <v>0.000100017185083348</v>
      </c>
      <c r="L7" s="44" t="n">
        <f aca="false">E7*(1-'Programme cost'!$H$7)*'Programme cost'!$C$7/1000000</f>
        <v>0.0589278492</v>
      </c>
      <c r="M7" s="44" t="n">
        <f aca="false">E7*(1-'Programme cost'!$H$7)*'Programme cost'!$J$7/1000000</f>
        <v>0.000100017185083348</v>
      </c>
      <c r="N7" s="44" t="n">
        <f aca="false">E7*(1-'Programme cost'!$I$7)*'Programme cost'!$C$7/1000000</f>
        <v>0.06075036</v>
      </c>
      <c r="O7" s="44" t="n">
        <f aca="false">E7*(1-'Programme cost'!$I$7)*'Programme cost'!$J$7/1000000</f>
        <v>0.000103110500085925</v>
      </c>
      <c r="P7" s="44" t="n">
        <f aca="false">E7*consip_svi_eur_team_day*x25_days_per_fte_year/12/1000000</f>
        <v>0.01815</v>
      </c>
      <c r="Q7" s="44" t="n">
        <f aca="false">I7</f>
        <v>0.231438782568596</v>
      </c>
      <c r="R7" s="44" t="n">
        <f aca="false">H7</f>
        <v>0.06075036</v>
      </c>
      <c r="S7" s="44" t="n">
        <f aca="false">IF('Programme cost'!$F$29="in-house",H7,IF('Programme cost'!$F$29="integrator",I7,J7+K7))</f>
        <v>0.0590278663850834</v>
      </c>
      <c r="T7" s="0" t="s">
        <v>3843</v>
      </c>
    </row>
    <row r="8" customFormat="false" ht="15" hidden="false" customHeight="false" outlineLevel="0" collapsed="false">
      <c r="A8" s="0" t="s">
        <v>3801</v>
      </c>
      <c r="B8" s="0" t="n">
        <v>4</v>
      </c>
      <c r="C8" s="0" t="s">
        <v>3768</v>
      </c>
      <c r="D8" s="0" t="n">
        <v>3</v>
      </c>
      <c r="E8" s="0" t="n">
        <f aca="false">D8*x21_phase_months</f>
        <v>18</v>
      </c>
      <c r="F8" s="0" t="s">
        <v>3836</v>
      </c>
      <c r="G8" s="0" t="s">
        <v>3837</v>
      </c>
      <c r="H8" s="44" t="n">
        <f aca="false">E8*'Programme cost'!$C$5/1000000</f>
        <v>0.18225108</v>
      </c>
      <c r="I8" s="44" t="n">
        <f aca="false">E8*'Programme cost'!$F$5/1000000</f>
        <v>0.490777034816694</v>
      </c>
      <c r="J8" s="44" t="n">
        <f aca="false">E8*(1-'Programme cost'!$G$5)*'Programme cost'!$C$5/1000000</f>
        <v>0.172826293819797</v>
      </c>
      <c r="K8" s="44" t="n">
        <f aca="false">E8*(1-'Programme cost'!$G$5)*'Programme cost'!$J$5/1000000</f>
        <v>0.000865338188482854</v>
      </c>
      <c r="L8" s="44" t="n">
        <f aca="false">E8*(1-'Programme cost'!$H$5)*'Programme cost'!$C$5/1000000</f>
        <v>0.15682705434</v>
      </c>
      <c r="M8" s="44" t="n">
        <f aca="false">E8*(1-'Programme cost'!$H$5)*'Programme cost'!$J$5/1000000</f>
        <v>0.000785230280116859</v>
      </c>
      <c r="N8" s="44" t="n">
        <f aca="false">E8*(1-'Programme cost'!$I$5)*'Programme cost'!$C$5/1000000</f>
        <v>0.1909080063</v>
      </c>
      <c r="O8" s="44" t="n">
        <f aca="false">E8*(1-'Programme cost'!$I$5)*'Programme cost'!$J$5/1000000</f>
        <v>0.000955873002234061</v>
      </c>
      <c r="P8" s="44" t="n">
        <f aca="false">E8*consip_svi_eur_team_day*x25_days_per_fte_year/12/1000000</f>
        <v>0.05445</v>
      </c>
      <c r="Q8" s="44" t="n">
        <f aca="false">E8*dl_gc14_off_dev_l4_gbp_day/x25_gbp_per_eur*x25_days_per_fte_year/12/1000000</f>
        <v>0.220659442010606</v>
      </c>
      <c r="R8" s="44" t="n">
        <f aca="false">E8*'Programme cost'!$E$5/1000000</f>
        <v>0.069255</v>
      </c>
      <c r="S8" s="44" t="n">
        <f aca="false">IF('Programme cost'!$F$29="in-house",H8,IF('Programme cost'!$F$29="integrator",I8,J8+K8))</f>
        <v>0.17369163200828</v>
      </c>
      <c r="T8" s="0" t="s">
        <v>3844</v>
      </c>
    </row>
    <row r="9" customFormat="false" ht="15" hidden="false" customHeight="false" outlineLevel="0" collapsed="false">
      <c r="A9" s="0" t="s">
        <v>3801</v>
      </c>
      <c r="B9" s="0" t="n">
        <v>4</v>
      </c>
      <c r="C9" s="0" t="s">
        <v>3771</v>
      </c>
      <c r="D9" s="0" t="n">
        <v>0.5</v>
      </c>
      <c r="E9" s="0" t="n">
        <f aca="false">D9*x21_phase_months</f>
        <v>3</v>
      </c>
      <c r="F9" s="0" t="s">
        <v>3836</v>
      </c>
      <c r="G9" s="0" t="s">
        <v>3837</v>
      </c>
      <c r="H9" s="44" t="n">
        <f aca="false">E9*'Programme cost'!$C$7/1000000</f>
        <v>0.03037518</v>
      </c>
      <c r="I9" s="44" t="n">
        <f aca="false">E9*'Programme cost'!$F$7/1000000</f>
        <v>0.115719391284298</v>
      </c>
      <c r="J9" s="44" t="n">
        <f aca="false">E9*(1-'Programme cost'!$G$7)*'Programme cost'!$C$7/1000000</f>
        <v>0.0294639246</v>
      </c>
      <c r="K9" s="44" t="n">
        <f aca="false">E9*(1-'Programme cost'!$G$7)*'Programme cost'!$J$7/1000000</f>
        <v>5.00085925416738E-005</v>
      </c>
      <c r="L9" s="44" t="n">
        <f aca="false">E9*(1-'Programme cost'!$H$7)*'Programme cost'!$C$7/1000000</f>
        <v>0.0294639246</v>
      </c>
      <c r="M9" s="44" t="n">
        <f aca="false">E9*(1-'Programme cost'!$H$7)*'Programme cost'!$J$7/1000000</f>
        <v>5.00085925416738E-005</v>
      </c>
      <c r="N9" s="44" t="n">
        <f aca="false">E9*(1-'Programme cost'!$I$7)*'Programme cost'!$C$7/1000000</f>
        <v>0.03037518</v>
      </c>
      <c r="O9" s="44" t="n">
        <f aca="false">E9*(1-'Programme cost'!$I$7)*'Programme cost'!$J$7/1000000</f>
        <v>5.15552500429627E-005</v>
      </c>
      <c r="P9" s="44" t="n">
        <f aca="false">E9*consip_svi_eur_team_day*x25_days_per_fte_year/12/1000000</f>
        <v>0.009075</v>
      </c>
      <c r="Q9" s="44" t="n">
        <f aca="false">I9</f>
        <v>0.115719391284298</v>
      </c>
      <c r="R9" s="44" t="n">
        <f aca="false">H9</f>
        <v>0.03037518</v>
      </c>
      <c r="S9" s="44" t="n">
        <f aca="false">IF('Programme cost'!$F$29="in-house",H9,IF('Programme cost'!$F$29="integrator",I9,J9+K9))</f>
        <v>0.0295139331925417</v>
      </c>
      <c r="T9" s="0" t="s">
        <v>3845</v>
      </c>
    </row>
    <row r="10" customFormat="false" ht="15" hidden="false" customHeight="false" outlineLevel="0" collapsed="false">
      <c r="A10" s="0" t="s">
        <v>3803</v>
      </c>
      <c r="B10" s="0" t="n">
        <v>1</v>
      </c>
      <c r="C10" s="0" t="s">
        <v>3770</v>
      </c>
      <c r="D10" s="0" t="n">
        <v>2</v>
      </c>
      <c r="E10" s="0" t="n">
        <f aca="false">D10*x21_phase_months</f>
        <v>12</v>
      </c>
      <c r="F10" s="0" t="s">
        <v>3836</v>
      </c>
      <c r="G10" s="0" t="s">
        <v>3837</v>
      </c>
      <c r="H10" s="44" t="n">
        <f aca="false">E10*'Programme cost'!$C$6/1000000</f>
        <v>0.12150072</v>
      </c>
      <c r="I10" s="44" t="n">
        <f aca="false">E10*'Programme cost'!$F$6/1000000</f>
        <v>0.418492045192529</v>
      </c>
      <c r="J10" s="44" t="n">
        <f aca="false">E10*(1-'Programme cost'!$G$6)*'Programme cost'!$C$6/1000000</f>
        <v>0.115217529213198</v>
      </c>
      <c r="K10" s="44" t="n">
        <f aca="false">E10*(1-'Programme cost'!$G$6)*'Programme cost'!$J$6/1000000</f>
        <v>0.000576892125655236</v>
      </c>
      <c r="L10" s="44" t="n">
        <f aca="false">E10*(1-'Programme cost'!$H$6)*'Programme cost'!$C$6/1000000</f>
        <v>0.10455136956</v>
      </c>
      <c r="M10" s="44" t="n">
        <f aca="false">E10*(1-'Programme cost'!$H$6)*'Programme cost'!$J$6/1000000</f>
        <v>0.000523486853411239</v>
      </c>
      <c r="N10" s="44" t="n">
        <f aca="false">E10*(1-'Programme cost'!$I$6)*'Programme cost'!$C$6/1000000</f>
        <v>0.1272720042</v>
      </c>
      <c r="O10" s="44" t="n">
        <f aca="false">E10*(1-'Programme cost'!$I$6)*'Programme cost'!$J$6/1000000</f>
        <v>0.000637248668156041</v>
      </c>
      <c r="P10" s="44" t="n">
        <f aca="false">E10*consip_svi_eur_team_day*x25_days_per_fte_year/12/1000000</f>
        <v>0.0363</v>
      </c>
      <c r="Q10" s="44" t="n">
        <f aca="false">I10</f>
        <v>0.418492045192529</v>
      </c>
      <c r="R10" s="44" t="n">
        <f aca="false">E10*'Programme cost'!$E$6/1000000</f>
        <v>0.04617</v>
      </c>
      <c r="S10" s="44" t="n">
        <f aca="false">IF('Programme cost'!$F$30="in-house",H10,IF('Programme cost'!$F$30="integrator",I10,J10+K10))</f>
        <v>0.115794421338853</v>
      </c>
      <c r="T10" s="0" t="s">
        <v>3846</v>
      </c>
    </row>
    <row r="11" customFormat="false" ht="15" hidden="false" customHeight="false" outlineLevel="0" collapsed="false">
      <c r="A11" s="0" t="s">
        <v>3803</v>
      </c>
      <c r="B11" s="0" t="n">
        <v>1</v>
      </c>
      <c r="C11" s="0" t="s">
        <v>3768</v>
      </c>
      <c r="D11" s="0" t="n">
        <v>2</v>
      </c>
      <c r="E11" s="0" t="n">
        <f aca="false">D11*x21_phase_months</f>
        <v>12</v>
      </c>
      <c r="F11" s="0" t="s">
        <v>3836</v>
      </c>
      <c r="G11" s="0" t="s">
        <v>3837</v>
      </c>
      <c r="H11" s="44" t="n">
        <f aca="false">E11*'Programme cost'!$C$5/1000000</f>
        <v>0.12150072</v>
      </c>
      <c r="I11" s="44" t="n">
        <f aca="false">E11*'Programme cost'!$F$5/1000000</f>
        <v>0.327184689877796</v>
      </c>
      <c r="J11" s="44" t="n">
        <f aca="false">E11*(1-'Programme cost'!$G$5)*'Programme cost'!$C$5/1000000</f>
        <v>0.115217529213198</v>
      </c>
      <c r="K11" s="44" t="n">
        <f aca="false">E11*(1-'Programme cost'!$G$5)*'Programme cost'!$J$5/1000000</f>
        <v>0.000576892125655236</v>
      </c>
      <c r="L11" s="44" t="n">
        <f aca="false">E11*(1-'Programme cost'!$H$5)*'Programme cost'!$C$5/1000000</f>
        <v>0.10455136956</v>
      </c>
      <c r="M11" s="44" t="n">
        <f aca="false">E11*(1-'Programme cost'!$H$5)*'Programme cost'!$J$5/1000000</f>
        <v>0.000523486853411239</v>
      </c>
      <c r="N11" s="44" t="n">
        <f aca="false">E11*(1-'Programme cost'!$I$5)*'Programme cost'!$C$5/1000000</f>
        <v>0.1272720042</v>
      </c>
      <c r="O11" s="44" t="n">
        <f aca="false">E11*(1-'Programme cost'!$I$5)*'Programme cost'!$J$5/1000000</f>
        <v>0.000637248668156041</v>
      </c>
      <c r="P11" s="44" t="n">
        <f aca="false">E11*consip_svi_eur_team_day*x25_days_per_fte_year/12/1000000</f>
        <v>0.0363</v>
      </c>
      <c r="Q11" s="44" t="n">
        <f aca="false">E11*dl_gc14_off_dev_l4_gbp_day/x25_gbp_per_eur*x25_days_per_fte_year/12/1000000</f>
        <v>0.147106294673738</v>
      </c>
      <c r="R11" s="44" t="n">
        <f aca="false">E11*'Programme cost'!$E$5/1000000</f>
        <v>0.04617</v>
      </c>
      <c r="S11" s="44" t="n">
        <f aca="false">IF('Programme cost'!$F$30="in-house",H11,IF('Programme cost'!$F$30="integrator",I11,J11+K11))</f>
        <v>0.115794421338853</v>
      </c>
      <c r="T11" s="0" t="s">
        <v>3847</v>
      </c>
    </row>
    <row r="12" customFormat="false" ht="15" hidden="false" customHeight="false" outlineLevel="0" collapsed="false">
      <c r="A12" s="0" t="s">
        <v>3803</v>
      </c>
      <c r="B12" s="0" t="n">
        <v>1</v>
      </c>
      <c r="C12" s="0" t="s">
        <v>3772</v>
      </c>
      <c r="D12" s="0" t="n">
        <v>1</v>
      </c>
      <c r="E12" s="0" t="n">
        <f aca="false">D12*x21_phase_months</f>
        <v>6</v>
      </c>
      <c r="F12" s="0" t="s">
        <v>3836</v>
      </c>
      <c r="G12" s="0" t="s">
        <v>3837</v>
      </c>
      <c r="H12" s="44" t="n">
        <f aca="false">E12*'Programme cost'!$C$8/1000000</f>
        <v>0.06075036</v>
      </c>
      <c r="I12" s="44" t="n">
        <f aca="false">E12*'Programme cost'!$F$8/1000000</f>
        <v>0.209246022596265</v>
      </c>
      <c r="J12" s="44" t="n">
        <f aca="false">E12*(1-'Programme cost'!$G$8)*'Programme cost'!$C$8/1000000</f>
        <v>0.0589278492</v>
      </c>
      <c r="K12" s="44" t="n">
        <f aca="false">E12*(1-'Programme cost'!$G$8)*'Programme cost'!$J$8/1000000</f>
        <v>0.000100017185083348</v>
      </c>
      <c r="L12" s="44" t="n">
        <f aca="false">E12*(1-'Programme cost'!$H$8)*'Programme cost'!$C$8/1000000</f>
        <v>0.0589278492</v>
      </c>
      <c r="M12" s="44" t="n">
        <f aca="false">E12*(1-'Programme cost'!$H$8)*'Programme cost'!$J$8/1000000</f>
        <v>0.000100017185083348</v>
      </c>
      <c r="N12" s="44" t="n">
        <f aca="false">E12*(1-'Programme cost'!$I$8)*'Programme cost'!$C$8/1000000</f>
        <v>0.06075036</v>
      </c>
      <c r="O12" s="44" t="n">
        <f aca="false">E12*(1-'Programme cost'!$I$8)*'Programme cost'!$J$8/1000000</f>
        <v>0.000103110500085925</v>
      </c>
      <c r="P12" s="44" t="n">
        <f aca="false">E12*consip_svi_eur_team_day*x25_days_per_fte_year/12/1000000</f>
        <v>0.01815</v>
      </c>
      <c r="Q12" s="44" t="n">
        <f aca="false">I12</f>
        <v>0.209246022596265</v>
      </c>
      <c r="R12" s="44" t="n">
        <f aca="false">H12</f>
        <v>0.06075036</v>
      </c>
      <c r="S12" s="44" t="n">
        <f aca="false">IF('Programme cost'!$F$30="in-house",H12,IF('Programme cost'!$F$30="integrator",I12,J12+K12))</f>
        <v>0.0590278663850834</v>
      </c>
      <c r="T12" s="0" t="s">
        <v>3848</v>
      </c>
    </row>
    <row r="13" customFormat="false" ht="15" hidden="false" customHeight="false" outlineLevel="0" collapsed="false">
      <c r="A13" s="0" t="s">
        <v>3803</v>
      </c>
      <c r="B13" s="0" t="n">
        <v>1</v>
      </c>
      <c r="C13" s="0" t="s">
        <v>3780</v>
      </c>
      <c r="D13" s="0" t="n">
        <v>1</v>
      </c>
      <c r="E13" s="0" t="n">
        <f aca="false">D13*x21_phase_months</f>
        <v>6</v>
      </c>
      <c r="F13" s="0" t="s">
        <v>3836</v>
      </c>
      <c r="G13" s="0" t="s">
        <v>3837</v>
      </c>
      <c r="H13" s="44" t="n">
        <f aca="false">E13*'Programme cost'!$C$14/1000000</f>
        <v>0.04133856</v>
      </c>
      <c r="I13" s="44" t="n">
        <f aca="false">E13*'Programme cost'!$F$14/1000000</f>
        <v>0.138229190684805</v>
      </c>
      <c r="J13" s="44" t="n">
        <f aca="false">E13*(1-'Programme cost'!$G$14)*'Programme cost'!$C$14/1000000</f>
        <v>0.0400984032</v>
      </c>
      <c r="K13" s="44" t="n">
        <f aca="false">E13*(1-'Programme cost'!$G$14)*'Programme cost'!$J$14/1000000</f>
        <v>0.000100017185083348</v>
      </c>
      <c r="L13" s="44" t="n">
        <f aca="false">E13*(1-'Programme cost'!$H$14)*'Programme cost'!$C$14/1000000</f>
        <v>0.0400984032</v>
      </c>
      <c r="M13" s="44" t="n">
        <f aca="false">E13*(1-'Programme cost'!$H$14)*'Programme cost'!$J$14/1000000</f>
        <v>0.000100017185083348</v>
      </c>
      <c r="N13" s="44" t="n">
        <f aca="false">E13*(1-'Programme cost'!$I$14)*'Programme cost'!$C$14/1000000</f>
        <v>0.04133856</v>
      </c>
      <c r="O13" s="44" t="n">
        <f aca="false">E13*(1-'Programme cost'!$I$14)*'Programme cost'!$J$14/1000000</f>
        <v>0.000103110500085925</v>
      </c>
      <c r="P13" s="44" t="n">
        <f aca="false">E13*consip_svi_eur_team_day*x25_days_per_fte_year/12/1000000</f>
        <v>0.01815</v>
      </c>
      <c r="Q13" s="44" t="n">
        <f aca="false">I13</f>
        <v>0.138229190684805</v>
      </c>
      <c r="R13" s="44" t="n">
        <f aca="false">H13</f>
        <v>0.04133856</v>
      </c>
      <c r="S13" s="44" t="n">
        <f aca="false">IF('Programme cost'!$F$30="in-house",H13,IF('Programme cost'!$F$30="integrator",I13,J13+K13))</f>
        <v>0.0401984203850833</v>
      </c>
      <c r="T13" s="0" t="s">
        <v>3849</v>
      </c>
    </row>
    <row r="14" customFormat="false" ht="15" hidden="false" customHeight="false" outlineLevel="0" collapsed="false">
      <c r="A14" s="0" t="s">
        <v>3803</v>
      </c>
      <c r="B14" s="0" t="n">
        <v>2</v>
      </c>
      <c r="C14" s="0" t="s">
        <v>3770</v>
      </c>
      <c r="D14" s="0" t="n">
        <v>1</v>
      </c>
      <c r="E14" s="0" t="n">
        <f aca="false">D14*x21_phase_months</f>
        <v>6</v>
      </c>
      <c r="F14" s="0" t="s">
        <v>3836</v>
      </c>
      <c r="G14" s="0" t="s">
        <v>3837</v>
      </c>
      <c r="H14" s="44" t="n">
        <f aca="false">E14*'Programme cost'!$C$6/1000000</f>
        <v>0.06075036</v>
      </c>
      <c r="I14" s="44" t="n">
        <f aca="false">E14*'Programme cost'!$F$6/1000000</f>
        <v>0.209246022596265</v>
      </c>
      <c r="J14" s="44" t="n">
        <f aca="false">E14*(1-'Programme cost'!$G$6)*'Programme cost'!$C$6/1000000</f>
        <v>0.057608764606599</v>
      </c>
      <c r="K14" s="44" t="n">
        <f aca="false">E14*(1-'Programme cost'!$G$6)*'Programme cost'!$J$6/1000000</f>
        <v>0.000288446062827618</v>
      </c>
      <c r="L14" s="44" t="n">
        <f aca="false">E14*(1-'Programme cost'!$H$6)*'Programme cost'!$C$6/1000000</f>
        <v>0.05227568478</v>
      </c>
      <c r="M14" s="44" t="n">
        <f aca="false">E14*(1-'Programme cost'!$H$6)*'Programme cost'!$J$6/1000000</f>
        <v>0.00026174342670562</v>
      </c>
      <c r="N14" s="44" t="n">
        <f aca="false">E14*(1-'Programme cost'!$I$6)*'Programme cost'!$C$6/1000000</f>
        <v>0.0636360021</v>
      </c>
      <c r="O14" s="44" t="n">
        <f aca="false">E14*(1-'Programme cost'!$I$6)*'Programme cost'!$J$6/1000000</f>
        <v>0.00031862433407802</v>
      </c>
      <c r="P14" s="44" t="n">
        <f aca="false">E14*consip_svi_eur_team_day*x25_days_per_fte_year/12/1000000</f>
        <v>0.01815</v>
      </c>
      <c r="Q14" s="44" t="n">
        <f aca="false">I14</f>
        <v>0.209246022596265</v>
      </c>
      <c r="R14" s="44" t="n">
        <f aca="false">E14*'Programme cost'!$E$6/1000000</f>
        <v>0.023085</v>
      </c>
      <c r="S14" s="44" t="n">
        <f aca="false">IF('Programme cost'!$F$30="in-house",H14,IF('Programme cost'!$F$30="integrator",I14,J14+K14))</f>
        <v>0.0578972106694266</v>
      </c>
      <c r="T14" s="0" t="s">
        <v>3850</v>
      </c>
    </row>
    <row r="15" customFormat="false" ht="15" hidden="false" customHeight="false" outlineLevel="0" collapsed="false">
      <c r="A15" s="0" t="s">
        <v>3803</v>
      </c>
      <c r="B15" s="0" t="n">
        <v>2</v>
      </c>
      <c r="C15" s="0" t="s">
        <v>3768</v>
      </c>
      <c r="D15" s="0" t="n">
        <v>1</v>
      </c>
      <c r="E15" s="0" t="n">
        <f aca="false">D15*x21_phase_months</f>
        <v>6</v>
      </c>
      <c r="F15" s="0" t="s">
        <v>3836</v>
      </c>
      <c r="G15" s="0" t="s">
        <v>3837</v>
      </c>
      <c r="H15" s="44" t="n">
        <f aca="false">E15*'Programme cost'!$C$5/1000000</f>
        <v>0.06075036</v>
      </c>
      <c r="I15" s="44" t="n">
        <f aca="false">E15*'Programme cost'!$F$5/1000000</f>
        <v>0.163592344938898</v>
      </c>
      <c r="J15" s="44" t="n">
        <f aca="false">E15*(1-'Programme cost'!$G$5)*'Programme cost'!$C$5/1000000</f>
        <v>0.057608764606599</v>
      </c>
      <c r="K15" s="44" t="n">
        <f aca="false">E15*(1-'Programme cost'!$G$5)*'Programme cost'!$J$5/1000000</f>
        <v>0.000288446062827618</v>
      </c>
      <c r="L15" s="44" t="n">
        <f aca="false">E15*(1-'Programme cost'!$H$5)*'Programme cost'!$C$5/1000000</f>
        <v>0.05227568478</v>
      </c>
      <c r="M15" s="44" t="n">
        <f aca="false">E15*(1-'Programme cost'!$H$5)*'Programme cost'!$J$5/1000000</f>
        <v>0.00026174342670562</v>
      </c>
      <c r="N15" s="44" t="n">
        <f aca="false">E15*(1-'Programme cost'!$I$5)*'Programme cost'!$C$5/1000000</f>
        <v>0.0636360021</v>
      </c>
      <c r="O15" s="44" t="n">
        <f aca="false">E15*(1-'Programme cost'!$I$5)*'Programme cost'!$J$5/1000000</f>
        <v>0.00031862433407802</v>
      </c>
      <c r="P15" s="44" t="n">
        <f aca="false">E15*consip_svi_eur_team_day*x25_days_per_fte_year/12/1000000</f>
        <v>0.01815</v>
      </c>
      <c r="Q15" s="44" t="n">
        <f aca="false">E15*dl_gc14_off_dev_l4_gbp_day/x25_gbp_per_eur*x25_days_per_fte_year/12/1000000</f>
        <v>0.0735531473368688</v>
      </c>
      <c r="R15" s="44" t="n">
        <f aca="false">E15*'Programme cost'!$E$5/1000000</f>
        <v>0.023085</v>
      </c>
      <c r="S15" s="44" t="n">
        <f aca="false">IF('Programme cost'!$F$30="in-house",H15,IF('Programme cost'!$F$30="integrator",I15,J15+K15))</f>
        <v>0.0578972106694266</v>
      </c>
      <c r="T15" s="0" t="s">
        <v>3851</v>
      </c>
    </row>
    <row r="16" customFormat="false" ht="15" hidden="false" customHeight="false" outlineLevel="0" collapsed="false">
      <c r="A16" s="0" t="s">
        <v>3803</v>
      </c>
      <c r="B16" s="0" t="n">
        <v>2</v>
      </c>
      <c r="C16" s="0" t="s">
        <v>3780</v>
      </c>
      <c r="D16" s="0" t="n">
        <v>2</v>
      </c>
      <c r="E16" s="0" t="n">
        <f aca="false">D16*x21_phase_months</f>
        <v>12</v>
      </c>
      <c r="F16" s="0" t="s">
        <v>3836</v>
      </c>
      <c r="G16" s="0" t="s">
        <v>3837</v>
      </c>
      <c r="H16" s="44" t="n">
        <f aca="false">E16*'Programme cost'!$C$14/1000000</f>
        <v>0.08267712</v>
      </c>
      <c r="I16" s="44" t="n">
        <f aca="false">E16*'Programme cost'!$F$14/1000000</f>
        <v>0.27645838136961</v>
      </c>
      <c r="J16" s="44" t="n">
        <f aca="false">E16*(1-'Programme cost'!$G$14)*'Programme cost'!$C$14/1000000</f>
        <v>0.0801968064</v>
      </c>
      <c r="K16" s="44" t="n">
        <f aca="false">E16*(1-'Programme cost'!$G$14)*'Programme cost'!$J$14/1000000</f>
        <v>0.000200034370166695</v>
      </c>
      <c r="L16" s="44" t="n">
        <f aca="false">E16*(1-'Programme cost'!$H$14)*'Programme cost'!$C$14/1000000</f>
        <v>0.0801968064</v>
      </c>
      <c r="M16" s="44" t="n">
        <f aca="false">E16*(1-'Programme cost'!$H$14)*'Programme cost'!$J$14/1000000</f>
        <v>0.000200034370166695</v>
      </c>
      <c r="N16" s="44" t="n">
        <f aca="false">E16*(1-'Programme cost'!$I$14)*'Programme cost'!$C$14/1000000</f>
        <v>0.08267712</v>
      </c>
      <c r="O16" s="44" t="n">
        <f aca="false">E16*(1-'Programme cost'!$I$14)*'Programme cost'!$J$14/1000000</f>
        <v>0.000206221000171851</v>
      </c>
      <c r="P16" s="44" t="n">
        <f aca="false">E16*consip_svi_eur_team_day*x25_days_per_fte_year/12/1000000</f>
        <v>0.0363</v>
      </c>
      <c r="Q16" s="44" t="n">
        <f aca="false">I16</f>
        <v>0.27645838136961</v>
      </c>
      <c r="R16" s="44" t="n">
        <f aca="false">H16</f>
        <v>0.08267712</v>
      </c>
      <c r="S16" s="44" t="n">
        <f aca="false">IF('Programme cost'!$F$30="in-house",H16,IF('Programme cost'!$F$30="integrator",I16,J16+K16))</f>
        <v>0.0803968407701667</v>
      </c>
      <c r="T16" s="0" t="s">
        <v>3852</v>
      </c>
    </row>
    <row r="17" customFormat="false" ht="15" hidden="false" customHeight="false" outlineLevel="0" collapsed="false">
      <c r="A17" s="0" t="s">
        <v>3803</v>
      </c>
      <c r="B17" s="0" t="n">
        <v>3</v>
      </c>
      <c r="C17" s="0" t="s">
        <v>3770</v>
      </c>
      <c r="D17" s="0" t="n">
        <v>1</v>
      </c>
      <c r="E17" s="0" t="n">
        <f aca="false">D17*x21_phase_months</f>
        <v>6</v>
      </c>
      <c r="F17" s="0" t="s">
        <v>3836</v>
      </c>
      <c r="G17" s="0" t="s">
        <v>3837</v>
      </c>
      <c r="H17" s="44" t="n">
        <f aca="false">E17*'Programme cost'!$C$6/1000000</f>
        <v>0.06075036</v>
      </c>
      <c r="I17" s="44" t="n">
        <f aca="false">E17*'Programme cost'!$F$6/1000000</f>
        <v>0.209246022596265</v>
      </c>
      <c r="J17" s="44" t="n">
        <f aca="false">E17*(1-'Programme cost'!$G$6)*'Programme cost'!$C$6/1000000</f>
        <v>0.057608764606599</v>
      </c>
      <c r="K17" s="44" t="n">
        <f aca="false">E17*(1-'Programme cost'!$G$6)*'Programme cost'!$J$6/1000000</f>
        <v>0.000288446062827618</v>
      </c>
      <c r="L17" s="44" t="n">
        <f aca="false">E17*(1-'Programme cost'!$H$6)*'Programme cost'!$C$6/1000000</f>
        <v>0.05227568478</v>
      </c>
      <c r="M17" s="44" t="n">
        <f aca="false">E17*(1-'Programme cost'!$H$6)*'Programme cost'!$J$6/1000000</f>
        <v>0.00026174342670562</v>
      </c>
      <c r="N17" s="44" t="n">
        <f aca="false">E17*(1-'Programme cost'!$I$6)*'Programme cost'!$C$6/1000000</f>
        <v>0.0636360021</v>
      </c>
      <c r="O17" s="44" t="n">
        <f aca="false">E17*(1-'Programme cost'!$I$6)*'Programme cost'!$J$6/1000000</f>
        <v>0.00031862433407802</v>
      </c>
      <c r="P17" s="44" t="n">
        <f aca="false">E17*consip_svi_eur_team_day*x25_days_per_fte_year/12/1000000</f>
        <v>0.01815</v>
      </c>
      <c r="Q17" s="44" t="n">
        <f aca="false">I17</f>
        <v>0.209246022596265</v>
      </c>
      <c r="R17" s="44" t="n">
        <f aca="false">E17*'Programme cost'!$E$6/1000000</f>
        <v>0.023085</v>
      </c>
      <c r="S17" s="44" t="n">
        <f aca="false">IF('Programme cost'!$F$30="in-house",H17,IF('Programme cost'!$F$30="integrator",I17,J17+K17))</f>
        <v>0.0578972106694266</v>
      </c>
      <c r="T17" s="0" t="s">
        <v>3853</v>
      </c>
    </row>
    <row r="18" customFormat="false" ht="15" hidden="false" customHeight="false" outlineLevel="0" collapsed="false">
      <c r="A18" s="0" t="s">
        <v>3803</v>
      </c>
      <c r="B18" s="0" t="n">
        <v>3</v>
      </c>
      <c r="C18" s="0" t="s">
        <v>3768</v>
      </c>
      <c r="D18" s="0" t="n">
        <v>1</v>
      </c>
      <c r="E18" s="0" t="n">
        <f aca="false">D18*x21_phase_months</f>
        <v>6</v>
      </c>
      <c r="F18" s="0" t="s">
        <v>3836</v>
      </c>
      <c r="G18" s="0" t="s">
        <v>3837</v>
      </c>
      <c r="H18" s="44" t="n">
        <f aca="false">E18*'Programme cost'!$C$5/1000000</f>
        <v>0.06075036</v>
      </c>
      <c r="I18" s="44" t="n">
        <f aca="false">E18*'Programme cost'!$F$5/1000000</f>
        <v>0.163592344938898</v>
      </c>
      <c r="J18" s="44" t="n">
        <f aca="false">E18*(1-'Programme cost'!$G$5)*'Programme cost'!$C$5/1000000</f>
        <v>0.057608764606599</v>
      </c>
      <c r="K18" s="44" t="n">
        <f aca="false">E18*(1-'Programme cost'!$G$5)*'Programme cost'!$J$5/1000000</f>
        <v>0.000288446062827618</v>
      </c>
      <c r="L18" s="44" t="n">
        <f aca="false">E18*(1-'Programme cost'!$H$5)*'Programme cost'!$C$5/1000000</f>
        <v>0.05227568478</v>
      </c>
      <c r="M18" s="44" t="n">
        <f aca="false">E18*(1-'Programme cost'!$H$5)*'Programme cost'!$J$5/1000000</f>
        <v>0.00026174342670562</v>
      </c>
      <c r="N18" s="44" t="n">
        <f aca="false">E18*(1-'Programme cost'!$I$5)*'Programme cost'!$C$5/1000000</f>
        <v>0.0636360021</v>
      </c>
      <c r="O18" s="44" t="n">
        <f aca="false">E18*(1-'Programme cost'!$I$5)*'Programme cost'!$J$5/1000000</f>
        <v>0.00031862433407802</v>
      </c>
      <c r="P18" s="44" t="n">
        <f aca="false">E18*consip_svi_eur_team_day*x25_days_per_fte_year/12/1000000</f>
        <v>0.01815</v>
      </c>
      <c r="Q18" s="44" t="n">
        <f aca="false">E18*dl_gc14_off_dev_l4_gbp_day/x25_gbp_per_eur*x25_days_per_fte_year/12/1000000</f>
        <v>0.0735531473368688</v>
      </c>
      <c r="R18" s="44" t="n">
        <f aca="false">E18*'Programme cost'!$E$5/1000000</f>
        <v>0.023085</v>
      </c>
      <c r="S18" s="44" t="n">
        <f aca="false">IF('Programme cost'!$F$30="in-house",H18,IF('Programme cost'!$F$30="integrator",I18,J18+K18))</f>
        <v>0.0578972106694266</v>
      </c>
      <c r="T18" s="0" t="s">
        <v>3854</v>
      </c>
    </row>
    <row r="19" customFormat="false" ht="15" hidden="false" customHeight="false" outlineLevel="0" collapsed="false">
      <c r="A19" s="0" t="s">
        <v>3803</v>
      </c>
      <c r="B19" s="0" t="n">
        <v>3</v>
      </c>
      <c r="C19" s="0" t="s">
        <v>3780</v>
      </c>
      <c r="D19" s="0" t="n">
        <v>4</v>
      </c>
      <c r="E19" s="0" t="n">
        <f aca="false">D19*x21_phase_months</f>
        <v>24</v>
      </c>
      <c r="F19" s="0" t="s">
        <v>3855</v>
      </c>
      <c r="G19" s="0" t="s">
        <v>3837</v>
      </c>
      <c r="H19" s="44" t="n">
        <f aca="false">E19*'Programme cost'!$D$14/1000000</f>
        <v>0.1823604</v>
      </c>
      <c r="I19" s="44" t="n">
        <f aca="false">E19*'Programme cost'!$F$14/1000000</f>
        <v>0.552916762739221</v>
      </c>
      <c r="J19" s="44" t="n">
        <f aca="false">E19*(1-'Programme cost'!$G$14)*'Programme cost'!$D$14/1000000</f>
        <v>0.176889588</v>
      </c>
      <c r="K19" s="44" t="n">
        <f aca="false">E19*(1-'Programme cost'!$G$14)*'Programme cost'!$J$14/1000000</f>
        <v>0.000400068740333391</v>
      </c>
      <c r="L19" s="44" t="n">
        <f aca="false">E19*(1-'Programme cost'!$H$14)*'Programme cost'!$D$14/1000000</f>
        <v>0.176889588</v>
      </c>
      <c r="M19" s="44" t="n">
        <f aca="false">E19*(1-'Programme cost'!$H$14)*'Programme cost'!$J$14/1000000</f>
        <v>0.000400068740333391</v>
      </c>
      <c r="N19" s="44" t="n">
        <f aca="false">E19*(1-'Programme cost'!$I$14)*'Programme cost'!$D$14/1000000</f>
        <v>0.1823604</v>
      </c>
      <c r="O19" s="44" t="n">
        <f aca="false">E19*(1-'Programme cost'!$I$14)*'Programme cost'!$J$14/1000000</f>
        <v>0.000412442000343702</v>
      </c>
      <c r="P19" s="44" t="n">
        <f aca="false">E19*consip_svi_eur_team_day*x25_days_per_fte_year/12/1000000</f>
        <v>0.0726</v>
      </c>
      <c r="Q19" s="44" t="n">
        <f aca="false">I19</f>
        <v>0.552916762739221</v>
      </c>
      <c r="R19" s="44" t="n">
        <f aca="false">H19</f>
        <v>0.1823604</v>
      </c>
      <c r="S19" s="44" t="n">
        <f aca="false">IF('Programme cost'!$F$30="in-house",H19,IF('Programme cost'!$F$30="integrator",I19,J19+K19))</f>
        <v>0.177289656740333</v>
      </c>
      <c r="T19" s="0" t="s">
        <v>3856</v>
      </c>
    </row>
    <row r="20" customFormat="false" ht="15" hidden="false" customHeight="false" outlineLevel="0" collapsed="false">
      <c r="A20" s="0" t="s">
        <v>3803</v>
      </c>
      <c r="B20" s="0" t="n">
        <v>4</v>
      </c>
      <c r="C20" s="0" t="s">
        <v>3770</v>
      </c>
      <c r="D20" s="0" t="n">
        <v>0.5</v>
      </c>
      <c r="E20" s="0" t="n">
        <f aca="false">D20*x21_phase_months</f>
        <v>3</v>
      </c>
      <c r="F20" s="0" t="s">
        <v>3836</v>
      </c>
      <c r="G20" s="0" t="s">
        <v>3837</v>
      </c>
      <c r="H20" s="44" t="n">
        <f aca="false">E20*'Programme cost'!$C$6/1000000</f>
        <v>0.03037518</v>
      </c>
      <c r="I20" s="44" t="n">
        <f aca="false">E20*'Programme cost'!$F$6/1000000</f>
        <v>0.104623011298132</v>
      </c>
      <c r="J20" s="44" t="n">
        <f aca="false">E20*(1-'Programme cost'!$G$6)*'Programme cost'!$C$6/1000000</f>
        <v>0.0288043823032995</v>
      </c>
      <c r="K20" s="44" t="n">
        <f aca="false">E20*(1-'Programme cost'!$G$6)*'Programme cost'!$J$6/1000000</f>
        <v>0.000144223031413809</v>
      </c>
      <c r="L20" s="44" t="n">
        <f aca="false">E20*(1-'Programme cost'!$H$6)*'Programme cost'!$C$6/1000000</f>
        <v>0.02613784239</v>
      </c>
      <c r="M20" s="44" t="n">
        <f aca="false">E20*(1-'Programme cost'!$H$6)*'Programme cost'!$J$6/1000000</f>
        <v>0.00013087171335281</v>
      </c>
      <c r="N20" s="44" t="n">
        <f aca="false">E20*(1-'Programme cost'!$I$6)*'Programme cost'!$C$6/1000000</f>
        <v>0.03181800105</v>
      </c>
      <c r="O20" s="44" t="n">
        <f aca="false">E20*(1-'Programme cost'!$I$6)*'Programme cost'!$J$6/1000000</f>
        <v>0.00015931216703901</v>
      </c>
      <c r="P20" s="44" t="n">
        <f aca="false">E20*consip_svi_eur_team_day*x25_days_per_fte_year/12/1000000</f>
        <v>0.009075</v>
      </c>
      <c r="Q20" s="44" t="n">
        <f aca="false">I20</f>
        <v>0.104623011298132</v>
      </c>
      <c r="R20" s="44" t="n">
        <f aca="false">E20*'Programme cost'!$E$6/1000000</f>
        <v>0.0115425</v>
      </c>
      <c r="S20" s="44" t="n">
        <f aca="false">IF('Programme cost'!$F$30="in-house",H20,IF('Programme cost'!$F$30="integrator",I20,J20+K20))</f>
        <v>0.0289486053347133</v>
      </c>
      <c r="T20" s="0" t="s">
        <v>3857</v>
      </c>
    </row>
    <row r="21" customFormat="false" ht="15" hidden="false" customHeight="false" outlineLevel="0" collapsed="false">
      <c r="A21" s="0" t="s">
        <v>3803</v>
      </c>
      <c r="B21" s="0" t="n">
        <v>4</v>
      </c>
      <c r="C21" s="0" t="s">
        <v>3768</v>
      </c>
      <c r="D21" s="0" t="n">
        <v>0.5</v>
      </c>
      <c r="E21" s="0" t="n">
        <f aca="false">D21*x21_phase_months</f>
        <v>3</v>
      </c>
      <c r="F21" s="0" t="s">
        <v>3836</v>
      </c>
      <c r="G21" s="0" t="s">
        <v>3837</v>
      </c>
      <c r="H21" s="44" t="n">
        <f aca="false">E21*'Programme cost'!$C$5/1000000</f>
        <v>0.03037518</v>
      </c>
      <c r="I21" s="44" t="n">
        <f aca="false">E21*'Programme cost'!$F$5/1000000</f>
        <v>0.0817961724694489</v>
      </c>
      <c r="J21" s="44" t="n">
        <f aca="false">E21*(1-'Programme cost'!$G$5)*'Programme cost'!$C$5/1000000</f>
        <v>0.0288043823032995</v>
      </c>
      <c r="K21" s="44" t="n">
        <f aca="false">E21*(1-'Programme cost'!$G$5)*'Programme cost'!$J$5/1000000</f>
        <v>0.000144223031413809</v>
      </c>
      <c r="L21" s="44" t="n">
        <f aca="false">E21*(1-'Programme cost'!$H$5)*'Programme cost'!$C$5/1000000</f>
        <v>0.02613784239</v>
      </c>
      <c r="M21" s="44" t="n">
        <f aca="false">E21*(1-'Programme cost'!$H$5)*'Programme cost'!$J$5/1000000</f>
        <v>0.00013087171335281</v>
      </c>
      <c r="N21" s="44" t="n">
        <f aca="false">E21*(1-'Programme cost'!$I$5)*'Programme cost'!$C$5/1000000</f>
        <v>0.03181800105</v>
      </c>
      <c r="O21" s="44" t="n">
        <f aca="false">E21*(1-'Programme cost'!$I$5)*'Programme cost'!$J$5/1000000</f>
        <v>0.00015931216703901</v>
      </c>
      <c r="P21" s="44" t="n">
        <f aca="false">E21*consip_svi_eur_team_day*x25_days_per_fte_year/12/1000000</f>
        <v>0.009075</v>
      </c>
      <c r="Q21" s="44" t="n">
        <f aca="false">E21*dl_gc14_off_dev_l4_gbp_day/x25_gbp_per_eur*x25_days_per_fte_year/12/1000000</f>
        <v>0.0367765736684344</v>
      </c>
      <c r="R21" s="44" t="n">
        <f aca="false">E21*'Programme cost'!$E$5/1000000</f>
        <v>0.0115425</v>
      </c>
      <c r="S21" s="44" t="n">
        <f aca="false">IF('Programme cost'!$F$30="in-house",H21,IF('Programme cost'!$F$30="integrator",I21,J21+K21))</f>
        <v>0.0289486053347133</v>
      </c>
      <c r="T21" s="0" t="s">
        <v>3858</v>
      </c>
    </row>
    <row r="22" customFormat="false" ht="15" hidden="false" customHeight="false" outlineLevel="0" collapsed="false">
      <c r="A22" s="0" t="s">
        <v>3803</v>
      </c>
      <c r="B22" s="0" t="n">
        <v>4</v>
      </c>
      <c r="C22" s="0" t="s">
        <v>3780</v>
      </c>
      <c r="D22" s="0" t="n">
        <v>4</v>
      </c>
      <c r="E22" s="0" t="n">
        <f aca="false">D22*x21_phase_months</f>
        <v>24</v>
      </c>
      <c r="F22" s="0" t="s">
        <v>3855</v>
      </c>
      <c r="G22" s="0" t="s">
        <v>3837</v>
      </c>
      <c r="H22" s="44" t="n">
        <f aca="false">E22*'Programme cost'!$D$14/1000000</f>
        <v>0.1823604</v>
      </c>
      <c r="I22" s="44" t="n">
        <f aca="false">E22*'Programme cost'!$F$14/1000000</f>
        <v>0.552916762739221</v>
      </c>
      <c r="J22" s="44" t="n">
        <f aca="false">E22*(1-'Programme cost'!$G$14)*'Programme cost'!$D$14/1000000</f>
        <v>0.176889588</v>
      </c>
      <c r="K22" s="44" t="n">
        <f aca="false">E22*(1-'Programme cost'!$G$14)*'Programme cost'!$J$14/1000000</f>
        <v>0.000400068740333391</v>
      </c>
      <c r="L22" s="44" t="n">
        <f aca="false">E22*(1-'Programme cost'!$H$14)*'Programme cost'!$D$14/1000000</f>
        <v>0.176889588</v>
      </c>
      <c r="M22" s="44" t="n">
        <f aca="false">E22*(1-'Programme cost'!$H$14)*'Programme cost'!$J$14/1000000</f>
        <v>0.000400068740333391</v>
      </c>
      <c r="N22" s="44" t="n">
        <f aca="false">E22*(1-'Programme cost'!$I$14)*'Programme cost'!$D$14/1000000</f>
        <v>0.1823604</v>
      </c>
      <c r="O22" s="44" t="n">
        <f aca="false">E22*(1-'Programme cost'!$I$14)*'Programme cost'!$J$14/1000000</f>
        <v>0.000412442000343702</v>
      </c>
      <c r="P22" s="44" t="n">
        <f aca="false">E22*consip_svi_eur_team_day*x25_days_per_fte_year/12/1000000</f>
        <v>0.0726</v>
      </c>
      <c r="Q22" s="44" t="n">
        <f aca="false">I22</f>
        <v>0.552916762739221</v>
      </c>
      <c r="R22" s="44" t="n">
        <f aca="false">H22</f>
        <v>0.1823604</v>
      </c>
      <c r="S22" s="44" t="n">
        <f aca="false">IF('Programme cost'!$F$30="in-house",H22,IF('Programme cost'!$F$30="integrator",I22,J22+K22))</f>
        <v>0.177289656740333</v>
      </c>
      <c r="T22" s="0" t="s">
        <v>3859</v>
      </c>
    </row>
    <row r="23" customFormat="false" ht="15" hidden="false" customHeight="false" outlineLevel="0" collapsed="false">
      <c r="A23" s="0" t="s">
        <v>3805</v>
      </c>
      <c r="B23" s="0" t="n">
        <v>1</v>
      </c>
      <c r="C23" s="0" t="s">
        <v>3770</v>
      </c>
      <c r="D23" s="0" t="n">
        <v>2</v>
      </c>
      <c r="E23" s="0" t="n">
        <f aca="false">D23*x21_phase_months</f>
        <v>12</v>
      </c>
      <c r="F23" s="0" t="s">
        <v>3836</v>
      </c>
      <c r="G23" s="0" t="s">
        <v>3837</v>
      </c>
      <c r="H23" s="44" t="n">
        <f aca="false">E23*'Programme cost'!$C$6/1000000</f>
        <v>0.12150072</v>
      </c>
      <c r="I23" s="44" t="n">
        <f aca="false">E23*'Programme cost'!$F$6/1000000</f>
        <v>0.418492045192529</v>
      </c>
      <c r="J23" s="44" t="n">
        <f aca="false">E23*(1-'Programme cost'!$G$6)*'Programme cost'!$C$6/1000000</f>
        <v>0.115217529213198</v>
      </c>
      <c r="K23" s="44" t="n">
        <f aca="false">E23*(1-'Programme cost'!$G$6)*'Programme cost'!$J$6/1000000</f>
        <v>0.000576892125655236</v>
      </c>
      <c r="L23" s="44" t="n">
        <f aca="false">E23*(1-'Programme cost'!$H$6)*'Programme cost'!$C$6/1000000</f>
        <v>0.10455136956</v>
      </c>
      <c r="M23" s="44" t="n">
        <f aca="false">E23*(1-'Programme cost'!$H$6)*'Programme cost'!$J$6/1000000</f>
        <v>0.000523486853411239</v>
      </c>
      <c r="N23" s="44" t="n">
        <f aca="false">E23*(1-'Programme cost'!$I$6)*'Programme cost'!$C$6/1000000</f>
        <v>0.1272720042</v>
      </c>
      <c r="O23" s="44" t="n">
        <f aca="false">E23*(1-'Programme cost'!$I$6)*'Programme cost'!$J$6/1000000</f>
        <v>0.000637248668156041</v>
      </c>
      <c r="P23" s="44" t="n">
        <f aca="false">E23*consip_svi_eur_team_day*x25_days_per_fte_year/12/1000000</f>
        <v>0.0363</v>
      </c>
      <c r="Q23" s="44" t="n">
        <f aca="false">I23</f>
        <v>0.418492045192529</v>
      </c>
      <c r="R23" s="44" t="n">
        <f aca="false">E23*'Programme cost'!$E$6/1000000</f>
        <v>0.04617</v>
      </c>
      <c r="S23" s="44" t="n">
        <f aca="false">IF('Programme cost'!$F$31="in-house",H23,IF('Programme cost'!$F$31="integrator",I23,J23+K23))</f>
        <v>0.115794421338853</v>
      </c>
      <c r="T23" s="0" t="s">
        <v>3860</v>
      </c>
    </row>
    <row r="24" customFormat="false" ht="15" hidden="false" customHeight="false" outlineLevel="0" collapsed="false">
      <c r="A24" s="0" t="s">
        <v>3805</v>
      </c>
      <c r="B24" s="0" t="n">
        <v>1</v>
      </c>
      <c r="C24" s="0" t="s">
        <v>3768</v>
      </c>
      <c r="D24" s="0" t="n">
        <v>1</v>
      </c>
      <c r="E24" s="0" t="n">
        <f aca="false">D24*x21_phase_months</f>
        <v>6</v>
      </c>
      <c r="F24" s="0" t="s">
        <v>3836</v>
      </c>
      <c r="G24" s="0" t="s">
        <v>3837</v>
      </c>
      <c r="H24" s="44" t="n">
        <f aca="false">E24*'Programme cost'!$C$5/1000000</f>
        <v>0.06075036</v>
      </c>
      <c r="I24" s="44" t="n">
        <f aca="false">E24*'Programme cost'!$F$5/1000000</f>
        <v>0.163592344938898</v>
      </c>
      <c r="J24" s="44" t="n">
        <f aca="false">E24*(1-'Programme cost'!$G$5)*'Programme cost'!$C$5/1000000</f>
        <v>0.057608764606599</v>
      </c>
      <c r="K24" s="44" t="n">
        <f aca="false">E24*(1-'Programme cost'!$G$5)*'Programme cost'!$J$5/1000000</f>
        <v>0.000288446062827618</v>
      </c>
      <c r="L24" s="44" t="n">
        <f aca="false">E24*(1-'Programme cost'!$H$5)*'Programme cost'!$C$5/1000000</f>
        <v>0.05227568478</v>
      </c>
      <c r="M24" s="44" t="n">
        <f aca="false">E24*(1-'Programme cost'!$H$5)*'Programme cost'!$J$5/1000000</f>
        <v>0.00026174342670562</v>
      </c>
      <c r="N24" s="44" t="n">
        <f aca="false">E24*(1-'Programme cost'!$I$5)*'Programme cost'!$C$5/1000000</f>
        <v>0.0636360021</v>
      </c>
      <c r="O24" s="44" t="n">
        <f aca="false">E24*(1-'Programme cost'!$I$5)*'Programme cost'!$J$5/1000000</f>
        <v>0.00031862433407802</v>
      </c>
      <c r="P24" s="44" t="n">
        <f aca="false">E24*consip_svi_eur_team_day*x25_days_per_fte_year/12/1000000</f>
        <v>0.01815</v>
      </c>
      <c r="Q24" s="44" t="n">
        <f aca="false">E24*dl_gc14_off_dev_l4_gbp_day/x25_gbp_per_eur*x25_days_per_fte_year/12/1000000</f>
        <v>0.0735531473368688</v>
      </c>
      <c r="R24" s="44" t="n">
        <f aca="false">E24*'Programme cost'!$E$5/1000000</f>
        <v>0.023085</v>
      </c>
      <c r="S24" s="44" t="n">
        <f aca="false">IF('Programme cost'!$F$31="in-house",H24,IF('Programme cost'!$F$31="integrator",I24,J24+K24))</f>
        <v>0.0578972106694266</v>
      </c>
      <c r="T24" s="0" t="s">
        <v>3861</v>
      </c>
    </row>
    <row r="25" customFormat="false" ht="15" hidden="false" customHeight="false" outlineLevel="0" collapsed="false">
      <c r="A25" s="0" t="s">
        <v>3805</v>
      </c>
      <c r="B25" s="0" t="n">
        <v>1</v>
      </c>
      <c r="C25" s="0" t="s">
        <v>3772</v>
      </c>
      <c r="D25" s="0" t="n">
        <v>2</v>
      </c>
      <c r="E25" s="0" t="n">
        <f aca="false">D25*x21_phase_months</f>
        <v>12</v>
      </c>
      <c r="F25" s="0" t="s">
        <v>3836</v>
      </c>
      <c r="G25" s="0" t="s">
        <v>3837</v>
      </c>
      <c r="H25" s="44" t="n">
        <f aca="false">E25*'Programme cost'!$C$8/1000000</f>
        <v>0.12150072</v>
      </c>
      <c r="I25" s="44" t="n">
        <f aca="false">E25*'Programme cost'!$F$8/1000000</f>
        <v>0.418492045192529</v>
      </c>
      <c r="J25" s="44" t="n">
        <f aca="false">E25*(1-'Programme cost'!$G$8)*'Programme cost'!$C$8/1000000</f>
        <v>0.1178556984</v>
      </c>
      <c r="K25" s="44" t="n">
        <f aca="false">E25*(1-'Programme cost'!$G$8)*'Programme cost'!$J$8/1000000</f>
        <v>0.000200034370166695</v>
      </c>
      <c r="L25" s="44" t="n">
        <f aca="false">E25*(1-'Programme cost'!$H$8)*'Programme cost'!$C$8/1000000</f>
        <v>0.1178556984</v>
      </c>
      <c r="M25" s="44" t="n">
        <f aca="false">E25*(1-'Programme cost'!$H$8)*'Programme cost'!$J$8/1000000</f>
        <v>0.000200034370166695</v>
      </c>
      <c r="N25" s="44" t="n">
        <f aca="false">E25*(1-'Programme cost'!$I$8)*'Programme cost'!$C$8/1000000</f>
        <v>0.12150072</v>
      </c>
      <c r="O25" s="44" t="n">
        <f aca="false">E25*(1-'Programme cost'!$I$8)*'Programme cost'!$J$8/1000000</f>
        <v>0.000206221000171851</v>
      </c>
      <c r="P25" s="44" t="n">
        <f aca="false">E25*consip_svi_eur_team_day*x25_days_per_fte_year/12/1000000</f>
        <v>0.0363</v>
      </c>
      <c r="Q25" s="44" t="n">
        <f aca="false">I25</f>
        <v>0.418492045192529</v>
      </c>
      <c r="R25" s="44" t="n">
        <f aca="false">H25</f>
        <v>0.12150072</v>
      </c>
      <c r="S25" s="44" t="n">
        <f aca="false">IF('Programme cost'!$F$31="in-house",H25,IF('Programme cost'!$F$31="integrator",I25,J25+K25))</f>
        <v>0.118055732770167</v>
      </c>
      <c r="T25" s="0" t="s">
        <v>3862</v>
      </c>
    </row>
    <row r="26" customFormat="false" ht="15" hidden="false" customHeight="false" outlineLevel="0" collapsed="false">
      <c r="A26" s="0" t="s">
        <v>3805</v>
      </c>
      <c r="B26" s="0" t="n">
        <v>1</v>
      </c>
      <c r="C26" s="0" t="s">
        <v>3775</v>
      </c>
      <c r="D26" s="0" t="n">
        <v>0.5</v>
      </c>
      <c r="E26" s="0" t="n">
        <f aca="false">D26*x21_phase_months</f>
        <v>3</v>
      </c>
      <c r="F26" s="0" t="s">
        <v>3836</v>
      </c>
      <c r="G26" s="0" t="s">
        <v>3863</v>
      </c>
      <c r="H26" s="44" t="n">
        <f aca="false">E26*'Programme cost'!$C$10/1000000</f>
        <v>0.03037518</v>
      </c>
      <c r="I26" s="44" t="n">
        <f aca="false">H26</f>
        <v>0.03037518</v>
      </c>
      <c r="J26" s="44" t="n">
        <f aca="false">E26*(1-'Programme cost'!$G$10)*'Programme cost'!$C$10/1000000</f>
        <v>0.0294639246</v>
      </c>
      <c r="K26" s="44" t="n">
        <f aca="false">E26*(1-'Programme cost'!$G$10)*'Programme cost'!$J$10/1000000</f>
        <v>5.00085925416738E-005</v>
      </c>
      <c r="L26" s="44" t="n">
        <f aca="false">E26*(1-'Programme cost'!$H$10)*'Programme cost'!$C$10/1000000</f>
        <v>0.0294639246</v>
      </c>
      <c r="M26" s="44" t="n">
        <f aca="false">E26*(1-'Programme cost'!$H$10)*'Programme cost'!$J$10/1000000</f>
        <v>5.00085925416738E-005</v>
      </c>
      <c r="N26" s="44" t="n">
        <f aca="false">E26*(1-'Programme cost'!$I$10)*'Programme cost'!$C$10/1000000</f>
        <v>0.03037518</v>
      </c>
      <c r="O26" s="44" t="n">
        <f aca="false">E26*(1-'Programme cost'!$I$10)*'Programme cost'!$J$10/1000000</f>
        <v>5.15552500429627E-005</v>
      </c>
      <c r="P26" s="44" t="n">
        <f aca="false">H26</f>
        <v>0.03037518</v>
      </c>
      <c r="Q26" s="44" t="n">
        <f aca="false">I26</f>
        <v>0.03037518</v>
      </c>
      <c r="R26" s="44" t="n">
        <f aca="false">H26</f>
        <v>0.03037518</v>
      </c>
      <c r="S26" s="44" t="n">
        <f aca="false">IF('Programme cost'!$F$31="in-house",H26,IF('Programme cost'!$F$31="integrator",I26,J26+K26))</f>
        <v>0.0295139331925417</v>
      </c>
      <c r="T26" s="0" t="s">
        <v>3864</v>
      </c>
    </row>
    <row r="27" customFormat="false" ht="15" hidden="false" customHeight="false" outlineLevel="0" collapsed="false">
      <c r="A27" s="0" t="s">
        <v>3805</v>
      </c>
      <c r="B27" s="0" t="n">
        <v>2</v>
      </c>
      <c r="C27" s="0" t="s">
        <v>3770</v>
      </c>
      <c r="D27" s="0" t="n">
        <v>1</v>
      </c>
      <c r="E27" s="0" t="n">
        <f aca="false">D27*x21_phase_months</f>
        <v>6</v>
      </c>
      <c r="F27" s="0" t="s">
        <v>3836</v>
      </c>
      <c r="G27" s="0" t="s">
        <v>3837</v>
      </c>
      <c r="H27" s="44" t="n">
        <f aca="false">E27*'Programme cost'!$C$6/1000000</f>
        <v>0.06075036</v>
      </c>
      <c r="I27" s="44" t="n">
        <f aca="false">E27*'Programme cost'!$F$6/1000000</f>
        <v>0.209246022596265</v>
      </c>
      <c r="J27" s="44" t="n">
        <f aca="false">E27*(1-'Programme cost'!$G$6)*'Programme cost'!$C$6/1000000</f>
        <v>0.057608764606599</v>
      </c>
      <c r="K27" s="44" t="n">
        <f aca="false">E27*(1-'Programme cost'!$G$6)*'Programme cost'!$J$6/1000000</f>
        <v>0.000288446062827618</v>
      </c>
      <c r="L27" s="44" t="n">
        <f aca="false">E27*(1-'Programme cost'!$H$6)*'Programme cost'!$C$6/1000000</f>
        <v>0.05227568478</v>
      </c>
      <c r="M27" s="44" t="n">
        <f aca="false">E27*(1-'Programme cost'!$H$6)*'Programme cost'!$J$6/1000000</f>
        <v>0.00026174342670562</v>
      </c>
      <c r="N27" s="44" t="n">
        <f aca="false">E27*(1-'Programme cost'!$I$6)*'Programme cost'!$C$6/1000000</f>
        <v>0.0636360021</v>
      </c>
      <c r="O27" s="44" t="n">
        <f aca="false">E27*(1-'Programme cost'!$I$6)*'Programme cost'!$J$6/1000000</f>
        <v>0.00031862433407802</v>
      </c>
      <c r="P27" s="44" t="n">
        <f aca="false">E27*consip_svi_eur_team_day*x25_days_per_fte_year/12/1000000</f>
        <v>0.01815</v>
      </c>
      <c r="Q27" s="44" t="n">
        <f aca="false">I27</f>
        <v>0.209246022596265</v>
      </c>
      <c r="R27" s="44" t="n">
        <f aca="false">E27*'Programme cost'!$E$6/1000000</f>
        <v>0.023085</v>
      </c>
      <c r="S27" s="44" t="n">
        <f aca="false">IF('Programme cost'!$F$31="in-house",H27,IF('Programme cost'!$F$31="integrator",I27,J27+K27))</f>
        <v>0.0578972106694266</v>
      </c>
      <c r="T27" s="0" t="s">
        <v>3865</v>
      </c>
    </row>
    <row r="28" customFormat="false" ht="15" hidden="false" customHeight="false" outlineLevel="0" collapsed="false">
      <c r="A28" s="0" t="s">
        <v>3805</v>
      </c>
      <c r="B28" s="0" t="n">
        <v>2</v>
      </c>
      <c r="C28" s="0" t="s">
        <v>3768</v>
      </c>
      <c r="D28" s="0" t="n">
        <v>2</v>
      </c>
      <c r="E28" s="0" t="n">
        <f aca="false">D28*x21_phase_months</f>
        <v>12</v>
      </c>
      <c r="F28" s="0" t="s">
        <v>3836</v>
      </c>
      <c r="G28" s="0" t="s">
        <v>3837</v>
      </c>
      <c r="H28" s="44" t="n">
        <f aca="false">E28*'Programme cost'!$C$5/1000000</f>
        <v>0.12150072</v>
      </c>
      <c r="I28" s="44" t="n">
        <f aca="false">E28*'Programme cost'!$F$5/1000000</f>
        <v>0.327184689877796</v>
      </c>
      <c r="J28" s="44" t="n">
        <f aca="false">E28*(1-'Programme cost'!$G$5)*'Programme cost'!$C$5/1000000</f>
        <v>0.115217529213198</v>
      </c>
      <c r="K28" s="44" t="n">
        <f aca="false">E28*(1-'Programme cost'!$G$5)*'Programme cost'!$J$5/1000000</f>
        <v>0.000576892125655236</v>
      </c>
      <c r="L28" s="44" t="n">
        <f aca="false">E28*(1-'Programme cost'!$H$5)*'Programme cost'!$C$5/1000000</f>
        <v>0.10455136956</v>
      </c>
      <c r="M28" s="44" t="n">
        <f aca="false">E28*(1-'Programme cost'!$H$5)*'Programme cost'!$J$5/1000000</f>
        <v>0.000523486853411239</v>
      </c>
      <c r="N28" s="44" t="n">
        <f aca="false">E28*(1-'Programme cost'!$I$5)*'Programme cost'!$C$5/1000000</f>
        <v>0.1272720042</v>
      </c>
      <c r="O28" s="44" t="n">
        <f aca="false">E28*(1-'Programme cost'!$I$5)*'Programme cost'!$J$5/1000000</f>
        <v>0.000637248668156041</v>
      </c>
      <c r="P28" s="44" t="n">
        <f aca="false">E28*consip_svi_eur_team_day*x25_days_per_fte_year/12/1000000</f>
        <v>0.0363</v>
      </c>
      <c r="Q28" s="44" t="n">
        <f aca="false">E28*dl_gc14_off_dev_l4_gbp_day/x25_gbp_per_eur*x25_days_per_fte_year/12/1000000</f>
        <v>0.147106294673738</v>
      </c>
      <c r="R28" s="44" t="n">
        <f aca="false">E28*'Programme cost'!$E$5/1000000</f>
        <v>0.04617</v>
      </c>
      <c r="S28" s="44" t="n">
        <f aca="false">IF('Programme cost'!$F$31="in-house",H28,IF('Programme cost'!$F$31="integrator",I28,J28+K28))</f>
        <v>0.115794421338853</v>
      </c>
      <c r="T28" s="0" t="s">
        <v>3866</v>
      </c>
    </row>
    <row r="29" customFormat="false" ht="15" hidden="false" customHeight="false" outlineLevel="0" collapsed="false">
      <c r="A29" s="0" t="s">
        <v>3805</v>
      </c>
      <c r="B29" s="0" t="n">
        <v>2</v>
      </c>
      <c r="C29" s="0" t="s">
        <v>3772</v>
      </c>
      <c r="D29" s="0" t="n">
        <v>1</v>
      </c>
      <c r="E29" s="0" t="n">
        <f aca="false">D29*x21_phase_months</f>
        <v>6</v>
      </c>
      <c r="F29" s="0" t="s">
        <v>3836</v>
      </c>
      <c r="G29" s="0" t="s">
        <v>3837</v>
      </c>
      <c r="H29" s="44" t="n">
        <f aca="false">E29*'Programme cost'!$C$8/1000000</f>
        <v>0.06075036</v>
      </c>
      <c r="I29" s="44" t="n">
        <f aca="false">E29*'Programme cost'!$F$8/1000000</f>
        <v>0.209246022596265</v>
      </c>
      <c r="J29" s="44" t="n">
        <f aca="false">E29*(1-'Programme cost'!$G$8)*'Programme cost'!$C$8/1000000</f>
        <v>0.0589278492</v>
      </c>
      <c r="K29" s="44" t="n">
        <f aca="false">E29*(1-'Programme cost'!$G$8)*'Programme cost'!$J$8/1000000</f>
        <v>0.000100017185083348</v>
      </c>
      <c r="L29" s="44" t="n">
        <f aca="false">E29*(1-'Programme cost'!$H$8)*'Programme cost'!$C$8/1000000</f>
        <v>0.0589278492</v>
      </c>
      <c r="M29" s="44" t="n">
        <f aca="false">E29*(1-'Programme cost'!$H$8)*'Programme cost'!$J$8/1000000</f>
        <v>0.000100017185083348</v>
      </c>
      <c r="N29" s="44" t="n">
        <f aca="false">E29*(1-'Programme cost'!$I$8)*'Programme cost'!$C$8/1000000</f>
        <v>0.06075036</v>
      </c>
      <c r="O29" s="44" t="n">
        <f aca="false">E29*(1-'Programme cost'!$I$8)*'Programme cost'!$J$8/1000000</f>
        <v>0.000103110500085925</v>
      </c>
      <c r="P29" s="44" t="n">
        <f aca="false">E29*consip_svi_eur_team_day*x25_days_per_fte_year/12/1000000</f>
        <v>0.01815</v>
      </c>
      <c r="Q29" s="44" t="n">
        <f aca="false">I29</f>
        <v>0.209246022596265</v>
      </c>
      <c r="R29" s="44" t="n">
        <f aca="false">H29</f>
        <v>0.06075036</v>
      </c>
      <c r="S29" s="44" t="n">
        <f aca="false">IF('Programme cost'!$F$31="in-house",H29,IF('Programme cost'!$F$31="integrator",I29,J29+K29))</f>
        <v>0.0590278663850834</v>
      </c>
      <c r="T29" s="0" t="s">
        <v>3867</v>
      </c>
    </row>
    <row r="30" customFormat="false" ht="15" hidden="false" customHeight="false" outlineLevel="0" collapsed="false">
      <c r="A30" s="0" t="s">
        <v>3805</v>
      </c>
      <c r="B30" s="0" t="n">
        <v>3</v>
      </c>
      <c r="C30" s="0" t="s">
        <v>3770</v>
      </c>
      <c r="D30" s="0" t="n">
        <v>1</v>
      </c>
      <c r="E30" s="0" t="n">
        <f aca="false">D30*x21_phase_months</f>
        <v>6</v>
      </c>
      <c r="F30" s="0" t="s">
        <v>3836</v>
      </c>
      <c r="G30" s="0" t="s">
        <v>3837</v>
      </c>
      <c r="H30" s="44" t="n">
        <f aca="false">E30*'Programme cost'!$C$6/1000000</f>
        <v>0.06075036</v>
      </c>
      <c r="I30" s="44" t="n">
        <f aca="false">E30*'Programme cost'!$F$6/1000000</f>
        <v>0.209246022596265</v>
      </c>
      <c r="J30" s="44" t="n">
        <f aca="false">E30*(1-'Programme cost'!$G$6)*'Programme cost'!$C$6/1000000</f>
        <v>0.057608764606599</v>
      </c>
      <c r="K30" s="44" t="n">
        <f aca="false">E30*(1-'Programme cost'!$G$6)*'Programme cost'!$J$6/1000000</f>
        <v>0.000288446062827618</v>
      </c>
      <c r="L30" s="44" t="n">
        <f aca="false">E30*(1-'Programme cost'!$H$6)*'Programme cost'!$C$6/1000000</f>
        <v>0.05227568478</v>
      </c>
      <c r="M30" s="44" t="n">
        <f aca="false">E30*(1-'Programme cost'!$H$6)*'Programme cost'!$J$6/1000000</f>
        <v>0.00026174342670562</v>
      </c>
      <c r="N30" s="44" t="n">
        <f aca="false">E30*(1-'Programme cost'!$I$6)*'Programme cost'!$C$6/1000000</f>
        <v>0.0636360021</v>
      </c>
      <c r="O30" s="44" t="n">
        <f aca="false">E30*(1-'Programme cost'!$I$6)*'Programme cost'!$J$6/1000000</f>
        <v>0.00031862433407802</v>
      </c>
      <c r="P30" s="44" t="n">
        <f aca="false">E30*consip_svi_eur_team_day*x25_days_per_fte_year/12/1000000</f>
        <v>0.01815</v>
      </c>
      <c r="Q30" s="44" t="n">
        <f aca="false">I30</f>
        <v>0.209246022596265</v>
      </c>
      <c r="R30" s="44" t="n">
        <f aca="false">E30*'Programme cost'!$E$6/1000000</f>
        <v>0.023085</v>
      </c>
      <c r="S30" s="44" t="n">
        <f aca="false">IF('Programme cost'!$F$31="in-house",H30,IF('Programme cost'!$F$31="integrator",I30,J30+K30))</f>
        <v>0.0578972106694266</v>
      </c>
      <c r="T30" s="0" t="s">
        <v>3868</v>
      </c>
    </row>
    <row r="31" customFormat="false" ht="15" hidden="false" customHeight="false" outlineLevel="0" collapsed="false">
      <c r="A31" s="0" t="s">
        <v>3805</v>
      </c>
      <c r="B31" s="0" t="n">
        <v>3</v>
      </c>
      <c r="C31" s="0" t="s">
        <v>3768</v>
      </c>
      <c r="D31" s="0" t="n">
        <v>1</v>
      </c>
      <c r="E31" s="0" t="n">
        <f aca="false">D31*x21_phase_months</f>
        <v>6</v>
      </c>
      <c r="F31" s="0" t="s">
        <v>3836</v>
      </c>
      <c r="G31" s="0" t="s">
        <v>3837</v>
      </c>
      <c r="H31" s="44" t="n">
        <f aca="false">E31*'Programme cost'!$C$5/1000000</f>
        <v>0.06075036</v>
      </c>
      <c r="I31" s="44" t="n">
        <f aca="false">E31*'Programme cost'!$F$5/1000000</f>
        <v>0.163592344938898</v>
      </c>
      <c r="J31" s="44" t="n">
        <f aca="false">E31*(1-'Programme cost'!$G$5)*'Programme cost'!$C$5/1000000</f>
        <v>0.057608764606599</v>
      </c>
      <c r="K31" s="44" t="n">
        <f aca="false">E31*(1-'Programme cost'!$G$5)*'Programme cost'!$J$5/1000000</f>
        <v>0.000288446062827618</v>
      </c>
      <c r="L31" s="44" t="n">
        <f aca="false">E31*(1-'Programme cost'!$H$5)*'Programme cost'!$C$5/1000000</f>
        <v>0.05227568478</v>
      </c>
      <c r="M31" s="44" t="n">
        <f aca="false">E31*(1-'Programme cost'!$H$5)*'Programme cost'!$J$5/1000000</f>
        <v>0.00026174342670562</v>
      </c>
      <c r="N31" s="44" t="n">
        <f aca="false">E31*(1-'Programme cost'!$I$5)*'Programme cost'!$C$5/1000000</f>
        <v>0.0636360021</v>
      </c>
      <c r="O31" s="44" t="n">
        <f aca="false">E31*(1-'Programme cost'!$I$5)*'Programme cost'!$J$5/1000000</f>
        <v>0.00031862433407802</v>
      </c>
      <c r="P31" s="44" t="n">
        <f aca="false">E31*consip_svi_eur_team_day*x25_days_per_fte_year/12/1000000</f>
        <v>0.01815</v>
      </c>
      <c r="Q31" s="44" t="n">
        <f aca="false">E31*dl_gc14_off_dev_l4_gbp_day/x25_gbp_per_eur*x25_days_per_fte_year/12/1000000</f>
        <v>0.0735531473368688</v>
      </c>
      <c r="R31" s="44" t="n">
        <f aca="false">E31*'Programme cost'!$E$5/1000000</f>
        <v>0.023085</v>
      </c>
      <c r="S31" s="44" t="n">
        <f aca="false">IF('Programme cost'!$F$31="in-house",H31,IF('Programme cost'!$F$31="integrator",I31,J31+K31))</f>
        <v>0.0578972106694266</v>
      </c>
      <c r="T31" s="0" t="s">
        <v>3869</v>
      </c>
    </row>
    <row r="32" customFormat="false" ht="15" hidden="false" customHeight="false" outlineLevel="0" collapsed="false">
      <c r="A32" s="0" t="s">
        <v>3805</v>
      </c>
      <c r="B32" s="0" t="n">
        <v>3</v>
      </c>
      <c r="C32" s="0" t="s">
        <v>3772</v>
      </c>
      <c r="D32" s="0" t="n">
        <v>1</v>
      </c>
      <c r="E32" s="0" t="n">
        <f aca="false">D32*x21_phase_months</f>
        <v>6</v>
      </c>
      <c r="F32" s="0" t="s">
        <v>3836</v>
      </c>
      <c r="G32" s="0" t="s">
        <v>3837</v>
      </c>
      <c r="H32" s="44" t="n">
        <f aca="false">E32*'Programme cost'!$C$8/1000000</f>
        <v>0.06075036</v>
      </c>
      <c r="I32" s="44" t="n">
        <f aca="false">E32*'Programme cost'!$F$8/1000000</f>
        <v>0.209246022596265</v>
      </c>
      <c r="J32" s="44" t="n">
        <f aca="false">E32*(1-'Programme cost'!$G$8)*'Programme cost'!$C$8/1000000</f>
        <v>0.0589278492</v>
      </c>
      <c r="K32" s="44" t="n">
        <f aca="false">E32*(1-'Programme cost'!$G$8)*'Programme cost'!$J$8/1000000</f>
        <v>0.000100017185083348</v>
      </c>
      <c r="L32" s="44" t="n">
        <f aca="false">E32*(1-'Programme cost'!$H$8)*'Programme cost'!$C$8/1000000</f>
        <v>0.0589278492</v>
      </c>
      <c r="M32" s="44" t="n">
        <f aca="false">E32*(1-'Programme cost'!$H$8)*'Programme cost'!$J$8/1000000</f>
        <v>0.000100017185083348</v>
      </c>
      <c r="N32" s="44" t="n">
        <f aca="false">E32*(1-'Programme cost'!$I$8)*'Programme cost'!$C$8/1000000</f>
        <v>0.06075036</v>
      </c>
      <c r="O32" s="44" t="n">
        <f aca="false">E32*(1-'Programme cost'!$I$8)*'Programme cost'!$J$8/1000000</f>
        <v>0.000103110500085925</v>
      </c>
      <c r="P32" s="44" t="n">
        <f aca="false">E32*consip_svi_eur_team_day*x25_days_per_fte_year/12/1000000</f>
        <v>0.01815</v>
      </c>
      <c r="Q32" s="44" t="n">
        <f aca="false">I32</f>
        <v>0.209246022596265</v>
      </c>
      <c r="R32" s="44" t="n">
        <f aca="false">H32</f>
        <v>0.06075036</v>
      </c>
      <c r="S32" s="44" t="n">
        <f aca="false">IF('Programme cost'!$F$31="in-house",H32,IF('Programme cost'!$F$31="integrator",I32,J32+K32))</f>
        <v>0.0590278663850834</v>
      </c>
      <c r="T32" s="0" t="s">
        <v>3870</v>
      </c>
    </row>
    <row r="33" customFormat="false" ht="15" hidden="false" customHeight="false" outlineLevel="0" collapsed="false">
      <c r="A33" s="0" t="s">
        <v>3805</v>
      </c>
      <c r="B33" s="0" t="n">
        <v>4</v>
      </c>
      <c r="C33" s="0" t="s">
        <v>3770</v>
      </c>
      <c r="D33" s="0" t="n">
        <v>0.5</v>
      </c>
      <c r="E33" s="0" t="n">
        <f aca="false">D33*x21_phase_months</f>
        <v>3</v>
      </c>
      <c r="F33" s="0" t="s">
        <v>3836</v>
      </c>
      <c r="G33" s="0" t="s">
        <v>3837</v>
      </c>
      <c r="H33" s="44" t="n">
        <f aca="false">E33*'Programme cost'!$C$6/1000000</f>
        <v>0.03037518</v>
      </c>
      <c r="I33" s="44" t="n">
        <f aca="false">E33*'Programme cost'!$F$6/1000000</f>
        <v>0.104623011298132</v>
      </c>
      <c r="J33" s="44" t="n">
        <f aca="false">E33*(1-'Programme cost'!$G$6)*'Programme cost'!$C$6/1000000</f>
        <v>0.0288043823032995</v>
      </c>
      <c r="K33" s="44" t="n">
        <f aca="false">E33*(1-'Programme cost'!$G$6)*'Programme cost'!$J$6/1000000</f>
        <v>0.000144223031413809</v>
      </c>
      <c r="L33" s="44" t="n">
        <f aca="false">E33*(1-'Programme cost'!$H$6)*'Programme cost'!$C$6/1000000</f>
        <v>0.02613784239</v>
      </c>
      <c r="M33" s="44" t="n">
        <f aca="false">E33*(1-'Programme cost'!$H$6)*'Programme cost'!$J$6/1000000</f>
        <v>0.00013087171335281</v>
      </c>
      <c r="N33" s="44" t="n">
        <f aca="false">E33*(1-'Programme cost'!$I$6)*'Programme cost'!$C$6/1000000</f>
        <v>0.03181800105</v>
      </c>
      <c r="O33" s="44" t="n">
        <f aca="false">E33*(1-'Programme cost'!$I$6)*'Programme cost'!$J$6/1000000</f>
        <v>0.00015931216703901</v>
      </c>
      <c r="P33" s="44" t="n">
        <f aca="false">E33*consip_svi_eur_team_day*x25_days_per_fte_year/12/1000000</f>
        <v>0.009075</v>
      </c>
      <c r="Q33" s="44" t="n">
        <f aca="false">I33</f>
        <v>0.104623011298132</v>
      </c>
      <c r="R33" s="44" t="n">
        <f aca="false">E33*'Programme cost'!$E$6/1000000</f>
        <v>0.0115425</v>
      </c>
      <c r="S33" s="44" t="n">
        <f aca="false">IF('Programme cost'!$F$31="in-house",H33,IF('Programme cost'!$F$31="integrator",I33,J33+K33))</f>
        <v>0.0289486053347133</v>
      </c>
      <c r="T33" s="0" t="s">
        <v>3871</v>
      </c>
    </row>
    <row r="34" customFormat="false" ht="15" hidden="false" customHeight="false" outlineLevel="0" collapsed="false">
      <c r="A34" s="0" t="s">
        <v>3805</v>
      </c>
      <c r="B34" s="0" t="n">
        <v>4</v>
      </c>
      <c r="C34" s="0" t="s">
        <v>3768</v>
      </c>
      <c r="D34" s="0" t="n">
        <v>0.5</v>
      </c>
      <c r="E34" s="0" t="n">
        <f aca="false">D34*x21_phase_months</f>
        <v>3</v>
      </c>
      <c r="F34" s="0" t="s">
        <v>3836</v>
      </c>
      <c r="G34" s="0" t="s">
        <v>3837</v>
      </c>
      <c r="H34" s="44" t="n">
        <f aca="false">E34*'Programme cost'!$C$5/1000000</f>
        <v>0.03037518</v>
      </c>
      <c r="I34" s="44" t="n">
        <f aca="false">E34*'Programme cost'!$F$5/1000000</f>
        <v>0.0817961724694489</v>
      </c>
      <c r="J34" s="44" t="n">
        <f aca="false">E34*(1-'Programme cost'!$G$5)*'Programme cost'!$C$5/1000000</f>
        <v>0.0288043823032995</v>
      </c>
      <c r="K34" s="44" t="n">
        <f aca="false">E34*(1-'Programme cost'!$G$5)*'Programme cost'!$J$5/1000000</f>
        <v>0.000144223031413809</v>
      </c>
      <c r="L34" s="44" t="n">
        <f aca="false">E34*(1-'Programme cost'!$H$5)*'Programme cost'!$C$5/1000000</f>
        <v>0.02613784239</v>
      </c>
      <c r="M34" s="44" t="n">
        <f aca="false">E34*(1-'Programme cost'!$H$5)*'Programme cost'!$J$5/1000000</f>
        <v>0.00013087171335281</v>
      </c>
      <c r="N34" s="44" t="n">
        <f aca="false">E34*(1-'Programme cost'!$I$5)*'Programme cost'!$C$5/1000000</f>
        <v>0.03181800105</v>
      </c>
      <c r="O34" s="44" t="n">
        <f aca="false">E34*(1-'Programme cost'!$I$5)*'Programme cost'!$J$5/1000000</f>
        <v>0.00015931216703901</v>
      </c>
      <c r="P34" s="44" t="n">
        <f aca="false">E34*consip_svi_eur_team_day*x25_days_per_fte_year/12/1000000</f>
        <v>0.009075</v>
      </c>
      <c r="Q34" s="44" t="n">
        <f aca="false">E34*dl_gc14_off_dev_l4_gbp_day/x25_gbp_per_eur*x25_days_per_fte_year/12/1000000</f>
        <v>0.0367765736684344</v>
      </c>
      <c r="R34" s="44" t="n">
        <f aca="false">E34*'Programme cost'!$E$5/1000000</f>
        <v>0.0115425</v>
      </c>
      <c r="S34" s="44" t="n">
        <f aca="false">IF('Programme cost'!$F$31="in-house",H34,IF('Programme cost'!$F$31="integrator",I34,J34+K34))</f>
        <v>0.0289486053347133</v>
      </c>
      <c r="T34" s="0" t="s">
        <v>3872</v>
      </c>
    </row>
    <row r="35" customFormat="false" ht="15" hidden="false" customHeight="false" outlineLevel="0" collapsed="false">
      <c r="A35" s="0" t="s">
        <v>3806</v>
      </c>
      <c r="B35" s="0" t="n">
        <v>1</v>
      </c>
      <c r="C35" s="0" t="s">
        <v>3770</v>
      </c>
      <c r="D35" s="0" t="n">
        <v>3</v>
      </c>
      <c r="E35" s="0" t="n">
        <f aca="false">D35*x21_phase_months</f>
        <v>18</v>
      </c>
      <c r="F35" s="0" t="s">
        <v>3836</v>
      </c>
      <c r="G35" s="0" t="s">
        <v>3837</v>
      </c>
      <c r="H35" s="44" t="n">
        <f aca="false">E35*'Programme cost'!$C$6/1000000</f>
        <v>0.18225108</v>
      </c>
      <c r="I35" s="44" t="n">
        <f aca="false">E35*'Programme cost'!$F$6/1000000</f>
        <v>0.627738067788794</v>
      </c>
      <c r="J35" s="44" t="n">
        <f aca="false">E35*(1-'Programme cost'!$G$6)*'Programme cost'!$C$6/1000000</f>
        <v>0.172826293819797</v>
      </c>
      <c r="K35" s="44" t="n">
        <f aca="false">E35*(1-'Programme cost'!$G$6)*'Programme cost'!$J$6/1000000</f>
        <v>0.000865338188482854</v>
      </c>
      <c r="L35" s="44" t="n">
        <f aca="false">E35*(1-'Programme cost'!$H$6)*'Programme cost'!$C$6/1000000</f>
        <v>0.15682705434</v>
      </c>
      <c r="M35" s="44" t="n">
        <f aca="false">E35*(1-'Programme cost'!$H$6)*'Programme cost'!$J$6/1000000</f>
        <v>0.000785230280116859</v>
      </c>
      <c r="N35" s="44" t="n">
        <f aca="false">E35*(1-'Programme cost'!$I$6)*'Programme cost'!$C$6/1000000</f>
        <v>0.1909080063</v>
      </c>
      <c r="O35" s="44" t="n">
        <f aca="false">E35*(1-'Programme cost'!$I$6)*'Programme cost'!$J$6/1000000</f>
        <v>0.000955873002234061</v>
      </c>
      <c r="P35" s="44" t="n">
        <f aca="false">E35*consip_svi_eur_team_day*x25_days_per_fte_year/12/1000000</f>
        <v>0.05445</v>
      </c>
      <c r="Q35" s="44" t="n">
        <f aca="false">I35</f>
        <v>0.627738067788794</v>
      </c>
      <c r="R35" s="44" t="n">
        <f aca="false">E35*'Programme cost'!$E$6/1000000</f>
        <v>0.069255</v>
      </c>
      <c r="S35" s="44" t="n">
        <f aca="false">IF('Programme cost'!$F$32="in-house",H35,IF('Programme cost'!$F$32="integrator",I35,J35+K35))</f>
        <v>0.17369163200828</v>
      </c>
      <c r="T35" s="0" t="s">
        <v>3873</v>
      </c>
    </row>
    <row r="36" customFormat="false" ht="15" hidden="false" customHeight="false" outlineLevel="0" collapsed="false">
      <c r="A36" s="0" t="s">
        <v>3806</v>
      </c>
      <c r="B36" s="0" t="n">
        <v>1</v>
      </c>
      <c r="C36" s="0" t="s">
        <v>3768</v>
      </c>
      <c r="D36" s="0" t="n">
        <v>2</v>
      </c>
      <c r="E36" s="0" t="n">
        <f aca="false">D36*x21_phase_months</f>
        <v>12</v>
      </c>
      <c r="F36" s="0" t="s">
        <v>3836</v>
      </c>
      <c r="G36" s="0" t="s">
        <v>3837</v>
      </c>
      <c r="H36" s="44" t="n">
        <f aca="false">E36*'Programme cost'!$C$5/1000000</f>
        <v>0.12150072</v>
      </c>
      <c r="I36" s="44" t="n">
        <f aca="false">E36*'Programme cost'!$F$5/1000000</f>
        <v>0.327184689877796</v>
      </c>
      <c r="J36" s="44" t="n">
        <f aca="false">E36*(1-'Programme cost'!$G$5)*'Programme cost'!$C$5/1000000</f>
        <v>0.115217529213198</v>
      </c>
      <c r="K36" s="44" t="n">
        <f aca="false">E36*(1-'Programme cost'!$G$5)*'Programme cost'!$J$5/1000000</f>
        <v>0.000576892125655236</v>
      </c>
      <c r="L36" s="44" t="n">
        <f aca="false">E36*(1-'Programme cost'!$H$5)*'Programme cost'!$C$5/1000000</f>
        <v>0.10455136956</v>
      </c>
      <c r="M36" s="44" t="n">
        <f aca="false">E36*(1-'Programme cost'!$H$5)*'Programme cost'!$J$5/1000000</f>
        <v>0.000523486853411239</v>
      </c>
      <c r="N36" s="44" t="n">
        <f aca="false">E36*(1-'Programme cost'!$I$5)*'Programme cost'!$C$5/1000000</f>
        <v>0.1272720042</v>
      </c>
      <c r="O36" s="44" t="n">
        <f aca="false">E36*(1-'Programme cost'!$I$5)*'Programme cost'!$J$5/1000000</f>
        <v>0.000637248668156041</v>
      </c>
      <c r="P36" s="44" t="n">
        <f aca="false">E36*consip_svi_eur_team_day*x25_days_per_fte_year/12/1000000</f>
        <v>0.0363</v>
      </c>
      <c r="Q36" s="44" t="n">
        <f aca="false">E36*dl_gc14_off_dev_l4_gbp_day/x25_gbp_per_eur*x25_days_per_fte_year/12/1000000</f>
        <v>0.147106294673738</v>
      </c>
      <c r="R36" s="44" t="n">
        <f aca="false">E36*'Programme cost'!$E$5/1000000</f>
        <v>0.04617</v>
      </c>
      <c r="S36" s="44" t="n">
        <f aca="false">IF('Programme cost'!$F$32="in-house",H36,IF('Programme cost'!$F$32="integrator",I36,J36+K36))</f>
        <v>0.115794421338853</v>
      </c>
      <c r="T36" s="0" t="s">
        <v>3874</v>
      </c>
    </row>
    <row r="37" customFormat="false" ht="15" hidden="false" customHeight="false" outlineLevel="0" collapsed="false">
      <c r="A37" s="0" t="s">
        <v>3806</v>
      </c>
      <c r="B37" s="0" t="n">
        <v>2</v>
      </c>
      <c r="C37" s="0" t="s">
        <v>3770</v>
      </c>
      <c r="D37" s="0" t="n">
        <v>3</v>
      </c>
      <c r="E37" s="0" t="n">
        <f aca="false">D37*x21_phase_months</f>
        <v>18</v>
      </c>
      <c r="F37" s="0" t="s">
        <v>3836</v>
      </c>
      <c r="G37" s="0" t="s">
        <v>3837</v>
      </c>
      <c r="H37" s="44" t="n">
        <f aca="false">E37*'Programme cost'!$C$6/1000000</f>
        <v>0.18225108</v>
      </c>
      <c r="I37" s="44" t="n">
        <f aca="false">E37*'Programme cost'!$F$6/1000000</f>
        <v>0.627738067788794</v>
      </c>
      <c r="J37" s="44" t="n">
        <f aca="false">E37*(1-'Programme cost'!$G$6)*'Programme cost'!$C$6/1000000</f>
        <v>0.172826293819797</v>
      </c>
      <c r="K37" s="44" t="n">
        <f aca="false">E37*(1-'Programme cost'!$G$6)*'Programme cost'!$J$6/1000000</f>
        <v>0.000865338188482854</v>
      </c>
      <c r="L37" s="44" t="n">
        <f aca="false">E37*(1-'Programme cost'!$H$6)*'Programme cost'!$C$6/1000000</f>
        <v>0.15682705434</v>
      </c>
      <c r="M37" s="44" t="n">
        <f aca="false">E37*(1-'Programme cost'!$H$6)*'Programme cost'!$J$6/1000000</f>
        <v>0.000785230280116859</v>
      </c>
      <c r="N37" s="44" t="n">
        <f aca="false">E37*(1-'Programme cost'!$I$6)*'Programme cost'!$C$6/1000000</f>
        <v>0.1909080063</v>
      </c>
      <c r="O37" s="44" t="n">
        <f aca="false">E37*(1-'Programme cost'!$I$6)*'Programme cost'!$J$6/1000000</f>
        <v>0.000955873002234061</v>
      </c>
      <c r="P37" s="44" t="n">
        <f aca="false">E37*consip_svi_eur_team_day*x25_days_per_fte_year/12/1000000</f>
        <v>0.05445</v>
      </c>
      <c r="Q37" s="44" t="n">
        <f aca="false">I37</f>
        <v>0.627738067788794</v>
      </c>
      <c r="R37" s="44" t="n">
        <f aca="false">E37*'Programme cost'!$E$6/1000000</f>
        <v>0.069255</v>
      </c>
      <c r="S37" s="44" t="n">
        <f aca="false">IF('Programme cost'!$F$32="in-house",H37,IF('Programme cost'!$F$32="integrator",I37,J37+K37))</f>
        <v>0.17369163200828</v>
      </c>
      <c r="T37" s="0" t="s">
        <v>3875</v>
      </c>
    </row>
    <row r="38" customFormat="false" ht="15" hidden="false" customHeight="false" outlineLevel="0" collapsed="false">
      <c r="A38" s="0" t="s">
        <v>3806</v>
      </c>
      <c r="B38" s="0" t="n">
        <v>2</v>
      </c>
      <c r="C38" s="0" t="s">
        <v>3768</v>
      </c>
      <c r="D38" s="0" t="n">
        <v>1</v>
      </c>
      <c r="E38" s="0" t="n">
        <f aca="false">D38*x21_phase_months</f>
        <v>6</v>
      </c>
      <c r="F38" s="0" t="s">
        <v>3836</v>
      </c>
      <c r="G38" s="0" t="s">
        <v>3837</v>
      </c>
      <c r="H38" s="44" t="n">
        <f aca="false">E38*'Programme cost'!$C$5/1000000</f>
        <v>0.06075036</v>
      </c>
      <c r="I38" s="44" t="n">
        <f aca="false">E38*'Programme cost'!$F$5/1000000</f>
        <v>0.163592344938898</v>
      </c>
      <c r="J38" s="44" t="n">
        <f aca="false">E38*(1-'Programme cost'!$G$5)*'Programme cost'!$C$5/1000000</f>
        <v>0.057608764606599</v>
      </c>
      <c r="K38" s="44" t="n">
        <f aca="false">E38*(1-'Programme cost'!$G$5)*'Programme cost'!$J$5/1000000</f>
        <v>0.000288446062827618</v>
      </c>
      <c r="L38" s="44" t="n">
        <f aca="false">E38*(1-'Programme cost'!$H$5)*'Programme cost'!$C$5/1000000</f>
        <v>0.05227568478</v>
      </c>
      <c r="M38" s="44" t="n">
        <f aca="false">E38*(1-'Programme cost'!$H$5)*'Programme cost'!$J$5/1000000</f>
        <v>0.00026174342670562</v>
      </c>
      <c r="N38" s="44" t="n">
        <f aca="false">E38*(1-'Programme cost'!$I$5)*'Programme cost'!$C$5/1000000</f>
        <v>0.0636360021</v>
      </c>
      <c r="O38" s="44" t="n">
        <f aca="false">E38*(1-'Programme cost'!$I$5)*'Programme cost'!$J$5/1000000</f>
        <v>0.00031862433407802</v>
      </c>
      <c r="P38" s="44" t="n">
        <f aca="false">E38*consip_svi_eur_team_day*x25_days_per_fte_year/12/1000000</f>
        <v>0.01815</v>
      </c>
      <c r="Q38" s="44" t="n">
        <f aca="false">E38*dl_gc14_off_dev_l4_gbp_day/x25_gbp_per_eur*x25_days_per_fte_year/12/1000000</f>
        <v>0.0735531473368688</v>
      </c>
      <c r="R38" s="44" t="n">
        <f aca="false">E38*'Programme cost'!$E$5/1000000</f>
        <v>0.023085</v>
      </c>
      <c r="S38" s="44" t="n">
        <f aca="false">IF('Programme cost'!$F$32="in-house",H38,IF('Programme cost'!$F$32="integrator",I38,J38+K38))</f>
        <v>0.0578972106694266</v>
      </c>
      <c r="T38" s="0" t="s">
        <v>3876</v>
      </c>
    </row>
    <row r="39" customFormat="false" ht="15" hidden="false" customHeight="false" outlineLevel="0" collapsed="false">
      <c r="A39" s="0" t="s">
        <v>3806</v>
      </c>
      <c r="B39" s="0" t="n">
        <v>3</v>
      </c>
      <c r="C39" s="0" t="s">
        <v>3770</v>
      </c>
      <c r="D39" s="0" t="n">
        <v>3</v>
      </c>
      <c r="E39" s="0" t="n">
        <f aca="false">D39*x21_phase_months</f>
        <v>18</v>
      </c>
      <c r="F39" s="0" t="s">
        <v>3836</v>
      </c>
      <c r="G39" s="0" t="s">
        <v>3837</v>
      </c>
      <c r="H39" s="44" t="n">
        <f aca="false">E39*'Programme cost'!$C$6/1000000</f>
        <v>0.18225108</v>
      </c>
      <c r="I39" s="44" t="n">
        <f aca="false">E39*'Programme cost'!$F$6/1000000</f>
        <v>0.627738067788794</v>
      </c>
      <c r="J39" s="44" t="n">
        <f aca="false">E39*(1-'Programme cost'!$G$6)*'Programme cost'!$C$6/1000000</f>
        <v>0.172826293819797</v>
      </c>
      <c r="K39" s="44" t="n">
        <f aca="false">E39*(1-'Programme cost'!$G$6)*'Programme cost'!$J$6/1000000</f>
        <v>0.000865338188482854</v>
      </c>
      <c r="L39" s="44" t="n">
        <f aca="false">E39*(1-'Programme cost'!$H$6)*'Programme cost'!$C$6/1000000</f>
        <v>0.15682705434</v>
      </c>
      <c r="M39" s="44" t="n">
        <f aca="false">E39*(1-'Programme cost'!$H$6)*'Programme cost'!$J$6/1000000</f>
        <v>0.000785230280116859</v>
      </c>
      <c r="N39" s="44" t="n">
        <f aca="false">E39*(1-'Programme cost'!$I$6)*'Programme cost'!$C$6/1000000</f>
        <v>0.1909080063</v>
      </c>
      <c r="O39" s="44" t="n">
        <f aca="false">E39*(1-'Programme cost'!$I$6)*'Programme cost'!$J$6/1000000</f>
        <v>0.000955873002234061</v>
      </c>
      <c r="P39" s="44" t="n">
        <f aca="false">E39*consip_svi_eur_team_day*x25_days_per_fte_year/12/1000000</f>
        <v>0.05445</v>
      </c>
      <c r="Q39" s="44" t="n">
        <f aca="false">I39</f>
        <v>0.627738067788794</v>
      </c>
      <c r="R39" s="44" t="n">
        <f aca="false">E39*'Programme cost'!$E$6/1000000</f>
        <v>0.069255</v>
      </c>
      <c r="S39" s="44" t="n">
        <f aca="false">IF('Programme cost'!$F$32="in-house",H39,IF('Programme cost'!$F$32="integrator",I39,J39+K39))</f>
        <v>0.17369163200828</v>
      </c>
      <c r="T39" s="0" t="s">
        <v>3877</v>
      </c>
    </row>
    <row r="40" customFormat="false" ht="15" hidden="false" customHeight="false" outlineLevel="0" collapsed="false">
      <c r="A40" s="0" t="s">
        <v>3806</v>
      </c>
      <c r="B40" s="0" t="n">
        <v>3</v>
      </c>
      <c r="C40" s="0" t="s">
        <v>3768</v>
      </c>
      <c r="D40" s="0" t="n">
        <v>1</v>
      </c>
      <c r="E40" s="0" t="n">
        <f aca="false">D40*x21_phase_months</f>
        <v>6</v>
      </c>
      <c r="F40" s="0" t="s">
        <v>3836</v>
      </c>
      <c r="G40" s="0" t="s">
        <v>3837</v>
      </c>
      <c r="H40" s="44" t="n">
        <f aca="false">E40*'Programme cost'!$C$5/1000000</f>
        <v>0.06075036</v>
      </c>
      <c r="I40" s="44" t="n">
        <f aca="false">E40*'Programme cost'!$F$5/1000000</f>
        <v>0.163592344938898</v>
      </c>
      <c r="J40" s="44" t="n">
        <f aca="false">E40*(1-'Programme cost'!$G$5)*'Programme cost'!$C$5/1000000</f>
        <v>0.057608764606599</v>
      </c>
      <c r="K40" s="44" t="n">
        <f aca="false">E40*(1-'Programme cost'!$G$5)*'Programme cost'!$J$5/1000000</f>
        <v>0.000288446062827618</v>
      </c>
      <c r="L40" s="44" t="n">
        <f aca="false">E40*(1-'Programme cost'!$H$5)*'Programme cost'!$C$5/1000000</f>
        <v>0.05227568478</v>
      </c>
      <c r="M40" s="44" t="n">
        <f aca="false">E40*(1-'Programme cost'!$H$5)*'Programme cost'!$J$5/1000000</f>
        <v>0.00026174342670562</v>
      </c>
      <c r="N40" s="44" t="n">
        <f aca="false">E40*(1-'Programme cost'!$I$5)*'Programme cost'!$C$5/1000000</f>
        <v>0.0636360021</v>
      </c>
      <c r="O40" s="44" t="n">
        <f aca="false">E40*(1-'Programme cost'!$I$5)*'Programme cost'!$J$5/1000000</f>
        <v>0.00031862433407802</v>
      </c>
      <c r="P40" s="44" t="n">
        <f aca="false">E40*consip_svi_eur_team_day*x25_days_per_fte_year/12/1000000</f>
        <v>0.01815</v>
      </c>
      <c r="Q40" s="44" t="n">
        <f aca="false">E40*dl_gc14_off_dev_l4_gbp_day/x25_gbp_per_eur*x25_days_per_fte_year/12/1000000</f>
        <v>0.0735531473368688</v>
      </c>
      <c r="R40" s="44" t="n">
        <f aca="false">E40*'Programme cost'!$E$5/1000000</f>
        <v>0.023085</v>
      </c>
      <c r="S40" s="44" t="n">
        <f aca="false">IF('Programme cost'!$F$32="in-house",H40,IF('Programme cost'!$F$32="integrator",I40,J40+K40))</f>
        <v>0.0578972106694266</v>
      </c>
      <c r="T40" s="0" t="s">
        <v>3878</v>
      </c>
    </row>
    <row r="41" customFormat="false" ht="15" hidden="false" customHeight="false" outlineLevel="0" collapsed="false">
      <c r="A41" s="0" t="s">
        <v>3806</v>
      </c>
      <c r="B41" s="0" t="n">
        <v>4</v>
      </c>
      <c r="C41" s="0" t="s">
        <v>3770</v>
      </c>
      <c r="D41" s="0" t="n">
        <v>1</v>
      </c>
      <c r="E41" s="0" t="n">
        <f aca="false">D41*x21_phase_months</f>
        <v>6</v>
      </c>
      <c r="F41" s="0" t="s">
        <v>3836</v>
      </c>
      <c r="G41" s="0" t="s">
        <v>3837</v>
      </c>
      <c r="H41" s="44" t="n">
        <f aca="false">E41*'Programme cost'!$C$6/1000000</f>
        <v>0.06075036</v>
      </c>
      <c r="I41" s="44" t="n">
        <f aca="false">E41*'Programme cost'!$F$6/1000000</f>
        <v>0.209246022596265</v>
      </c>
      <c r="J41" s="44" t="n">
        <f aca="false">E41*(1-'Programme cost'!$G$6)*'Programme cost'!$C$6/1000000</f>
        <v>0.057608764606599</v>
      </c>
      <c r="K41" s="44" t="n">
        <f aca="false">E41*(1-'Programme cost'!$G$6)*'Programme cost'!$J$6/1000000</f>
        <v>0.000288446062827618</v>
      </c>
      <c r="L41" s="44" t="n">
        <f aca="false">E41*(1-'Programme cost'!$H$6)*'Programme cost'!$C$6/1000000</f>
        <v>0.05227568478</v>
      </c>
      <c r="M41" s="44" t="n">
        <f aca="false">E41*(1-'Programme cost'!$H$6)*'Programme cost'!$J$6/1000000</f>
        <v>0.00026174342670562</v>
      </c>
      <c r="N41" s="44" t="n">
        <f aca="false">E41*(1-'Programme cost'!$I$6)*'Programme cost'!$C$6/1000000</f>
        <v>0.0636360021</v>
      </c>
      <c r="O41" s="44" t="n">
        <f aca="false">E41*(1-'Programme cost'!$I$6)*'Programme cost'!$J$6/1000000</f>
        <v>0.00031862433407802</v>
      </c>
      <c r="P41" s="44" t="n">
        <f aca="false">E41*consip_svi_eur_team_day*x25_days_per_fte_year/12/1000000</f>
        <v>0.01815</v>
      </c>
      <c r="Q41" s="44" t="n">
        <f aca="false">I41</f>
        <v>0.209246022596265</v>
      </c>
      <c r="R41" s="44" t="n">
        <f aca="false">E41*'Programme cost'!$E$6/1000000</f>
        <v>0.023085</v>
      </c>
      <c r="S41" s="44" t="n">
        <f aca="false">IF('Programme cost'!$F$32="in-house",H41,IF('Programme cost'!$F$32="integrator",I41,J41+K41))</f>
        <v>0.0578972106694266</v>
      </c>
      <c r="T41" s="0" t="s">
        <v>3879</v>
      </c>
    </row>
    <row r="42" customFormat="false" ht="15" hidden="false" customHeight="false" outlineLevel="0" collapsed="false">
      <c r="A42" s="0" t="s">
        <v>3806</v>
      </c>
      <c r="B42" s="0" t="n">
        <v>4</v>
      </c>
      <c r="C42" s="0" t="s">
        <v>3768</v>
      </c>
      <c r="D42" s="0" t="n">
        <v>1</v>
      </c>
      <c r="E42" s="0" t="n">
        <f aca="false">D42*x21_phase_months</f>
        <v>6</v>
      </c>
      <c r="F42" s="0" t="s">
        <v>3836</v>
      </c>
      <c r="G42" s="0" t="s">
        <v>3837</v>
      </c>
      <c r="H42" s="44" t="n">
        <f aca="false">E42*'Programme cost'!$C$5/1000000</f>
        <v>0.06075036</v>
      </c>
      <c r="I42" s="44" t="n">
        <f aca="false">E42*'Programme cost'!$F$5/1000000</f>
        <v>0.163592344938898</v>
      </c>
      <c r="J42" s="44" t="n">
        <f aca="false">E42*(1-'Programme cost'!$G$5)*'Programme cost'!$C$5/1000000</f>
        <v>0.057608764606599</v>
      </c>
      <c r="K42" s="44" t="n">
        <f aca="false">E42*(1-'Programme cost'!$G$5)*'Programme cost'!$J$5/1000000</f>
        <v>0.000288446062827618</v>
      </c>
      <c r="L42" s="44" t="n">
        <f aca="false">E42*(1-'Programme cost'!$H$5)*'Programme cost'!$C$5/1000000</f>
        <v>0.05227568478</v>
      </c>
      <c r="M42" s="44" t="n">
        <f aca="false">E42*(1-'Programme cost'!$H$5)*'Programme cost'!$J$5/1000000</f>
        <v>0.00026174342670562</v>
      </c>
      <c r="N42" s="44" t="n">
        <f aca="false">E42*(1-'Programme cost'!$I$5)*'Programme cost'!$C$5/1000000</f>
        <v>0.0636360021</v>
      </c>
      <c r="O42" s="44" t="n">
        <f aca="false">E42*(1-'Programme cost'!$I$5)*'Programme cost'!$J$5/1000000</f>
        <v>0.00031862433407802</v>
      </c>
      <c r="P42" s="44" t="n">
        <f aca="false">E42*consip_svi_eur_team_day*x25_days_per_fte_year/12/1000000</f>
        <v>0.01815</v>
      </c>
      <c r="Q42" s="44" t="n">
        <f aca="false">E42*dl_gc14_off_dev_l4_gbp_day/x25_gbp_per_eur*x25_days_per_fte_year/12/1000000</f>
        <v>0.0735531473368688</v>
      </c>
      <c r="R42" s="44" t="n">
        <f aca="false">E42*'Programme cost'!$E$5/1000000</f>
        <v>0.023085</v>
      </c>
      <c r="S42" s="44" t="n">
        <f aca="false">IF('Programme cost'!$F$32="in-house",H42,IF('Programme cost'!$F$32="integrator",I42,J42+K42))</f>
        <v>0.0578972106694266</v>
      </c>
      <c r="T42" s="0" t="s">
        <v>3880</v>
      </c>
    </row>
    <row r="43" customFormat="false" ht="15" hidden="false" customHeight="false" outlineLevel="0" collapsed="false">
      <c r="A43" s="0" t="s">
        <v>3807</v>
      </c>
      <c r="B43" s="0" t="n">
        <v>1</v>
      </c>
      <c r="C43" s="0" t="s">
        <v>3770</v>
      </c>
      <c r="D43" s="0" t="n">
        <v>1</v>
      </c>
      <c r="E43" s="0" t="n">
        <f aca="false">D43*x21_phase_months</f>
        <v>6</v>
      </c>
      <c r="F43" s="0" t="s">
        <v>3836</v>
      </c>
      <c r="G43" s="0" t="s">
        <v>3837</v>
      </c>
      <c r="H43" s="44" t="n">
        <f aca="false">E43*'Programme cost'!$C$6/1000000</f>
        <v>0.06075036</v>
      </c>
      <c r="I43" s="44" t="n">
        <f aca="false">E43*'Programme cost'!$F$6/1000000</f>
        <v>0.209246022596265</v>
      </c>
      <c r="J43" s="44" t="n">
        <f aca="false">E43*(1-'Programme cost'!$G$6)*'Programme cost'!$C$6/1000000</f>
        <v>0.057608764606599</v>
      </c>
      <c r="K43" s="44" t="n">
        <f aca="false">E43*(1-'Programme cost'!$G$6)*'Programme cost'!$J$6/1000000</f>
        <v>0.000288446062827618</v>
      </c>
      <c r="L43" s="44" t="n">
        <f aca="false">E43*(1-'Programme cost'!$H$6)*'Programme cost'!$C$6/1000000</f>
        <v>0.05227568478</v>
      </c>
      <c r="M43" s="44" t="n">
        <f aca="false">E43*(1-'Programme cost'!$H$6)*'Programme cost'!$J$6/1000000</f>
        <v>0.00026174342670562</v>
      </c>
      <c r="N43" s="44" t="n">
        <f aca="false">E43*(1-'Programme cost'!$I$6)*'Programme cost'!$C$6/1000000</f>
        <v>0.0636360021</v>
      </c>
      <c r="O43" s="44" t="n">
        <f aca="false">E43*(1-'Programme cost'!$I$6)*'Programme cost'!$J$6/1000000</f>
        <v>0.00031862433407802</v>
      </c>
      <c r="P43" s="44" t="n">
        <f aca="false">E43*consip_svi_eur_team_day*x25_days_per_fte_year/12/1000000</f>
        <v>0.01815</v>
      </c>
      <c r="Q43" s="44" t="n">
        <f aca="false">I43</f>
        <v>0.209246022596265</v>
      </c>
      <c r="R43" s="44" t="n">
        <f aca="false">E43*'Programme cost'!$E$6/1000000</f>
        <v>0.023085</v>
      </c>
      <c r="S43" s="44" t="n">
        <f aca="false">IF('Programme cost'!$F$33="in-house",H43,IF('Programme cost'!$F$33="integrator",I43,J43+K43))</f>
        <v>0.0578972106694266</v>
      </c>
      <c r="T43" s="0" t="s">
        <v>3881</v>
      </c>
    </row>
    <row r="44" customFormat="false" ht="15" hidden="false" customHeight="false" outlineLevel="0" collapsed="false">
      <c r="A44" s="0" t="s">
        <v>3807</v>
      </c>
      <c r="B44" s="0" t="n">
        <v>1</v>
      </c>
      <c r="C44" s="0" t="s">
        <v>3772</v>
      </c>
      <c r="D44" s="0" t="n">
        <v>1</v>
      </c>
      <c r="E44" s="0" t="n">
        <f aca="false">D44*x21_phase_months</f>
        <v>6</v>
      </c>
      <c r="F44" s="0" t="s">
        <v>3836</v>
      </c>
      <c r="G44" s="0" t="s">
        <v>3837</v>
      </c>
      <c r="H44" s="44" t="n">
        <f aca="false">E44*'Programme cost'!$C$8/1000000</f>
        <v>0.06075036</v>
      </c>
      <c r="I44" s="44" t="n">
        <f aca="false">E44*'Programme cost'!$F$8/1000000</f>
        <v>0.209246022596265</v>
      </c>
      <c r="J44" s="44" t="n">
        <f aca="false">E44*(1-'Programme cost'!$G$8)*'Programme cost'!$C$8/1000000</f>
        <v>0.0589278492</v>
      </c>
      <c r="K44" s="44" t="n">
        <f aca="false">E44*(1-'Programme cost'!$G$8)*'Programme cost'!$J$8/1000000</f>
        <v>0.000100017185083348</v>
      </c>
      <c r="L44" s="44" t="n">
        <f aca="false">E44*(1-'Programme cost'!$H$8)*'Programme cost'!$C$8/1000000</f>
        <v>0.0589278492</v>
      </c>
      <c r="M44" s="44" t="n">
        <f aca="false">E44*(1-'Programme cost'!$H$8)*'Programme cost'!$J$8/1000000</f>
        <v>0.000100017185083348</v>
      </c>
      <c r="N44" s="44" t="n">
        <f aca="false">E44*(1-'Programme cost'!$I$8)*'Programme cost'!$C$8/1000000</f>
        <v>0.06075036</v>
      </c>
      <c r="O44" s="44" t="n">
        <f aca="false">E44*(1-'Programme cost'!$I$8)*'Programme cost'!$J$8/1000000</f>
        <v>0.000103110500085925</v>
      </c>
      <c r="P44" s="44" t="n">
        <f aca="false">E44*consip_svi_eur_team_day*x25_days_per_fte_year/12/1000000</f>
        <v>0.01815</v>
      </c>
      <c r="Q44" s="44" t="n">
        <f aca="false">I44</f>
        <v>0.209246022596265</v>
      </c>
      <c r="R44" s="44" t="n">
        <f aca="false">H44</f>
        <v>0.06075036</v>
      </c>
      <c r="S44" s="44" t="n">
        <f aca="false">IF('Programme cost'!$F$33="in-house",H44,IF('Programme cost'!$F$33="integrator",I44,J44+K44))</f>
        <v>0.0590278663850834</v>
      </c>
      <c r="T44" s="0" t="s">
        <v>3882</v>
      </c>
    </row>
    <row r="45" customFormat="false" ht="15" hidden="false" customHeight="false" outlineLevel="0" collapsed="false">
      <c r="A45" s="0" t="s">
        <v>3807</v>
      </c>
      <c r="B45" s="0" t="n">
        <v>2</v>
      </c>
      <c r="C45" s="0" t="s">
        <v>3770</v>
      </c>
      <c r="D45" s="0" t="n">
        <v>2</v>
      </c>
      <c r="E45" s="0" t="n">
        <f aca="false">D45*x21_phase_months</f>
        <v>12</v>
      </c>
      <c r="F45" s="0" t="s">
        <v>3836</v>
      </c>
      <c r="G45" s="0" t="s">
        <v>3837</v>
      </c>
      <c r="H45" s="44" t="n">
        <f aca="false">E45*'Programme cost'!$C$6/1000000</f>
        <v>0.12150072</v>
      </c>
      <c r="I45" s="44" t="n">
        <f aca="false">E45*'Programme cost'!$F$6/1000000</f>
        <v>0.418492045192529</v>
      </c>
      <c r="J45" s="44" t="n">
        <f aca="false">E45*(1-'Programme cost'!$G$6)*'Programme cost'!$C$6/1000000</f>
        <v>0.115217529213198</v>
      </c>
      <c r="K45" s="44" t="n">
        <f aca="false">E45*(1-'Programme cost'!$G$6)*'Programme cost'!$J$6/1000000</f>
        <v>0.000576892125655236</v>
      </c>
      <c r="L45" s="44" t="n">
        <f aca="false">E45*(1-'Programme cost'!$H$6)*'Programme cost'!$C$6/1000000</f>
        <v>0.10455136956</v>
      </c>
      <c r="M45" s="44" t="n">
        <f aca="false">E45*(1-'Programme cost'!$H$6)*'Programme cost'!$J$6/1000000</f>
        <v>0.000523486853411239</v>
      </c>
      <c r="N45" s="44" t="n">
        <f aca="false">E45*(1-'Programme cost'!$I$6)*'Programme cost'!$C$6/1000000</f>
        <v>0.1272720042</v>
      </c>
      <c r="O45" s="44" t="n">
        <f aca="false">E45*(1-'Programme cost'!$I$6)*'Programme cost'!$J$6/1000000</f>
        <v>0.000637248668156041</v>
      </c>
      <c r="P45" s="44" t="n">
        <f aca="false">E45*consip_svi_eur_team_day*x25_days_per_fte_year/12/1000000</f>
        <v>0.0363</v>
      </c>
      <c r="Q45" s="44" t="n">
        <f aca="false">I45</f>
        <v>0.418492045192529</v>
      </c>
      <c r="R45" s="44" t="n">
        <f aca="false">E45*'Programme cost'!$E$6/1000000</f>
        <v>0.04617</v>
      </c>
      <c r="S45" s="44" t="n">
        <f aca="false">IF('Programme cost'!$F$33="in-house",H45,IF('Programme cost'!$F$33="integrator",I45,J45+K45))</f>
        <v>0.115794421338853</v>
      </c>
      <c r="T45" s="0" t="s">
        <v>3883</v>
      </c>
    </row>
    <row r="46" customFormat="false" ht="15" hidden="false" customHeight="false" outlineLevel="0" collapsed="false">
      <c r="A46" s="0" t="s">
        <v>3807</v>
      </c>
      <c r="B46" s="0" t="n">
        <v>2</v>
      </c>
      <c r="C46" s="0" t="s">
        <v>3768</v>
      </c>
      <c r="D46" s="0" t="n">
        <v>1</v>
      </c>
      <c r="E46" s="0" t="n">
        <f aca="false">D46*x21_phase_months</f>
        <v>6</v>
      </c>
      <c r="F46" s="0" t="s">
        <v>3836</v>
      </c>
      <c r="G46" s="0" t="s">
        <v>3837</v>
      </c>
      <c r="H46" s="44" t="n">
        <f aca="false">E46*'Programme cost'!$C$5/1000000</f>
        <v>0.06075036</v>
      </c>
      <c r="I46" s="44" t="n">
        <f aca="false">E46*'Programme cost'!$F$5/1000000</f>
        <v>0.163592344938898</v>
      </c>
      <c r="J46" s="44" t="n">
        <f aca="false">E46*(1-'Programme cost'!$G$5)*'Programme cost'!$C$5/1000000</f>
        <v>0.057608764606599</v>
      </c>
      <c r="K46" s="44" t="n">
        <f aca="false">E46*(1-'Programme cost'!$G$5)*'Programme cost'!$J$5/1000000</f>
        <v>0.000288446062827618</v>
      </c>
      <c r="L46" s="44" t="n">
        <f aca="false">E46*(1-'Programme cost'!$H$5)*'Programme cost'!$C$5/1000000</f>
        <v>0.05227568478</v>
      </c>
      <c r="M46" s="44" t="n">
        <f aca="false">E46*(1-'Programme cost'!$H$5)*'Programme cost'!$J$5/1000000</f>
        <v>0.00026174342670562</v>
      </c>
      <c r="N46" s="44" t="n">
        <f aca="false">E46*(1-'Programme cost'!$I$5)*'Programme cost'!$C$5/1000000</f>
        <v>0.0636360021</v>
      </c>
      <c r="O46" s="44" t="n">
        <f aca="false">E46*(1-'Programme cost'!$I$5)*'Programme cost'!$J$5/1000000</f>
        <v>0.00031862433407802</v>
      </c>
      <c r="P46" s="44" t="n">
        <f aca="false">E46*consip_svi_eur_team_day*x25_days_per_fte_year/12/1000000</f>
        <v>0.01815</v>
      </c>
      <c r="Q46" s="44" t="n">
        <f aca="false">E46*dl_gc14_off_dev_l4_gbp_day/x25_gbp_per_eur*x25_days_per_fte_year/12/1000000</f>
        <v>0.0735531473368688</v>
      </c>
      <c r="R46" s="44" t="n">
        <f aca="false">E46*'Programme cost'!$E$5/1000000</f>
        <v>0.023085</v>
      </c>
      <c r="S46" s="44" t="n">
        <f aca="false">IF('Programme cost'!$F$33="in-house",H46,IF('Programme cost'!$F$33="integrator",I46,J46+K46))</f>
        <v>0.0578972106694266</v>
      </c>
      <c r="T46" s="0" t="s">
        <v>3884</v>
      </c>
    </row>
    <row r="47" customFormat="false" ht="15" hidden="false" customHeight="false" outlineLevel="0" collapsed="false">
      <c r="A47" s="0" t="s">
        <v>3807</v>
      </c>
      <c r="B47" s="0" t="n">
        <v>2</v>
      </c>
      <c r="C47" s="0" t="s">
        <v>3772</v>
      </c>
      <c r="D47" s="0" t="n">
        <v>1</v>
      </c>
      <c r="E47" s="0" t="n">
        <f aca="false">D47*x21_phase_months</f>
        <v>6</v>
      </c>
      <c r="F47" s="0" t="s">
        <v>3836</v>
      </c>
      <c r="G47" s="0" t="s">
        <v>3837</v>
      </c>
      <c r="H47" s="44" t="n">
        <f aca="false">E47*'Programme cost'!$C$8/1000000</f>
        <v>0.06075036</v>
      </c>
      <c r="I47" s="44" t="n">
        <f aca="false">E47*'Programme cost'!$F$8/1000000</f>
        <v>0.209246022596265</v>
      </c>
      <c r="J47" s="44" t="n">
        <f aca="false">E47*(1-'Programme cost'!$G$8)*'Programme cost'!$C$8/1000000</f>
        <v>0.0589278492</v>
      </c>
      <c r="K47" s="44" t="n">
        <f aca="false">E47*(1-'Programme cost'!$G$8)*'Programme cost'!$J$8/1000000</f>
        <v>0.000100017185083348</v>
      </c>
      <c r="L47" s="44" t="n">
        <f aca="false">E47*(1-'Programme cost'!$H$8)*'Programme cost'!$C$8/1000000</f>
        <v>0.0589278492</v>
      </c>
      <c r="M47" s="44" t="n">
        <f aca="false">E47*(1-'Programme cost'!$H$8)*'Programme cost'!$J$8/1000000</f>
        <v>0.000100017185083348</v>
      </c>
      <c r="N47" s="44" t="n">
        <f aca="false">E47*(1-'Programme cost'!$I$8)*'Programme cost'!$C$8/1000000</f>
        <v>0.06075036</v>
      </c>
      <c r="O47" s="44" t="n">
        <f aca="false">E47*(1-'Programme cost'!$I$8)*'Programme cost'!$J$8/1000000</f>
        <v>0.000103110500085925</v>
      </c>
      <c r="P47" s="44" t="n">
        <f aca="false">E47*consip_svi_eur_team_day*x25_days_per_fte_year/12/1000000</f>
        <v>0.01815</v>
      </c>
      <c r="Q47" s="44" t="n">
        <f aca="false">I47</f>
        <v>0.209246022596265</v>
      </c>
      <c r="R47" s="44" t="n">
        <f aca="false">H47</f>
        <v>0.06075036</v>
      </c>
      <c r="S47" s="44" t="n">
        <f aca="false">IF('Programme cost'!$F$33="in-house",H47,IF('Programme cost'!$F$33="integrator",I47,J47+K47))</f>
        <v>0.0590278663850834</v>
      </c>
      <c r="T47" s="0" t="s">
        <v>3885</v>
      </c>
    </row>
    <row r="48" customFormat="false" ht="15" hidden="false" customHeight="false" outlineLevel="0" collapsed="false">
      <c r="A48" s="0" t="s">
        <v>3807</v>
      </c>
      <c r="B48" s="0" t="n">
        <v>2</v>
      </c>
      <c r="C48" s="0" t="s">
        <v>3776</v>
      </c>
      <c r="D48" s="0" t="n">
        <v>2</v>
      </c>
      <c r="E48" s="0" t="n">
        <f aca="false">D48*x21_phase_months</f>
        <v>12</v>
      </c>
      <c r="F48" s="0" t="s">
        <v>3836</v>
      </c>
      <c r="G48" s="0" t="s">
        <v>3837</v>
      </c>
      <c r="H48" s="44" t="n">
        <f aca="false">E48*'Programme cost'!$C$11/1000000</f>
        <v>0.12150072</v>
      </c>
      <c r="I48" s="44" t="n">
        <f aca="false">E48*'Programme cost'!$F$11/1000000</f>
        <v>0.418492045192529</v>
      </c>
      <c r="J48" s="44" t="n">
        <f aca="false">E48*(1-'Programme cost'!$G$11)*'Programme cost'!$C$11/1000000</f>
        <v>0.1178556984</v>
      </c>
      <c r="K48" s="44" t="n">
        <f aca="false">E48*(1-'Programme cost'!$G$11)*'Programme cost'!$J$11/1000000</f>
        <v>0.000200034370166695</v>
      </c>
      <c r="L48" s="44" t="n">
        <f aca="false">E48*(1-'Programme cost'!$H$11)*'Programme cost'!$C$11/1000000</f>
        <v>0.1178556984</v>
      </c>
      <c r="M48" s="44" t="n">
        <f aca="false">E48*(1-'Programme cost'!$H$11)*'Programme cost'!$J$11/1000000</f>
        <v>0.000200034370166695</v>
      </c>
      <c r="N48" s="44" t="n">
        <f aca="false">E48*(1-'Programme cost'!$I$11)*'Programme cost'!$C$11/1000000</f>
        <v>0.12150072</v>
      </c>
      <c r="O48" s="44" t="n">
        <f aca="false">E48*(1-'Programme cost'!$I$11)*'Programme cost'!$J$11/1000000</f>
        <v>0.000206221000171851</v>
      </c>
      <c r="P48" s="44" t="n">
        <f aca="false">E48*consip_svi_eur_team_day*x25_days_per_fte_year/12/1000000</f>
        <v>0.0363</v>
      </c>
      <c r="Q48" s="44" t="n">
        <f aca="false">I48</f>
        <v>0.418492045192529</v>
      </c>
      <c r="R48" s="44" t="n">
        <f aca="false">H48</f>
        <v>0.12150072</v>
      </c>
      <c r="S48" s="44" t="n">
        <f aca="false">IF('Programme cost'!$F$33="in-house",H48,IF('Programme cost'!$F$33="integrator",I48,J48+K48))</f>
        <v>0.118055732770167</v>
      </c>
      <c r="T48" s="0" t="s">
        <v>3886</v>
      </c>
    </row>
    <row r="49" customFormat="false" ht="15" hidden="false" customHeight="false" outlineLevel="0" collapsed="false">
      <c r="A49" s="0" t="s">
        <v>3807</v>
      </c>
      <c r="B49" s="0" t="n">
        <v>3</v>
      </c>
      <c r="C49" s="0" t="s">
        <v>3770</v>
      </c>
      <c r="D49" s="0" t="n">
        <v>1</v>
      </c>
      <c r="E49" s="0" t="n">
        <f aca="false">D49*x21_phase_months</f>
        <v>6</v>
      </c>
      <c r="F49" s="0" t="s">
        <v>3836</v>
      </c>
      <c r="G49" s="0" t="s">
        <v>3837</v>
      </c>
      <c r="H49" s="44" t="n">
        <f aca="false">E49*'Programme cost'!$C$6/1000000</f>
        <v>0.06075036</v>
      </c>
      <c r="I49" s="44" t="n">
        <f aca="false">E49*'Programme cost'!$F$6/1000000</f>
        <v>0.209246022596265</v>
      </c>
      <c r="J49" s="44" t="n">
        <f aca="false">E49*(1-'Programme cost'!$G$6)*'Programme cost'!$C$6/1000000</f>
        <v>0.057608764606599</v>
      </c>
      <c r="K49" s="44" t="n">
        <f aca="false">E49*(1-'Programme cost'!$G$6)*'Programme cost'!$J$6/1000000</f>
        <v>0.000288446062827618</v>
      </c>
      <c r="L49" s="44" t="n">
        <f aca="false">E49*(1-'Programme cost'!$H$6)*'Programme cost'!$C$6/1000000</f>
        <v>0.05227568478</v>
      </c>
      <c r="M49" s="44" t="n">
        <f aca="false">E49*(1-'Programme cost'!$H$6)*'Programme cost'!$J$6/1000000</f>
        <v>0.00026174342670562</v>
      </c>
      <c r="N49" s="44" t="n">
        <f aca="false">E49*(1-'Programme cost'!$I$6)*'Programme cost'!$C$6/1000000</f>
        <v>0.0636360021</v>
      </c>
      <c r="O49" s="44" t="n">
        <f aca="false">E49*(1-'Programme cost'!$I$6)*'Programme cost'!$J$6/1000000</f>
        <v>0.00031862433407802</v>
      </c>
      <c r="P49" s="44" t="n">
        <f aca="false">E49*consip_svi_eur_team_day*x25_days_per_fte_year/12/1000000</f>
        <v>0.01815</v>
      </c>
      <c r="Q49" s="44" t="n">
        <f aca="false">I49</f>
        <v>0.209246022596265</v>
      </c>
      <c r="R49" s="44" t="n">
        <f aca="false">E49*'Programme cost'!$E$6/1000000</f>
        <v>0.023085</v>
      </c>
      <c r="S49" s="44" t="n">
        <f aca="false">IF('Programme cost'!$F$33="in-house",H49,IF('Programme cost'!$F$33="integrator",I49,J49+K49))</f>
        <v>0.0578972106694266</v>
      </c>
      <c r="T49" s="0" t="s">
        <v>3887</v>
      </c>
    </row>
    <row r="50" customFormat="false" ht="15" hidden="false" customHeight="false" outlineLevel="0" collapsed="false">
      <c r="A50" s="0" t="s">
        <v>3807</v>
      </c>
      <c r="B50" s="0" t="n">
        <v>3</v>
      </c>
      <c r="C50" s="0" t="s">
        <v>3768</v>
      </c>
      <c r="D50" s="0" t="n">
        <v>1</v>
      </c>
      <c r="E50" s="0" t="n">
        <f aca="false">D50*x21_phase_months</f>
        <v>6</v>
      </c>
      <c r="F50" s="0" t="s">
        <v>3836</v>
      </c>
      <c r="G50" s="0" t="s">
        <v>3837</v>
      </c>
      <c r="H50" s="44" t="n">
        <f aca="false">E50*'Programme cost'!$C$5/1000000</f>
        <v>0.06075036</v>
      </c>
      <c r="I50" s="44" t="n">
        <f aca="false">E50*'Programme cost'!$F$5/1000000</f>
        <v>0.163592344938898</v>
      </c>
      <c r="J50" s="44" t="n">
        <f aca="false">E50*(1-'Programme cost'!$G$5)*'Programme cost'!$C$5/1000000</f>
        <v>0.057608764606599</v>
      </c>
      <c r="K50" s="44" t="n">
        <f aca="false">E50*(1-'Programme cost'!$G$5)*'Programme cost'!$J$5/1000000</f>
        <v>0.000288446062827618</v>
      </c>
      <c r="L50" s="44" t="n">
        <f aca="false">E50*(1-'Programme cost'!$H$5)*'Programme cost'!$C$5/1000000</f>
        <v>0.05227568478</v>
      </c>
      <c r="M50" s="44" t="n">
        <f aca="false">E50*(1-'Programme cost'!$H$5)*'Programme cost'!$J$5/1000000</f>
        <v>0.00026174342670562</v>
      </c>
      <c r="N50" s="44" t="n">
        <f aca="false">E50*(1-'Programme cost'!$I$5)*'Programme cost'!$C$5/1000000</f>
        <v>0.0636360021</v>
      </c>
      <c r="O50" s="44" t="n">
        <f aca="false">E50*(1-'Programme cost'!$I$5)*'Programme cost'!$J$5/1000000</f>
        <v>0.00031862433407802</v>
      </c>
      <c r="P50" s="44" t="n">
        <f aca="false">E50*consip_svi_eur_team_day*x25_days_per_fte_year/12/1000000</f>
        <v>0.01815</v>
      </c>
      <c r="Q50" s="44" t="n">
        <f aca="false">E50*dl_gc14_off_dev_l4_gbp_day/x25_gbp_per_eur*x25_days_per_fte_year/12/1000000</f>
        <v>0.0735531473368688</v>
      </c>
      <c r="R50" s="44" t="n">
        <f aca="false">E50*'Programme cost'!$E$5/1000000</f>
        <v>0.023085</v>
      </c>
      <c r="S50" s="44" t="n">
        <f aca="false">IF('Programme cost'!$F$33="in-house",H50,IF('Programme cost'!$F$33="integrator",I50,J50+K50))</f>
        <v>0.0578972106694266</v>
      </c>
      <c r="T50" s="0" t="s">
        <v>3888</v>
      </c>
    </row>
    <row r="51" customFormat="false" ht="15" hidden="false" customHeight="false" outlineLevel="0" collapsed="false">
      <c r="A51" s="0" t="s">
        <v>3807</v>
      </c>
      <c r="B51" s="0" t="n">
        <v>3</v>
      </c>
      <c r="C51" s="0" t="s">
        <v>3776</v>
      </c>
      <c r="D51" s="0" t="n">
        <v>2</v>
      </c>
      <c r="E51" s="0" t="n">
        <f aca="false">D51*x21_phase_months</f>
        <v>12</v>
      </c>
      <c r="F51" s="0" t="s">
        <v>3855</v>
      </c>
      <c r="G51" s="0" t="s">
        <v>3837</v>
      </c>
      <c r="H51" s="44" t="n">
        <f aca="false">E51*'Programme cost'!$D$11/1000000</f>
        <v>0.1221348</v>
      </c>
      <c r="I51" s="44" t="n">
        <f aca="false">E51*'Programme cost'!$F$11/1000000</f>
        <v>0.418492045192529</v>
      </c>
      <c r="J51" s="44" t="n">
        <f aca="false">E51*(1-'Programme cost'!$G$11)*'Programme cost'!$D$11/1000000</f>
        <v>0.118470756</v>
      </c>
      <c r="K51" s="44" t="n">
        <f aca="false">E51*(1-'Programme cost'!$G$11)*'Programme cost'!$J$11/1000000</f>
        <v>0.000200034370166695</v>
      </c>
      <c r="L51" s="44" t="n">
        <f aca="false">E51*(1-'Programme cost'!$H$11)*'Programme cost'!$D$11/1000000</f>
        <v>0.118470756</v>
      </c>
      <c r="M51" s="44" t="n">
        <f aca="false">E51*(1-'Programme cost'!$H$11)*'Programme cost'!$J$11/1000000</f>
        <v>0.000200034370166695</v>
      </c>
      <c r="N51" s="44" t="n">
        <f aca="false">E51*(1-'Programme cost'!$I$11)*'Programme cost'!$D$11/1000000</f>
        <v>0.1221348</v>
      </c>
      <c r="O51" s="44" t="n">
        <f aca="false">E51*(1-'Programme cost'!$I$11)*'Programme cost'!$J$11/1000000</f>
        <v>0.000206221000171851</v>
      </c>
      <c r="P51" s="44" t="n">
        <f aca="false">E51*consip_svi_eur_team_day*x25_days_per_fte_year/12/1000000</f>
        <v>0.0363</v>
      </c>
      <c r="Q51" s="44" t="n">
        <f aca="false">I51</f>
        <v>0.418492045192529</v>
      </c>
      <c r="R51" s="44" t="n">
        <f aca="false">H51</f>
        <v>0.1221348</v>
      </c>
      <c r="S51" s="44" t="n">
        <f aca="false">IF('Programme cost'!$F$33="in-house",H51,IF('Programme cost'!$F$33="integrator",I51,J51+K51))</f>
        <v>0.118670790370167</v>
      </c>
      <c r="T51" s="0" t="s">
        <v>3889</v>
      </c>
    </row>
    <row r="52" customFormat="false" ht="15" hidden="false" customHeight="false" outlineLevel="0" collapsed="false">
      <c r="A52" s="0" t="s">
        <v>3807</v>
      </c>
      <c r="B52" s="0" t="n">
        <v>4</v>
      </c>
      <c r="C52" s="0" t="s">
        <v>3770</v>
      </c>
      <c r="D52" s="0" t="n">
        <v>0.5</v>
      </c>
      <c r="E52" s="0" t="n">
        <f aca="false">D52*x21_phase_months</f>
        <v>3</v>
      </c>
      <c r="F52" s="0" t="s">
        <v>3836</v>
      </c>
      <c r="G52" s="0" t="s">
        <v>3837</v>
      </c>
      <c r="H52" s="44" t="n">
        <f aca="false">E52*'Programme cost'!$C$6/1000000</f>
        <v>0.03037518</v>
      </c>
      <c r="I52" s="44" t="n">
        <f aca="false">E52*'Programme cost'!$F$6/1000000</f>
        <v>0.104623011298132</v>
      </c>
      <c r="J52" s="44" t="n">
        <f aca="false">E52*(1-'Programme cost'!$G$6)*'Programme cost'!$C$6/1000000</f>
        <v>0.0288043823032995</v>
      </c>
      <c r="K52" s="44" t="n">
        <f aca="false">E52*(1-'Programme cost'!$G$6)*'Programme cost'!$J$6/1000000</f>
        <v>0.000144223031413809</v>
      </c>
      <c r="L52" s="44" t="n">
        <f aca="false">E52*(1-'Programme cost'!$H$6)*'Programme cost'!$C$6/1000000</f>
        <v>0.02613784239</v>
      </c>
      <c r="M52" s="44" t="n">
        <f aca="false">E52*(1-'Programme cost'!$H$6)*'Programme cost'!$J$6/1000000</f>
        <v>0.00013087171335281</v>
      </c>
      <c r="N52" s="44" t="n">
        <f aca="false">E52*(1-'Programme cost'!$I$6)*'Programme cost'!$C$6/1000000</f>
        <v>0.03181800105</v>
      </c>
      <c r="O52" s="44" t="n">
        <f aca="false">E52*(1-'Programme cost'!$I$6)*'Programme cost'!$J$6/1000000</f>
        <v>0.00015931216703901</v>
      </c>
      <c r="P52" s="44" t="n">
        <f aca="false">E52*consip_svi_eur_team_day*x25_days_per_fte_year/12/1000000</f>
        <v>0.009075</v>
      </c>
      <c r="Q52" s="44" t="n">
        <f aca="false">I52</f>
        <v>0.104623011298132</v>
      </c>
      <c r="R52" s="44" t="n">
        <f aca="false">E52*'Programme cost'!$E$6/1000000</f>
        <v>0.0115425</v>
      </c>
      <c r="S52" s="44" t="n">
        <f aca="false">IF('Programme cost'!$F$33="in-house",H52,IF('Programme cost'!$F$33="integrator",I52,J52+K52))</f>
        <v>0.0289486053347133</v>
      </c>
      <c r="T52" s="0" t="s">
        <v>3890</v>
      </c>
    </row>
    <row r="53" customFormat="false" ht="15" hidden="false" customHeight="false" outlineLevel="0" collapsed="false">
      <c r="A53" s="0" t="s">
        <v>3807</v>
      </c>
      <c r="B53" s="0" t="n">
        <v>4</v>
      </c>
      <c r="C53" s="0" t="s">
        <v>3776</v>
      </c>
      <c r="D53" s="0" t="n">
        <v>1</v>
      </c>
      <c r="E53" s="0" t="n">
        <f aca="false">D53*x21_phase_months</f>
        <v>6</v>
      </c>
      <c r="F53" s="0" t="s">
        <v>3855</v>
      </c>
      <c r="G53" s="0" t="s">
        <v>3837</v>
      </c>
      <c r="H53" s="44" t="n">
        <f aca="false">E53*'Programme cost'!$D$11/1000000</f>
        <v>0.0610674</v>
      </c>
      <c r="I53" s="44" t="n">
        <f aca="false">E53*'Programme cost'!$F$11/1000000</f>
        <v>0.209246022596265</v>
      </c>
      <c r="J53" s="44" t="n">
        <f aca="false">E53*(1-'Programme cost'!$G$11)*'Programme cost'!$D$11/1000000</f>
        <v>0.059235378</v>
      </c>
      <c r="K53" s="44" t="n">
        <f aca="false">E53*(1-'Programme cost'!$G$11)*'Programme cost'!$J$11/1000000</f>
        <v>0.000100017185083348</v>
      </c>
      <c r="L53" s="44" t="n">
        <f aca="false">E53*(1-'Programme cost'!$H$11)*'Programme cost'!$D$11/1000000</f>
        <v>0.059235378</v>
      </c>
      <c r="M53" s="44" t="n">
        <f aca="false">E53*(1-'Programme cost'!$H$11)*'Programme cost'!$J$11/1000000</f>
        <v>0.000100017185083348</v>
      </c>
      <c r="N53" s="44" t="n">
        <f aca="false">E53*(1-'Programme cost'!$I$11)*'Programme cost'!$D$11/1000000</f>
        <v>0.0610674</v>
      </c>
      <c r="O53" s="44" t="n">
        <f aca="false">E53*(1-'Programme cost'!$I$11)*'Programme cost'!$J$11/1000000</f>
        <v>0.000103110500085925</v>
      </c>
      <c r="P53" s="44" t="n">
        <f aca="false">E53*consip_svi_eur_team_day*x25_days_per_fte_year/12/1000000</f>
        <v>0.01815</v>
      </c>
      <c r="Q53" s="44" t="n">
        <f aca="false">I53</f>
        <v>0.209246022596265</v>
      </c>
      <c r="R53" s="44" t="n">
        <f aca="false">H53</f>
        <v>0.0610674</v>
      </c>
      <c r="S53" s="44" t="n">
        <f aca="false">IF('Programme cost'!$F$33="in-house",H53,IF('Programme cost'!$F$33="integrator",I53,J53+K53))</f>
        <v>0.0593353951850834</v>
      </c>
      <c r="T53" s="0" t="s">
        <v>3891</v>
      </c>
    </row>
    <row r="54" customFormat="false" ht="15" hidden="false" customHeight="false" outlineLevel="0" collapsed="false">
      <c r="A54" s="0" t="s">
        <v>3808</v>
      </c>
      <c r="B54" s="0" t="n">
        <v>2</v>
      </c>
      <c r="C54" s="0" t="s">
        <v>3772</v>
      </c>
      <c r="D54" s="0" t="n">
        <v>1</v>
      </c>
      <c r="E54" s="0" t="n">
        <f aca="false">D54*x21_phase_months</f>
        <v>6</v>
      </c>
      <c r="F54" s="0" t="s">
        <v>3836</v>
      </c>
      <c r="G54" s="0" t="s">
        <v>3837</v>
      </c>
      <c r="H54" s="44" t="n">
        <f aca="false">E54*'Programme cost'!$C$8/1000000</f>
        <v>0.06075036</v>
      </c>
      <c r="I54" s="44" t="n">
        <f aca="false">E54*'Programme cost'!$F$8/1000000</f>
        <v>0.209246022596265</v>
      </c>
      <c r="J54" s="44" t="n">
        <f aca="false">E54*(1-'Programme cost'!$G$8)*'Programme cost'!$C$8/1000000</f>
        <v>0.0589278492</v>
      </c>
      <c r="K54" s="44" t="n">
        <f aca="false">E54*(1-'Programme cost'!$G$8)*'Programme cost'!$J$8/1000000</f>
        <v>0.000100017185083348</v>
      </c>
      <c r="L54" s="44" t="n">
        <f aca="false">E54*(1-'Programme cost'!$H$8)*'Programme cost'!$C$8/1000000</f>
        <v>0.0589278492</v>
      </c>
      <c r="M54" s="44" t="n">
        <f aca="false">E54*(1-'Programme cost'!$H$8)*'Programme cost'!$J$8/1000000</f>
        <v>0.000100017185083348</v>
      </c>
      <c r="N54" s="44" t="n">
        <f aca="false">E54*(1-'Programme cost'!$I$8)*'Programme cost'!$C$8/1000000</f>
        <v>0.06075036</v>
      </c>
      <c r="O54" s="44" t="n">
        <f aca="false">E54*(1-'Programme cost'!$I$8)*'Programme cost'!$J$8/1000000</f>
        <v>0.000103110500085925</v>
      </c>
      <c r="P54" s="44" t="n">
        <f aca="false">E54*consip_svi_eur_team_day*x25_days_per_fte_year/12/1000000</f>
        <v>0.01815</v>
      </c>
      <c r="Q54" s="44" t="n">
        <f aca="false">I54</f>
        <v>0.209246022596265</v>
      </c>
      <c r="R54" s="44" t="n">
        <f aca="false">H54</f>
        <v>0.06075036</v>
      </c>
      <c r="S54" s="44" t="n">
        <f aca="false">IF('Programme cost'!$F$34="in-house",H54,IF('Programme cost'!$F$34="integrator",I54,J54+K54))</f>
        <v>0.0590278663850834</v>
      </c>
      <c r="T54" s="0" t="s">
        <v>3892</v>
      </c>
    </row>
    <row r="55" customFormat="false" ht="15" hidden="false" customHeight="false" outlineLevel="0" collapsed="false">
      <c r="A55" s="0" t="s">
        <v>3808</v>
      </c>
      <c r="B55" s="0" t="n">
        <v>2</v>
      </c>
      <c r="C55" s="0" t="s">
        <v>3768</v>
      </c>
      <c r="D55" s="0" t="n">
        <v>1</v>
      </c>
      <c r="E55" s="0" t="n">
        <f aca="false">D55*x21_phase_months</f>
        <v>6</v>
      </c>
      <c r="F55" s="0" t="s">
        <v>3836</v>
      </c>
      <c r="G55" s="0" t="s">
        <v>3837</v>
      </c>
      <c r="H55" s="44" t="n">
        <f aca="false">E55*'Programme cost'!$C$5/1000000</f>
        <v>0.06075036</v>
      </c>
      <c r="I55" s="44" t="n">
        <f aca="false">E55*'Programme cost'!$F$5/1000000</f>
        <v>0.163592344938898</v>
      </c>
      <c r="J55" s="44" t="n">
        <f aca="false">E55*(1-'Programme cost'!$G$5)*'Programme cost'!$C$5/1000000</f>
        <v>0.057608764606599</v>
      </c>
      <c r="K55" s="44" t="n">
        <f aca="false">E55*(1-'Programme cost'!$G$5)*'Programme cost'!$J$5/1000000</f>
        <v>0.000288446062827618</v>
      </c>
      <c r="L55" s="44" t="n">
        <f aca="false">E55*(1-'Programme cost'!$H$5)*'Programme cost'!$C$5/1000000</f>
        <v>0.05227568478</v>
      </c>
      <c r="M55" s="44" t="n">
        <f aca="false">E55*(1-'Programme cost'!$H$5)*'Programme cost'!$J$5/1000000</f>
        <v>0.00026174342670562</v>
      </c>
      <c r="N55" s="44" t="n">
        <f aca="false">E55*(1-'Programme cost'!$I$5)*'Programme cost'!$C$5/1000000</f>
        <v>0.0636360021</v>
      </c>
      <c r="O55" s="44" t="n">
        <f aca="false">E55*(1-'Programme cost'!$I$5)*'Programme cost'!$J$5/1000000</f>
        <v>0.00031862433407802</v>
      </c>
      <c r="P55" s="44" t="n">
        <f aca="false">E55*consip_svi_eur_team_day*x25_days_per_fte_year/12/1000000</f>
        <v>0.01815</v>
      </c>
      <c r="Q55" s="44" t="n">
        <f aca="false">E55*dl_gc14_off_dev_l4_gbp_day/x25_gbp_per_eur*x25_days_per_fte_year/12/1000000</f>
        <v>0.0735531473368688</v>
      </c>
      <c r="R55" s="44" t="n">
        <f aca="false">E55*'Programme cost'!$E$5/1000000</f>
        <v>0.023085</v>
      </c>
      <c r="S55" s="44" t="n">
        <f aca="false">IF('Programme cost'!$F$34="in-house",H55,IF('Programme cost'!$F$34="integrator",I55,J55+K55))</f>
        <v>0.0578972106694266</v>
      </c>
      <c r="T55" s="0" t="s">
        <v>3893</v>
      </c>
    </row>
    <row r="56" customFormat="false" ht="15" hidden="false" customHeight="false" outlineLevel="0" collapsed="false">
      <c r="A56" s="0" t="s">
        <v>3808</v>
      </c>
      <c r="B56" s="0" t="n">
        <v>3</v>
      </c>
      <c r="C56" s="0" t="s">
        <v>3768</v>
      </c>
      <c r="D56" s="0" t="n">
        <v>2</v>
      </c>
      <c r="E56" s="0" t="n">
        <f aca="false">D56*x21_phase_months</f>
        <v>12</v>
      </c>
      <c r="F56" s="0" t="s">
        <v>3836</v>
      </c>
      <c r="G56" s="0" t="s">
        <v>3837</v>
      </c>
      <c r="H56" s="44" t="n">
        <f aca="false">E56*'Programme cost'!$C$5/1000000</f>
        <v>0.12150072</v>
      </c>
      <c r="I56" s="44" t="n">
        <f aca="false">E56*'Programme cost'!$F$5/1000000</f>
        <v>0.327184689877796</v>
      </c>
      <c r="J56" s="44" t="n">
        <f aca="false">E56*(1-'Programme cost'!$G$5)*'Programme cost'!$C$5/1000000</f>
        <v>0.115217529213198</v>
      </c>
      <c r="K56" s="44" t="n">
        <f aca="false">E56*(1-'Programme cost'!$G$5)*'Programme cost'!$J$5/1000000</f>
        <v>0.000576892125655236</v>
      </c>
      <c r="L56" s="44" t="n">
        <f aca="false">E56*(1-'Programme cost'!$H$5)*'Programme cost'!$C$5/1000000</f>
        <v>0.10455136956</v>
      </c>
      <c r="M56" s="44" t="n">
        <f aca="false">E56*(1-'Programme cost'!$H$5)*'Programme cost'!$J$5/1000000</f>
        <v>0.000523486853411239</v>
      </c>
      <c r="N56" s="44" t="n">
        <f aca="false">E56*(1-'Programme cost'!$I$5)*'Programme cost'!$C$5/1000000</f>
        <v>0.1272720042</v>
      </c>
      <c r="O56" s="44" t="n">
        <f aca="false">E56*(1-'Programme cost'!$I$5)*'Programme cost'!$J$5/1000000</f>
        <v>0.000637248668156041</v>
      </c>
      <c r="P56" s="44" t="n">
        <f aca="false">E56*consip_svi_eur_team_day*x25_days_per_fte_year/12/1000000</f>
        <v>0.0363</v>
      </c>
      <c r="Q56" s="44" t="n">
        <f aca="false">E56*dl_gc14_off_dev_l4_gbp_day/x25_gbp_per_eur*x25_days_per_fte_year/12/1000000</f>
        <v>0.147106294673738</v>
      </c>
      <c r="R56" s="44" t="n">
        <f aca="false">E56*'Programme cost'!$E$5/1000000</f>
        <v>0.04617</v>
      </c>
      <c r="S56" s="44" t="n">
        <f aca="false">IF('Programme cost'!$F$34="in-house",H56,IF('Programme cost'!$F$34="integrator",I56,J56+K56))</f>
        <v>0.115794421338853</v>
      </c>
      <c r="T56" s="0" t="s">
        <v>3894</v>
      </c>
    </row>
    <row r="57" customFormat="false" ht="15" hidden="false" customHeight="false" outlineLevel="0" collapsed="false">
      <c r="A57" s="0" t="s">
        <v>3808</v>
      </c>
      <c r="B57" s="0" t="n">
        <v>3</v>
      </c>
      <c r="C57" s="0" t="s">
        <v>3770</v>
      </c>
      <c r="D57" s="0" t="n">
        <v>1</v>
      </c>
      <c r="E57" s="0" t="n">
        <f aca="false">D57*x21_phase_months</f>
        <v>6</v>
      </c>
      <c r="F57" s="0" t="s">
        <v>3836</v>
      </c>
      <c r="G57" s="0" t="s">
        <v>3837</v>
      </c>
      <c r="H57" s="44" t="n">
        <f aca="false">E57*'Programme cost'!$C$6/1000000</f>
        <v>0.06075036</v>
      </c>
      <c r="I57" s="44" t="n">
        <f aca="false">E57*'Programme cost'!$F$6/1000000</f>
        <v>0.209246022596265</v>
      </c>
      <c r="J57" s="44" t="n">
        <f aca="false">E57*(1-'Programme cost'!$G$6)*'Programme cost'!$C$6/1000000</f>
        <v>0.057608764606599</v>
      </c>
      <c r="K57" s="44" t="n">
        <f aca="false">E57*(1-'Programme cost'!$G$6)*'Programme cost'!$J$6/1000000</f>
        <v>0.000288446062827618</v>
      </c>
      <c r="L57" s="44" t="n">
        <f aca="false">E57*(1-'Programme cost'!$H$6)*'Programme cost'!$C$6/1000000</f>
        <v>0.05227568478</v>
      </c>
      <c r="M57" s="44" t="n">
        <f aca="false">E57*(1-'Programme cost'!$H$6)*'Programme cost'!$J$6/1000000</f>
        <v>0.00026174342670562</v>
      </c>
      <c r="N57" s="44" t="n">
        <f aca="false">E57*(1-'Programme cost'!$I$6)*'Programme cost'!$C$6/1000000</f>
        <v>0.0636360021</v>
      </c>
      <c r="O57" s="44" t="n">
        <f aca="false">E57*(1-'Programme cost'!$I$6)*'Programme cost'!$J$6/1000000</f>
        <v>0.00031862433407802</v>
      </c>
      <c r="P57" s="44" t="n">
        <f aca="false">E57*consip_svi_eur_team_day*x25_days_per_fte_year/12/1000000</f>
        <v>0.01815</v>
      </c>
      <c r="Q57" s="44" t="n">
        <f aca="false">I57</f>
        <v>0.209246022596265</v>
      </c>
      <c r="R57" s="44" t="n">
        <f aca="false">E57*'Programme cost'!$E$6/1000000</f>
        <v>0.023085</v>
      </c>
      <c r="S57" s="44" t="n">
        <f aca="false">IF('Programme cost'!$F$34="in-house",H57,IF('Programme cost'!$F$34="integrator",I57,J57+K57))</f>
        <v>0.0578972106694266</v>
      </c>
      <c r="T57" s="0" t="s">
        <v>3895</v>
      </c>
    </row>
    <row r="58" customFormat="false" ht="15" hidden="false" customHeight="false" outlineLevel="0" collapsed="false">
      <c r="A58" s="0" t="s">
        <v>3808</v>
      </c>
      <c r="B58" s="0" t="n">
        <v>3</v>
      </c>
      <c r="C58" s="0" t="s">
        <v>3772</v>
      </c>
      <c r="D58" s="0" t="n">
        <v>1</v>
      </c>
      <c r="E58" s="0" t="n">
        <f aca="false">D58*x21_phase_months</f>
        <v>6</v>
      </c>
      <c r="F58" s="0" t="s">
        <v>3836</v>
      </c>
      <c r="G58" s="0" t="s">
        <v>3837</v>
      </c>
      <c r="H58" s="44" t="n">
        <f aca="false">E58*'Programme cost'!$C$8/1000000</f>
        <v>0.06075036</v>
      </c>
      <c r="I58" s="44" t="n">
        <f aca="false">E58*'Programme cost'!$F$8/1000000</f>
        <v>0.209246022596265</v>
      </c>
      <c r="J58" s="44" t="n">
        <f aca="false">E58*(1-'Programme cost'!$G$8)*'Programme cost'!$C$8/1000000</f>
        <v>0.0589278492</v>
      </c>
      <c r="K58" s="44" t="n">
        <f aca="false">E58*(1-'Programme cost'!$G$8)*'Programme cost'!$J$8/1000000</f>
        <v>0.000100017185083348</v>
      </c>
      <c r="L58" s="44" t="n">
        <f aca="false">E58*(1-'Programme cost'!$H$8)*'Programme cost'!$C$8/1000000</f>
        <v>0.0589278492</v>
      </c>
      <c r="M58" s="44" t="n">
        <f aca="false">E58*(1-'Programme cost'!$H$8)*'Programme cost'!$J$8/1000000</f>
        <v>0.000100017185083348</v>
      </c>
      <c r="N58" s="44" t="n">
        <f aca="false">E58*(1-'Programme cost'!$I$8)*'Programme cost'!$C$8/1000000</f>
        <v>0.06075036</v>
      </c>
      <c r="O58" s="44" t="n">
        <f aca="false">E58*(1-'Programme cost'!$I$8)*'Programme cost'!$J$8/1000000</f>
        <v>0.000103110500085925</v>
      </c>
      <c r="P58" s="44" t="n">
        <f aca="false">E58*consip_svi_eur_team_day*x25_days_per_fte_year/12/1000000</f>
        <v>0.01815</v>
      </c>
      <c r="Q58" s="44" t="n">
        <f aca="false">I58</f>
        <v>0.209246022596265</v>
      </c>
      <c r="R58" s="44" t="n">
        <f aca="false">H58</f>
        <v>0.06075036</v>
      </c>
      <c r="S58" s="44" t="n">
        <f aca="false">IF('Programme cost'!$F$34="in-house",H58,IF('Programme cost'!$F$34="integrator",I58,J58+K58))</f>
        <v>0.0590278663850834</v>
      </c>
      <c r="T58" s="0" t="s">
        <v>3896</v>
      </c>
    </row>
    <row r="59" customFormat="false" ht="15" hidden="false" customHeight="false" outlineLevel="0" collapsed="false">
      <c r="A59" s="0" t="s">
        <v>3808</v>
      </c>
      <c r="B59" s="0" t="n">
        <v>3</v>
      </c>
      <c r="C59" s="0" t="s">
        <v>3776</v>
      </c>
      <c r="D59" s="0" t="n">
        <v>1</v>
      </c>
      <c r="E59" s="0" t="n">
        <f aca="false">D59*x21_phase_months</f>
        <v>6</v>
      </c>
      <c r="F59" s="0" t="s">
        <v>3855</v>
      </c>
      <c r="G59" s="0" t="s">
        <v>3837</v>
      </c>
      <c r="H59" s="44" t="n">
        <f aca="false">E59*'Programme cost'!$D$11/1000000</f>
        <v>0.0610674</v>
      </c>
      <c r="I59" s="44" t="n">
        <f aca="false">E59*'Programme cost'!$F$11/1000000</f>
        <v>0.209246022596265</v>
      </c>
      <c r="J59" s="44" t="n">
        <f aca="false">E59*(1-'Programme cost'!$G$11)*'Programme cost'!$D$11/1000000</f>
        <v>0.059235378</v>
      </c>
      <c r="K59" s="44" t="n">
        <f aca="false">E59*(1-'Programme cost'!$G$11)*'Programme cost'!$J$11/1000000</f>
        <v>0.000100017185083348</v>
      </c>
      <c r="L59" s="44" t="n">
        <f aca="false">E59*(1-'Programme cost'!$H$11)*'Programme cost'!$D$11/1000000</f>
        <v>0.059235378</v>
      </c>
      <c r="M59" s="44" t="n">
        <f aca="false">E59*(1-'Programme cost'!$H$11)*'Programme cost'!$J$11/1000000</f>
        <v>0.000100017185083348</v>
      </c>
      <c r="N59" s="44" t="n">
        <f aca="false">E59*(1-'Programme cost'!$I$11)*'Programme cost'!$D$11/1000000</f>
        <v>0.0610674</v>
      </c>
      <c r="O59" s="44" t="n">
        <f aca="false">E59*(1-'Programme cost'!$I$11)*'Programme cost'!$J$11/1000000</f>
        <v>0.000103110500085925</v>
      </c>
      <c r="P59" s="44" t="n">
        <f aca="false">E59*consip_svi_eur_team_day*x25_days_per_fte_year/12/1000000</f>
        <v>0.01815</v>
      </c>
      <c r="Q59" s="44" t="n">
        <f aca="false">I59</f>
        <v>0.209246022596265</v>
      </c>
      <c r="R59" s="44" t="n">
        <f aca="false">H59</f>
        <v>0.0610674</v>
      </c>
      <c r="S59" s="44" t="n">
        <f aca="false">IF('Programme cost'!$F$34="in-house",H59,IF('Programme cost'!$F$34="integrator",I59,J59+K59))</f>
        <v>0.0593353951850834</v>
      </c>
      <c r="T59" s="0" t="s">
        <v>3897</v>
      </c>
    </row>
    <row r="60" customFormat="false" ht="15" hidden="false" customHeight="false" outlineLevel="0" collapsed="false">
      <c r="A60" s="0" t="s">
        <v>3808</v>
      </c>
      <c r="B60" s="0" t="n">
        <v>4</v>
      </c>
      <c r="C60" s="0" t="s">
        <v>3768</v>
      </c>
      <c r="D60" s="0" t="n">
        <v>1</v>
      </c>
      <c r="E60" s="0" t="n">
        <f aca="false">D60*x21_phase_months</f>
        <v>6</v>
      </c>
      <c r="F60" s="0" t="s">
        <v>3836</v>
      </c>
      <c r="G60" s="0" t="s">
        <v>3837</v>
      </c>
      <c r="H60" s="44" t="n">
        <f aca="false">E60*'Programme cost'!$C$5/1000000</f>
        <v>0.06075036</v>
      </c>
      <c r="I60" s="44" t="n">
        <f aca="false">E60*'Programme cost'!$F$5/1000000</f>
        <v>0.163592344938898</v>
      </c>
      <c r="J60" s="44" t="n">
        <f aca="false">E60*(1-'Programme cost'!$G$5)*'Programme cost'!$C$5/1000000</f>
        <v>0.057608764606599</v>
      </c>
      <c r="K60" s="44" t="n">
        <f aca="false">E60*(1-'Programme cost'!$G$5)*'Programme cost'!$J$5/1000000</f>
        <v>0.000288446062827618</v>
      </c>
      <c r="L60" s="44" t="n">
        <f aca="false">E60*(1-'Programme cost'!$H$5)*'Programme cost'!$C$5/1000000</f>
        <v>0.05227568478</v>
      </c>
      <c r="M60" s="44" t="n">
        <f aca="false">E60*(1-'Programme cost'!$H$5)*'Programme cost'!$J$5/1000000</f>
        <v>0.00026174342670562</v>
      </c>
      <c r="N60" s="44" t="n">
        <f aca="false">E60*(1-'Programme cost'!$I$5)*'Programme cost'!$C$5/1000000</f>
        <v>0.0636360021</v>
      </c>
      <c r="O60" s="44" t="n">
        <f aca="false">E60*(1-'Programme cost'!$I$5)*'Programme cost'!$J$5/1000000</f>
        <v>0.00031862433407802</v>
      </c>
      <c r="P60" s="44" t="n">
        <f aca="false">E60*consip_svi_eur_team_day*x25_days_per_fte_year/12/1000000</f>
        <v>0.01815</v>
      </c>
      <c r="Q60" s="44" t="n">
        <f aca="false">E60*dl_gc14_off_dev_l4_gbp_day/x25_gbp_per_eur*x25_days_per_fte_year/12/1000000</f>
        <v>0.0735531473368688</v>
      </c>
      <c r="R60" s="44" t="n">
        <f aca="false">E60*'Programme cost'!$E$5/1000000</f>
        <v>0.023085</v>
      </c>
      <c r="S60" s="44" t="n">
        <f aca="false">IF('Programme cost'!$F$34="in-house",H60,IF('Programme cost'!$F$34="integrator",I60,J60+K60))</f>
        <v>0.0578972106694266</v>
      </c>
      <c r="T60" s="0" t="s">
        <v>3898</v>
      </c>
    </row>
    <row r="61" customFormat="false" ht="15" hidden="false" customHeight="false" outlineLevel="0" collapsed="false">
      <c r="A61" s="0" t="s">
        <v>3808</v>
      </c>
      <c r="B61" s="0" t="n">
        <v>4</v>
      </c>
      <c r="C61" s="0" t="s">
        <v>3772</v>
      </c>
      <c r="D61" s="0" t="n">
        <v>0.5</v>
      </c>
      <c r="E61" s="0" t="n">
        <f aca="false">D61*x21_phase_months</f>
        <v>3</v>
      </c>
      <c r="F61" s="0" t="s">
        <v>3836</v>
      </c>
      <c r="G61" s="0" t="s">
        <v>3837</v>
      </c>
      <c r="H61" s="44" t="n">
        <f aca="false">E61*'Programme cost'!$C$8/1000000</f>
        <v>0.03037518</v>
      </c>
      <c r="I61" s="44" t="n">
        <f aca="false">E61*'Programme cost'!$F$8/1000000</f>
        <v>0.104623011298132</v>
      </c>
      <c r="J61" s="44" t="n">
        <f aca="false">E61*(1-'Programme cost'!$G$8)*'Programme cost'!$C$8/1000000</f>
        <v>0.0294639246</v>
      </c>
      <c r="K61" s="44" t="n">
        <f aca="false">E61*(1-'Programme cost'!$G$8)*'Programme cost'!$J$8/1000000</f>
        <v>5.00085925416738E-005</v>
      </c>
      <c r="L61" s="44" t="n">
        <f aca="false">E61*(1-'Programme cost'!$H$8)*'Programme cost'!$C$8/1000000</f>
        <v>0.0294639246</v>
      </c>
      <c r="M61" s="44" t="n">
        <f aca="false">E61*(1-'Programme cost'!$H$8)*'Programme cost'!$J$8/1000000</f>
        <v>5.00085925416738E-005</v>
      </c>
      <c r="N61" s="44" t="n">
        <f aca="false">E61*(1-'Programme cost'!$I$8)*'Programme cost'!$C$8/1000000</f>
        <v>0.03037518</v>
      </c>
      <c r="O61" s="44" t="n">
        <f aca="false">E61*(1-'Programme cost'!$I$8)*'Programme cost'!$J$8/1000000</f>
        <v>5.15552500429627E-005</v>
      </c>
      <c r="P61" s="44" t="n">
        <f aca="false">E61*consip_svi_eur_team_day*x25_days_per_fte_year/12/1000000</f>
        <v>0.009075</v>
      </c>
      <c r="Q61" s="44" t="n">
        <f aca="false">I61</f>
        <v>0.104623011298132</v>
      </c>
      <c r="R61" s="44" t="n">
        <f aca="false">H61</f>
        <v>0.03037518</v>
      </c>
      <c r="S61" s="44" t="n">
        <f aca="false">IF('Programme cost'!$F$34="in-house",H61,IF('Programme cost'!$F$34="integrator",I61,J61+K61))</f>
        <v>0.0295139331925417</v>
      </c>
      <c r="T61" s="0" t="s">
        <v>3899</v>
      </c>
    </row>
    <row r="62" customFormat="false" ht="15" hidden="false" customHeight="false" outlineLevel="0" collapsed="false">
      <c r="A62" s="0" t="s">
        <v>3809</v>
      </c>
      <c r="B62" s="0" t="n">
        <v>1</v>
      </c>
      <c r="C62" s="0" t="s">
        <v>3768</v>
      </c>
      <c r="D62" s="0" t="n">
        <v>1</v>
      </c>
      <c r="E62" s="0" t="n">
        <f aca="false">D62*x21_phase_months</f>
        <v>6</v>
      </c>
      <c r="F62" s="0" t="s">
        <v>3836</v>
      </c>
      <c r="G62" s="0" t="s">
        <v>3837</v>
      </c>
      <c r="H62" s="44" t="n">
        <f aca="false">E62*'Programme cost'!$C$5/1000000</f>
        <v>0.06075036</v>
      </c>
      <c r="I62" s="44" t="n">
        <f aca="false">E62*'Programme cost'!$F$5/1000000</f>
        <v>0.163592344938898</v>
      </c>
      <c r="J62" s="44" t="n">
        <f aca="false">E62*(1-'Programme cost'!$G$5)*'Programme cost'!$C$5/1000000</f>
        <v>0.057608764606599</v>
      </c>
      <c r="K62" s="44" t="n">
        <f aca="false">E62*(1-'Programme cost'!$G$5)*'Programme cost'!$J$5/1000000</f>
        <v>0.000288446062827618</v>
      </c>
      <c r="L62" s="44" t="n">
        <f aca="false">E62*(1-'Programme cost'!$H$5)*'Programme cost'!$C$5/1000000</f>
        <v>0.05227568478</v>
      </c>
      <c r="M62" s="44" t="n">
        <f aca="false">E62*(1-'Programme cost'!$H$5)*'Programme cost'!$J$5/1000000</f>
        <v>0.00026174342670562</v>
      </c>
      <c r="N62" s="44" t="n">
        <f aca="false">E62*(1-'Programme cost'!$I$5)*'Programme cost'!$C$5/1000000</f>
        <v>0.0636360021</v>
      </c>
      <c r="O62" s="44" t="n">
        <f aca="false">E62*(1-'Programme cost'!$I$5)*'Programme cost'!$J$5/1000000</f>
        <v>0.00031862433407802</v>
      </c>
      <c r="P62" s="44" t="n">
        <f aca="false">E62*consip_svi_eur_team_day*x25_days_per_fte_year/12/1000000</f>
        <v>0.01815</v>
      </c>
      <c r="Q62" s="44" t="n">
        <f aca="false">E62*dl_gc14_off_dev_l4_gbp_day/x25_gbp_per_eur*x25_days_per_fte_year/12/1000000</f>
        <v>0.0735531473368688</v>
      </c>
      <c r="R62" s="44" t="n">
        <f aca="false">E62*'Programme cost'!$E$5/1000000</f>
        <v>0.023085</v>
      </c>
      <c r="S62" s="44" t="n">
        <f aca="false">IF('Programme cost'!$F$35="in-house",H62,IF('Programme cost'!$F$35="integrator",I62,J62+K62))</f>
        <v>0.0578972106694266</v>
      </c>
      <c r="T62" s="0" t="s">
        <v>3900</v>
      </c>
    </row>
    <row r="63" customFormat="false" ht="15" hidden="false" customHeight="false" outlineLevel="0" collapsed="false">
      <c r="A63" s="0" t="s">
        <v>3809</v>
      </c>
      <c r="B63" s="0" t="n">
        <v>1</v>
      </c>
      <c r="C63" s="0" t="s">
        <v>3772</v>
      </c>
      <c r="D63" s="0" t="n">
        <v>0.5</v>
      </c>
      <c r="E63" s="0" t="n">
        <f aca="false">D63*x21_phase_months</f>
        <v>3</v>
      </c>
      <c r="F63" s="0" t="s">
        <v>3836</v>
      </c>
      <c r="G63" s="0" t="s">
        <v>3837</v>
      </c>
      <c r="H63" s="44" t="n">
        <f aca="false">E63*'Programme cost'!$C$8/1000000</f>
        <v>0.03037518</v>
      </c>
      <c r="I63" s="44" t="n">
        <f aca="false">E63*'Programme cost'!$F$8/1000000</f>
        <v>0.104623011298132</v>
      </c>
      <c r="J63" s="44" t="n">
        <f aca="false">E63*(1-'Programme cost'!$G$8)*'Programme cost'!$C$8/1000000</f>
        <v>0.0294639246</v>
      </c>
      <c r="K63" s="44" t="n">
        <f aca="false">E63*(1-'Programme cost'!$G$8)*'Programme cost'!$J$8/1000000</f>
        <v>5.00085925416738E-005</v>
      </c>
      <c r="L63" s="44" t="n">
        <f aca="false">E63*(1-'Programme cost'!$H$8)*'Programme cost'!$C$8/1000000</f>
        <v>0.0294639246</v>
      </c>
      <c r="M63" s="44" t="n">
        <f aca="false">E63*(1-'Programme cost'!$H$8)*'Programme cost'!$J$8/1000000</f>
        <v>5.00085925416738E-005</v>
      </c>
      <c r="N63" s="44" t="n">
        <f aca="false">E63*(1-'Programme cost'!$I$8)*'Programme cost'!$C$8/1000000</f>
        <v>0.03037518</v>
      </c>
      <c r="O63" s="44" t="n">
        <f aca="false">E63*(1-'Programme cost'!$I$8)*'Programme cost'!$J$8/1000000</f>
        <v>5.15552500429627E-005</v>
      </c>
      <c r="P63" s="44" t="n">
        <f aca="false">E63*consip_svi_eur_team_day*x25_days_per_fte_year/12/1000000</f>
        <v>0.009075</v>
      </c>
      <c r="Q63" s="44" t="n">
        <f aca="false">I63</f>
        <v>0.104623011298132</v>
      </c>
      <c r="R63" s="44" t="n">
        <f aca="false">H63</f>
        <v>0.03037518</v>
      </c>
      <c r="S63" s="44" t="n">
        <f aca="false">IF('Programme cost'!$F$35="in-house",H63,IF('Programme cost'!$F$35="integrator",I63,J63+K63))</f>
        <v>0.0295139331925417</v>
      </c>
      <c r="T63" s="0" t="s">
        <v>3901</v>
      </c>
    </row>
    <row r="64" customFormat="false" ht="15" hidden="false" customHeight="false" outlineLevel="0" collapsed="false">
      <c r="A64" s="0" t="s">
        <v>3809</v>
      </c>
      <c r="B64" s="0" t="n">
        <v>2</v>
      </c>
      <c r="C64" s="0" t="s">
        <v>3768</v>
      </c>
      <c r="D64" s="0" t="n">
        <v>1</v>
      </c>
      <c r="E64" s="0" t="n">
        <f aca="false">D64*x21_phase_months</f>
        <v>6</v>
      </c>
      <c r="F64" s="0" t="s">
        <v>3836</v>
      </c>
      <c r="G64" s="0" t="s">
        <v>3837</v>
      </c>
      <c r="H64" s="44" t="n">
        <f aca="false">E64*'Programme cost'!$C$5/1000000</f>
        <v>0.06075036</v>
      </c>
      <c r="I64" s="44" t="n">
        <f aca="false">E64*'Programme cost'!$F$5/1000000</f>
        <v>0.163592344938898</v>
      </c>
      <c r="J64" s="44" t="n">
        <f aca="false">E64*(1-'Programme cost'!$G$5)*'Programme cost'!$C$5/1000000</f>
        <v>0.057608764606599</v>
      </c>
      <c r="K64" s="44" t="n">
        <f aca="false">E64*(1-'Programme cost'!$G$5)*'Programme cost'!$J$5/1000000</f>
        <v>0.000288446062827618</v>
      </c>
      <c r="L64" s="44" t="n">
        <f aca="false">E64*(1-'Programme cost'!$H$5)*'Programme cost'!$C$5/1000000</f>
        <v>0.05227568478</v>
      </c>
      <c r="M64" s="44" t="n">
        <f aca="false">E64*(1-'Programme cost'!$H$5)*'Programme cost'!$J$5/1000000</f>
        <v>0.00026174342670562</v>
      </c>
      <c r="N64" s="44" t="n">
        <f aca="false">E64*(1-'Programme cost'!$I$5)*'Programme cost'!$C$5/1000000</f>
        <v>0.0636360021</v>
      </c>
      <c r="O64" s="44" t="n">
        <f aca="false">E64*(1-'Programme cost'!$I$5)*'Programme cost'!$J$5/1000000</f>
        <v>0.00031862433407802</v>
      </c>
      <c r="P64" s="44" t="n">
        <f aca="false">E64*consip_svi_eur_team_day*x25_days_per_fte_year/12/1000000</f>
        <v>0.01815</v>
      </c>
      <c r="Q64" s="44" t="n">
        <f aca="false">E64*dl_gc14_off_dev_l4_gbp_day/x25_gbp_per_eur*x25_days_per_fte_year/12/1000000</f>
        <v>0.0735531473368688</v>
      </c>
      <c r="R64" s="44" t="n">
        <f aca="false">E64*'Programme cost'!$E$5/1000000</f>
        <v>0.023085</v>
      </c>
      <c r="S64" s="44" t="n">
        <f aca="false">IF('Programme cost'!$F$35="in-house",H64,IF('Programme cost'!$F$35="integrator",I64,J64+K64))</f>
        <v>0.0578972106694266</v>
      </c>
      <c r="T64" s="0" t="s">
        <v>3902</v>
      </c>
    </row>
    <row r="65" customFormat="false" ht="15" hidden="false" customHeight="false" outlineLevel="0" collapsed="false">
      <c r="A65" s="0" t="s">
        <v>3809</v>
      </c>
      <c r="B65" s="0" t="n">
        <v>3</v>
      </c>
      <c r="C65" s="0" t="s">
        <v>3768</v>
      </c>
      <c r="D65" s="0" t="n">
        <v>1</v>
      </c>
      <c r="E65" s="0" t="n">
        <f aca="false">D65*x21_phase_months</f>
        <v>6</v>
      </c>
      <c r="F65" s="0" t="s">
        <v>3836</v>
      </c>
      <c r="G65" s="0" t="s">
        <v>3837</v>
      </c>
      <c r="H65" s="44" t="n">
        <f aca="false">E65*'Programme cost'!$C$5/1000000</f>
        <v>0.06075036</v>
      </c>
      <c r="I65" s="44" t="n">
        <f aca="false">E65*'Programme cost'!$F$5/1000000</f>
        <v>0.163592344938898</v>
      </c>
      <c r="J65" s="44" t="n">
        <f aca="false">E65*(1-'Programme cost'!$G$5)*'Programme cost'!$C$5/1000000</f>
        <v>0.057608764606599</v>
      </c>
      <c r="K65" s="44" t="n">
        <f aca="false">E65*(1-'Programme cost'!$G$5)*'Programme cost'!$J$5/1000000</f>
        <v>0.000288446062827618</v>
      </c>
      <c r="L65" s="44" t="n">
        <f aca="false">E65*(1-'Programme cost'!$H$5)*'Programme cost'!$C$5/1000000</f>
        <v>0.05227568478</v>
      </c>
      <c r="M65" s="44" t="n">
        <f aca="false">E65*(1-'Programme cost'!$H$5)*'Programme cost'!$J$5/1000000</f>
        <v>0.00026174342670562</v>
      </c>
      <c r="N65" s="44" t="n">
        <f aca="false">E65*(1-'Programme cost'!$I$5)*'Programme cost'!$C$5/1000000</f>
        <v>0.0636360021</v>
      </c>
      <c r="O65" s="44" t="n">
        <f aca="false">E65*(1-'Programme cost'!$I$5)*'Programme cost'!$J$5/1000000</f>
        <v>0.00031862433407802</v>
      </c>
      <c r="P65" s="44" t="n">
        <f aca="false">E65*consip_svi_eur_team_day*x25_days_per_fte_year/12/1000000</f>
        <v>0.01815</v>
      </c>
      <c r="Q65" s="44" t="n">
        <f aca="false">E65*dl_gc14_off_dev_l4_gbp_day/x25_gbp_per_eur*x25_days_per_fte_year/12/1000000</f>
        <v>0.0735531473368688</v>
      </c>
      <c r="R65" s="44" t="n">
        <f aca="false">E65*'Programme cost'!$E$5/1000000</f>
        <v>0.023085</v>
      </c>
      <c r="S65" s="44" t="n">
        <f aca="false">IF('Programme cost'!$F$35="in-house",H65,IF('Programme cost'!$F$35="integrator",I65,J65+K65))</f>
        <v>0.0578972106694266</v>
      </c>
      <c r="T65" s="0" t="s">
        <v>3903</v>
      </c>
    </row>
    <row r="66" customFormat="false" ht="15" hidden="false" customHeight="false" outlineLevel="0" collapsed="false">
      <c r="A66" s="0" t="s">
        <v>3809</v>
      </c>
      <c r="B66" s="0" t="n">
        <v>4</v>
      </c>
      <c r="C66" s="0" t="s">
        <v>3768</v>
      </c>
      <c r="D66" s="0" t="n">
        <v>0.5</v>
      </c>
      <c r="E66" s="0" t="n">
        <f aca="false">D66*x21_phase_months</f>
        <v>3</v>
      </c>
      <c r="F66" s="0" t="s">
        <v>3836</v>
      </c>
      <c r="G66" s="0" t="s">
        <v>3837</v>
      </c>
      <c r="H66" s="44" t="n">
        <f aca="false">E66*'Programme cost'!$C$5/1000000</f>
        <v>0.03037518</v>
      </c>
      <c r="I66" s="44" t="n">
        <f aca="false">E66*'Programme cost'!$F$5/1000000</f>
        <v>0.0817961724694489</v>
      </c>
      <c r="J66" s="44" t="n">
        <f aca="false">E66*(1-'Programme cost'!$G$5)*'Programme cost'!$C$5/1000000</f>
        <v>0.0288043823032995</v>
      </c>
      <c r="K66" s="44" t="n">
        <f aca="false">E66*(1-'Programme cost'!$G$5)*'Programme cost'!$J$5/1000000</f>
        <v>0.000144223031413809</v>
      </c>
      <c r="L66" s="44" t="n">
        <f aca="false">E66*(1-'Programme cost'!$H$5)*'Programme cost'!$C$5/1000000</f>
        <v>0.02613784239</v>
      </c>
      <c r="M66" s="44" t="n">
        <f aca="false">E66*(1-'Programme cost'!$H$5)*'Programme cost'!$J$5/1000000</f>
        <v>0.00013087171335281</v>
      </c>
      <c r="N66" s="44" t="n">
        <f aca="false">E66*(1-'Programme cost'!$I$5)*'Programme cost'!$C$5/1000000</f>
        <v>0.03181800105</v>
      </c>
      <c r="O66" s="44" t="n">
        <f aca="false">E66*(1-'Programme cost'!$I$5)*'Programme cost'!$J$5/1000000</f>
        <v>0.00015931216703901</v>
      </c>
      <c r="P66" s="44" t="n">
        <f aca="false">E66*consip_svi_eur_team_day*x25_days_per_fte_year/12/1000000</f>
        <v>0.009075</v>
      </c>
      <c r="Q66" s="44" t="n">
        <f aca="false">E66*dl_gc14_off_dev_l4_gbp_day/x25_gbp_per_eur*x25_days_per_fte_year/12/1000000</f>
        <v>0.0367765736684344</v>
      </c>
      <c r="R66" s="44" t="n">
        <f aca="false">E66*'Programme cost'!$E$5/1000000</f>
        <v>0.0115425</v>
      </c>
      <c r="S66" s="44" t="n">
        <f aca="false">IF('Programme cost'!$F$35="in-house",H66,IF('Programme cost'!$F$35="integrator",I66,J66+K66))</f>
        <v>0.0289486053347133</v>
      </c>
      <c r="T66" s="0" t="s">
        <v>3904</v>
      </c>
    </row>
    <row r="67" customFormat="false" ht="15" hidden="false" customHeight="false" outlineLevel="0" collapsed="false">
      <c r="A67" s="0" t="s">
        <v>3810</v>
      </c>
      <c r="B67" s="0" t="n">
        <v>1</v>
      </c>
      <c r="C67" s="0" t="s">
        <v>3768</v>
      </c>
      <c r="D67" s="0" t="n">
        <v>1</v>
      </c>
      <c r="E67" s="0" t="n">
        <f aca="false">D67*x21_phase_months</f>
        <v>6</v>
      </c>
      <c r="F67" s="0" t="s">
        <v>3836</v>
      </c>
      <c r="G67" s="0" t="s">
        <v>3837</v>
      </c>
      <c r="H67" s="44" t="n">
        <f aca="false">E67*'Programme cost'!$C$5/1000000</f>
        <v>0.06075036</v>
      </c>
      <c r="I67" s="44" t="n">
        <f aca="false">E67*'Programme cost'!$F$5/1000000</f>
        <v>0.163592344938898</v>
      </c>
      <c r="J67" s="44" t="n">
        <f aca="false">E67*(1-'Programme cost'!$G$5)*'Programme cost'!$C$5/1000000</f>
        <v>0.057608764606599</v>
      </c>
      <c r="K67" s="44" t="n">
        <f aca="false">E67*(1-'Programme cost'!$G$5)*'Programme cost'!$J$5/1000000</f>
        <v>0.000288446062827618</v>
      </c>
      <c r="L67" s="44" t="n">
        <f aca="false">E67*(1-'Programme cost'!$H$5)*'Programme cost'!$C$5/1000000</f>
        <v>0.05227568478</v>
      </c>
      <c r="M67" s="44" t="n">
        <f aca="false">E67*(1-'Programme cost'!$H$5)*'Programme cost'!$J$5/1000000</f>
        <v>0.00026174342670562</v>
      </c>
      <c r="N67" s="44" t="n">
        <f aca="false">E67*(1-'Programme cost'!$I$5)*'Programme cost'!$C$5/1000000</f>
        <v>0.0636360021</v>
      </c>
      <c r="O67" s="44" t="n">
        <f aca="false">E67*(1-'Programme cost'!$I$5)*'Programme cost'!$J$5/1000000</f>
        <v>0.00031862433407802</v>
      </c>
      <c r="P67" s="44" t="n">
        <f aca="false">E67*consip_svi_eur_team_day*x25_days_per_fte_year/12/1000000</f>
        <v>0.01815</v>
      </c>
      <c r="Q67" s="44" t="n">
        <f aca="false">E67*dl_gc14_off_dev_l4_gbp_day/x25_gbp_per_eur*x25_days_per_fte_year/12/1000000</f>
        <v>0.0735531473368688</v>
      </c>
      <c r="R67" s="44" t="n">
        <f aca="false">E67*'Programme cost'!$E$5/1000000</f>
        <v>0.023085</v>
      </c>
      <c r="S67" s="44" t="n">
        <f aca="false">IF('Programme cost'!$F$36="in-house",H67,IF('Programme cost'!$F$36="integrator",I67,J67+K67))</f>
        <v>0.0578972106694266</v>
      </c>
      <c r="T67" s="0" t="s">
        <v>3905</v>
      </c>
    </row>
    <row r="68" customFormat="false" ht="15" hidden="false" customHeight="false" outlineLevel="0" collapsed="false">
      <c r="A68" s="0" t="s">
        <v>3810</v>
      </c>
      <c r="B68" s="0" t="n">
        <v>1</v>
      </c>
      <c r="C68" s="0" t="s">
        <v>3773</v>
      </c>
      <c r="D68" s="0" t="n">
        <v>1</v>
      </c>
      <c r="E68" s="0" t="n">
        <f aca="false">D68*x21_phase_months</f>
        <v>6</v>
      </c>
      <c r="F68" s="0" t="s">
        <v>3836</v>
      </c>
      <c r="G68" s="0" t="s">
        <v>3863</v>
      </c>
      <c r="H68" s="44" t="n">
        <f aca="false">E68*'Programme cost'!$C$9/1000000</f>
        <v>0.06075036</v>
      </c>
      <c r="I68" s="44" t="n">
        <f aca="false">H68</f>
        <v>0.06075036</v>
      </c>
      <c r="J68" s="44" t="n">
        <f aca="false">E68*(1-'Programme cost'!$G$9)*'Programme cost'!$C$9/1000000</f>
        <v>0.0589278492</v>
      </c>
      <c r="K68" s="44" t="n">
        <f aca="false">E68*(1-'Programme cost'!$G$9)*'Programme cost'!$J$9/1000000</f>
        <v>0.000100017185083348</v>
      </c>
      <c r="L68" s="44" t="n">
        <f aca="false">E68*(1-'Programme cost'!$H$9)*'Programme cost'!$C$9/1000000</f>
        <v>0.0589278492</v>
      </c>
      <c r="M68" s="44" t="n">
        <f aca="false">E68*(1-'Programme cost'!$H$9)*'Programme cost'!$J$9/1000000</f>
        <v>0.000100017185083348</v>
      </c>
      <c r="N68" s="44" t="n">
        <f aca="false">E68*(1-'Programme cost'!$I$9)*'Programme cost'!$C$9/1000000</f>
        <v>0.06075036</v>
      </c>
      <c r="O68" s="44" t="n">
        <f aca="false">E68*(1-'Programme cost'!$I$9)*'Programme cost'!$J$9/1000000</f>
        <v>0.000103110500085925</v>
      </c>
      <c r="P68" s="44" t="n">
        <f aca="false">H68</f>
        <v>0.06075036</v>
      </c>
      <c r="Q68" s="44" t="n">
        <f aca="false">I68</f>
        <v>0.06075036</v>
      </c>
      <c r="R68" s="44" t="n">
        <f aca="false">H68</f>
        <v>0.06075036</v>
      </c>
      <c r="S68" s="44" t="n">
        <f aca="false">IF('Programme cost'!$F$36="in-house",H68,IF('Programme cost'!$F$36="integrator",I68,J68+K68))</f>
        <v>0.0590278663850834</v>
      </c>
      <c r="T68" s="0" t="s">
        <v>3906</v>
      </c>
    </row>
    <row r="69" customFormat="false" ht="15" hidden="false" customHeight="false" outlineLevel="0" collapsed="false">
      <c r="A69" s="0" t="s">
        <v>3810</v>
      </c>
      <c r="B69" s="0" t="n">
        <v>2</v>
      </c>
      <c r="C69" s="0" t="s">
        <v>3768</v>
      </c>
      <c r="D69" s="0" t="n">
        <v>1</v>
      </c>
      <c r="E69" s="0" t="n">
        <f aca="false">D69*x21_phase_months</f>
        <v>6</v>
      </c>
      <c r="F69" s="0" t="s">
        <v>3836</v>
      </c>
      <c r="G69" s="0" t="s">
        <v>3837</v>
      </c>
      <c r="H69" s="44" t="n">
        <f aca="false">E69*'Programme cost'!$C$5/1000000</f>
        <v>0.06075036</v>
      </c>
      <c r="I69" s="44" t="n">
        <f aca="false">E69*'Programme cost'!$F$5/1000000</f>
        <v>0.163592344938898</v>
      </c>
      <c r="J69" s="44" t="n">
        <f aca="false">E69*(1-'Programme cost'!$G$5)*'Programme cost'!$C$5/1000000</f>
        <v>0.057608764606599</v>
      </c>
      <c r="K69" s="44" t="n">
        <f aca="false">E69*(1-'Programme cost'!$G$5)*'Programme cost'!$J$5/1000000</f>
        <v>0.000288446062827618</v>
      </c>
      <c r="L69" s="44" t="n">
        <f aca="false">E69*(1-'Programme cost'!$H$5)*'Programme cost'!$C$5/1000000</f>
        <v>0.05227568478</v>
      </c>
      <c r="M69" s="44" t="n">
        <f aca="false">E69*(1-'Programme cost'!$H$5)*'Programme cost'!$J$5/1000000</f>
        <v>0.00026174342670562</v>
      </c>
      <c r="N69" s="44" t="n">
        <f aca="false">E69*(1-'Programme cost'!$I$5)*'Programme cost'!$C$5/1000000</f>
        <v>0.0636360021</v>
      </c>
      <c r="O69" s="44" t="n">
        <f aca="false">E69*(1-'Programme cost'!$I$5)*'Programme cost'!$J$5/1000000</f>
        <v>0.00031862433407802</v>
      </c>
      <c r="P69" s="44" t="n">
        <f aca="false">E69*consip_svi_eur_team_day*x25_days_per_fte_year/12/1000000</f>
        <v>0.01815</v>
      </c>
      <c r="Q69" s="44" t="n">
        <f aca="false">E69*dl_gc14_off_dev_l4_gbp_day/x25_gbp_per_eur*x25_days_per_fte_year/12/1000000</f>
        <v>0.0735531473368688</v>
      </c>
      <c r="R69" s="44" t="n">
        <f aca="false">E69*'Programme cost'!$E$5/1000000</f>
        <v>0.023085</v>
      </c>
      <c r="S69" s="44" t="n">
        <f aca="false">IF('Programme cost'!$F$36="in-house",H69,IF('Programme cost'!$F$36="integrator",I69,J69+K69))</f>
        <v>0.0578972106694266</v>
      </c>
      <c r="T69" s="0" t="s">
        <v>3907</v>
      </c>
    </row>
    <row r="70" customFormat="false" ht="15" hidden="false" customHeight="false" outlineLevel="0" collapsed="false">
      <c r="A70" s="0" t="s">
        <v>3810</v>
      </c>
      <c r="B70" s="0" t="n">
        <v>2</v>
      </c>
      <c r="C70" s="0" t="s">
        <v>3773</v>
      </c>
      <c r="D70" s="0" t="n">
        <v>1</v>
      </c>
      <c r="E70" s="0" t="n">
        <f aca="false">D70*x21_phase_months</f>
        <v>6</v>
      </c>
      <c r="F70" s="0" t="s">
        <v>3836</v>
      </c>
      <c r="G70" s="0" t="s">
        <v>3863</v>
      </c>
      <c r="H70" s="44" t="n">
        <f aca="false">E70*'Programme cost'!$C$9/1000000</f>
        <v>0.06075036</v>
      </c>
      <c r="I70" s="44" t="n">
        <f aca="false">H70</f>
        <v>0.06075036</v>
      </c>
      <c r="J70" s="44" t="n">
        <f aca="false">E70*(1-'Programme cost'!$G$9)*'Programme cost'!$C$9/1000000</f>
        <v>0.0589278492</v>
      </c>
      <c r="K70" s="44" t="n">
        <f aca="false">E70*(1-'Programme cost'!$G$9)*'Programme cost'!$J$9/1000000</f>
        <v>0.000100017185083348</v>
      </c>
      <c r="L70" s="44" t="n">
        <f aca="false">E70*(1-'Programme cost'!$H$9)*'Programme cost'!$C$9/1000000</f>
        <v>0.0589278492</v>
      </c>
      <c r="M70" s="44" t="n">
        <f aca="false">E70*(1-'Programme cost'!$H$9)*'Programme cost'!$J$9/1000000</f>
        <v>0.000100017185083348</v>
      </c>
      <c r="N70" s="44" t="n">
        <f aca="false">E70*(1-'Programme cost'!$I$9)*'Programme cost'!$C$9/1000000</f>
        <v>0.06075036</v>
      </c>
      <c r="O70" s="44" t="n">
        <f aca="false">E70*(1-'Programme cost'!$I$9)*'Programme cost'!$J$9/1000000</f>
        <v>0.000103110500085925</v>
      </c>
      <c r="P70" s="44" t="n">
        <f aca="false">H70</f>
        <v>0.06075036</v>
      </c>
      <c r="Q70" s="44" t="n">
        <f aca="false">I70</f>
        <v>0.06075036</v>
      </c>
      <c r="R70" s="44" t="n">
        <f aca="false">H70</f>
        <v>0.06075036</v>
      </c>
      <c r="S70" s="44" t="n">
        <f aca="false">IF('Programme cost'!$F$36="in-house",H70,IF('Programme cost'!$F$36="integrator",I70,J70+K70))</f>
        <v>0.0590278663850834</v>
      </c>
      <c r="T70" s="0" t="s">
        <v>3908</v>
      </c>
    </row>
    <row r="71" customFormat="false" ht="15" hidden="false" customHeight="false" outlineLevel="0" collapsed="false">
      <c r="A71" s="0" t="s">
        <v>3810</v>
      </c>
      <c r="B71" s="0" t="n">
        <v>3</v>
      </c>
      <c r="C71" s="0" t="s">
        <v>3768</v>
      </c>
      <c r="D71" s="0" t="n">
        <v>1</v>
      </c>
      <c r="E71" s="0" t="n">
        <f aca="false">D71*x21_phase_months</f>
        <v>6</v>
      </c>
      <c r="F71" s="0" t="s">
        <v>3836</v>
      </c>
      <c r="G71" s="0" t="s">
        <v>3837</v>
      </c>
      <c r="H71" s="44" t="n">
        <f aca="false">E71*'Programme cost'!$C$5/1000000</f>
        <v>0.06075036</v>
      </c>
      <c r="I71" s="44" t="n">
        <f aca="false">E71*'Programme cost'!$F$5/1000000</f>
        <v>0.163592344938898</v>
      </c>
      <c r="J71" s="44" t="n">
        <f aca="false">E71*(1-'Programme cost'!$G$5)*'Programme cost'!$C$5/1000000</f>
        <v>0.057608764606599</v>
      </c>
      <c r="K71" s="44" t="n">
        <f aca="false">E71*(1-'Programme cost'!$G$5)*'Programme cost'!$J$5/1000000</f>
        <v>0.000288446062827618</v>
      </c>
      <c r="L71" s="44" t="n">
        <f aca="false">E71*(1-'Programme cost'!$H$5)*'Programme cost'!$C$5/1000000</f>
        <v>0.05227568478</v>
      </c>
      <c r="M71" s="44" t="n">
        <f aca="false">E71*(1-'Programme cost'!$H$5)*'Programme cost'!$J$5/1000000</f>
        <v>0.00026174342670562</v>
      </c>
      <c r="N71" s="44" t="n">
        <f aca="false">E71*(1-'Programme cost'!$I$5)*'Programme cost'!$C$5/1000000</f>
        <v>0.0636360021</v>
      </c>
      <c r="O71" s="44" t="n">
        <f aca="false">E71*(1-'Programme cost'!$I$5)*'Programme cost'!$J$5/1000000</f>
        <v>0.00031862433407802</v>
      </c>
      <c r="P71" s="44" t="n">
        <f aca="false">E71*consip_svi_eur_team_day*x25_days_per_fte_year/12/1000000</f>
        <v>0.01815</v>
      </c>
      <c r="Q71" s="44" t="n">
        <f aca="false">E71*dl_gc14_off_dev_l4_gbp_day/x25_gbp_per_eur*x25_days_per_fte_year/12/1000000</f>
        <v>0.0735531473368688</v>
      </c>
      <c r="R71" s="44" t="n">
        <f aca="false">E71*'Programme cost'!$E$5/1000000</f>
        <v>0.023085</v>
      </c>
      <c r="S71" s="44" t="n">
        <f aca="false">IF('Programme cost'!$F$36="in-house",H71,IF('Programme cost'!$F$36="integrator",I71,J71+K71))</f>
        <v>0.0578972106694266</v>
      </c>
      <c r="T71" s="0" t="s">
        <v>3909</v>
      </c>
    </row>
    <row r="72" customFormat="false" ht="15" hidden="false" customHeight="false" outlineLevel="0" collapsed="false">
      <c r="A72" s="0" t="s">
        <v>3810</v>
      </c>
      <c r="B72" s="0" t="n">
        <v>3</v>
      </c>
      <c r="C72" s="0" t="s">
        <v>3773</v>
      </c>
      <c r="D72" s="0" t="n">
        <v>1</v>
      </c>
      <c r="E72" s="0" t="n">
        <f aca="false">D72*x21_phase_months</f>
        <v>6</v>
      </c>
      <c r="F72" s="0" t="s">
        <v>3836</v>
      </c>
      <c r="G72" s="0" t="s">
        <v>3863</v>
      </c>
      <c r="H72" s="44" t="n">
        <f aca="false">E72*'Programme cost'!$C$9/1000000</f>
        <v>0.06075036</v>
      </c>
      <c r="I72" s="44" t="n">
        <f aca="false">H72</f>
        <v>0.06075036</v>
      </c>
      <c r="J72" s="44" t="n">
        <f aca="false">E72*(1-'Programme cost'!$G$9)*'Programme cost'!$C$9/1000000</f>
        <v>0.0589278492</v>
      </c>
      <c r="K72" s="44" t="n">
        <f aca="false">E72*(1-'Programme cost'!$G$9)*'Programme cost'!$J$9/1000000</f>
        <v>0.000100017185083348</v>
      </c>
      <c r="L72" s="44" t="n">
        <f aca="false">E72*(1-'Programme cost'!$H$9)*'Programme cost'!$C$9/1000000</f>
        <v>0.0589278492</v>
      </c>
      <c r="M72" s="44" t="n">
        <f aca="false">E72*(1-'Programme cost'!$H$9)*'Programme cost'!$J$9/1000000</f>
        <v>0.000100017185083348</v>
      </c>
      <c r="N72" s="44" t="n">
        <f aca="false">E72*(1-'Programme cost'!$I$9)*'Programme cost'!$C$9/1000000</f>
        <v>0.06075036</v>
      </c>
      <c r="O72" s="44" t="n">
        <f aca="false">E72*(1-'Programme cost'!$I$9)*'Programme cost'!$J$9/1000000</f>
        <v>0.000103110500085925</v>
      </c>
      <c r="P72" s="44" t="n">
        <f aca="false">H72</f>
        <v>0.06075036</v>
      </c>
      <c r="Q72" s="44" t="n">
        <f aca="false">I72</f>
        <v>0.06075036</v>
      </c>
      <c r="R72" s="44" t="n">
        <f aca="false">H72</f>
        <v>0.06075036</v>
      </c>
      <c r="S72" s="44" t="n">
        <f aca="false">IF('Programme cost'!$F$36="in-house",H72,IF('Programme cost'!$F$36="integrator",I72,J72+K72))</f>
        <v>0.0590278663850834</v>
      </c>
      <c r="T72" s="0" t="s">
        <v>3910</v>
      </c>
    </row>
    <row r="73" customFormat="false" ht="15" hidden="false" customHeight="false" outlineLevel="0" collapsed="false">
      <c r="A73" s="0" t="s">
        <v>3810</v>
      </c>
      <c r="B73" s="0" t="n">
        <v>4</v>
      </c>
      <c r="C73" s="0" t="s">
        <v>3768</v>
      </c>
      <c r="D73" s="0" t="n">
        <v>0.5</v>
      </c>
      <c r="E73" s="0" t="n">
        <f aca="false">D73*x21_phase_months</f>
        <v>3</v>
      </c>
      <c r="F73" s="0" t="s">
        <v>3836</v>
      </c>
      <c r="G73" s="0" t="s">
        <v>3837</v>
      </c>
      <c r="H73" s="44" t="n">
        <f aca="false">E73*'Programme cost'!$C$5/1000000</f>
        <v>0.03037518</v>
      </c>
      <c r="I73" s="44" t="n">
        <f aca="false">E73*'Programme cost'!$F$5/1000000</f>
        <v>0.0817961724694489</v>
      </c>
      <c r="J73" s="44" t="n">
        <f aca="false">E73*(1-'Programme cost'!$G$5)*'Programme cost'!$C$5/1000000</f>
        <v>0.0288043823032995</v>
      </c>
      <c r="K73" s="44" t="n">
        <f aca="false">E73*(1-'Programme cost'!$G$5)*'Programme cost'!$J$5/1000000</f>
        <v>0.000144223031413809</v>
      </c>
      <c r="L73" s="44" t="n">
        <f aca="false">E73*(1-'Programme cost'!$H$5)*'Programme cost'!$C$5/1000000</f>
        <v>0.02613784239</v>
      </c>
      <c r="M73" s="44" t="n">
        <f aca="false">E73*(1-'Programme cost'!$H$5)*'Programme cost'!$J$5/1000000</f>
        <v>0.00013087171335281</v>
      </c>
      <c r="N73" s="44" t="n">
        <f aca="false">E73*(1-'Programme cost'!$I$5)*'Programme cost'!$C$5/1000000</f>
        <v>0.03181800105</v>
      </c>
      <c r="O73" s="44" t="n">
        <f aca="false">E73*(1-'Programme cost'!$I$5)*'Programme cost'!$J$5/1000000</f>
        <v>0.00015931216703901</v>
      </c>
      <c r="P73" s="44" t="n">
        <f aca="false">E73*consip_svi_eur_team_day*x25_days_per_fte_year/12/1000000</f>
        <v>0.009075</v>
      </c>
      <c r="Q73" s="44" t="n">
        <f aca="false">E73*dl_gc14_off_dev_l4_gbp_day/x25_gbp_per_eur*x25_days_per_fte_year/12/1000000</f>
        <v>0.0367765736684344</v>
      </c>
      <c r="R73" s="44" t="n">
        <f aca="false">E73*'Programme cost'!$E$5/1000000</f>
        <v>0.0115425</v>
      </c>
      <c r="S73" s="44" t="n">
        <f aca="false">IF('Programme cost'!$F$36="in-house",H73,IF('Programme cost'!$F$36="integrator",I73,J73+K73))</f>
        <v>0.0289486053347133</v>
      </c>
      <c r="T73" s="0" t="s">
        <v>3911</v>
      </c>
    </row>
    <row r="74" customFormat="false" ht="15" hidden="false" customHeight="false" outlineLevel="0" collapsed="false">
      <c r="A74" s="0" t="s">
        <v>3810</v>
      </c>
      <c r="B74" s="0" t="n">
        <v>4</v>
      </c>
      <c r="C74" s="0" t="s">
        <v>3773</v>
      </c>
      <c r="D74" s="0" t="n">
        <v>0.5</v>
      </c>
      <c r="E74" s="0" t="n">
        <f aca="false">D74*x21_phase_months</f>
        <v>3</v>
      </c>
      <c r="F74" s="0" t="s">
        <v>3836</v>
      </c>
      <c r="G74" s="0" t="s">
        <v>3863</v>
      </c>
      <c r="H74" s="44" t="n">
        <f aca="false">E74*'Programme cost'!$C$9/1000000</f>
        <v>0.03037518</v>
      </c>
      <c r="I74" s="44" t="n">
        <f aca="false">H74</f>
        <v>0.03037518</v>
      </c>
      <c r="J74" s="44" t="n">
        <f aca="false">E74*(1-'Programme cost'!$G$9)*'Programme cost'!$C$9/1000000</f>
        <v>0.0294639246</v>
      </c>
      <c r="K74" s="44" t="n">
        <f aca="false">E74*(1-'Programme cost'!$G$9)*'Programme cost'!$J$9/1000000</f>
        <v>5.00085925416738E-005</v>
      </c>
      <c r="L74" s="44" t="n">
        <f aca="false">E74*(1-'Programme cost'!$H$9)*'Programme cost'!$C$9/1000000</f>
        <v>0.0294639246</v>
      </c>
      <c r="M74" s="44" t="n">
        <f aca="false">E74*(1-'Programme cost'!$H$9)*'Programme cost'!$J$9/1000000</f>
        <v>5.00085925416738E-005</v>
      </c>
      <c r="N74" s="44" t="n">
        <f aca="false">E74*(1-'Programme cost'!$I$9)*'Programme cost'!$C$9/1000000</f>
        <v>0.03037518</v>
      </c>
      <c r="O74" s="44" t="n">
        <f aca="false">E74*(1-'Programme cost'!$I$9)*'Programme cost'!$J$9/1000000</f>
        <v>5.15552500429627E-005</v>
      </c>
      <c r="P74" s="44" t="n">
        <f aca="false">H74</f>
        <v>0.03037518</v>
      </c>
      <c r="Q74" s="44" t="n">
        <f aca="false">I74</f>
        <v>0.03037518</v>
      </c>
      <c r="R74" s="44" t="n">
        <f aca="false">H74</f>
        <v>0.03037518</v>
      </c>
      <c r="S74" s="44" t="n">
        <f aca="false">IF('Programme cost'!$F$36="in-house",H74,IF('Programme cost'!$F$36="integrator",I74,J74+K74))</f>
        <v>0.0295139331925417</v>
      </c>
      <c r="T74" s="0" t="s">
        <v>3912</v>
      </c>
    </row>
    <row r="75" customFormat="false" ht="15" hidden="false" customHeight="false" outlineLevel="0" collapsed="false">
      <c r="A75" s="0" t="s">
        <v>3811</v>
      </c>
      <c r="B75" s="0" t="n">
        <v>1</v>
      </c>
      <c r="C75" s="0" t="s">
        <v>3775</v>
      </c>
      <c r="D75" s="0" t="n">
        <v>2</v>
      </c>
      <c r="E75" s="0" t="n">
        <f aca="false">D75*x21_phase_months</f>
        <v>12</v>
      </c>
      <c r="F75" s="0" t="s">
        <v>3836</v>
      </c>
      <c r="G75" s="0" t="s">
        <v>3863</v>
      </c>
      <c r="H75" s="44" t="n">
        <f aca="false">E75*'Programme cost'!$C$10/1000000</f>
        <v>0.12150072</v>
      </c>
      <c r="I75" s="44" t="n">
        <f aca="false">H75</f>
        <v>0.12150072</v>
      </c>
      <c r="J75" s="44" t="n">
        <f aca="false">E75*(1-'Programme cost'!$G$10)*'Programme cost'!$C$10/1000000</f>
        <v>0.1178556984</v>
      </c>
      <c r="K75" s="44" t="n">
        <f aca="false">E75*(1-'Programme cost'!$G$10)*'Programme cost'!$J$10/1000000</f>
        <v>0.000200034370166695</v>
      </c>
      <c r="L75" s="44" t="n">
        <f aca="false">E75*(1-'Programme cost'!$H$10)*'Programme cost'!$C$10/1000000</f>
        <v>0.1178556984</v>
      </c>
      <c r="M75" s="44" t="n">
        <f aca="false">E75*(1-'Programme cost'!$H$10)*'Programme cost'!$J$10/1000000</f>
        <v>0.000200034370166695</v>
      </c>
      <c r="N75" s="44" t="n">
        <f aca="false">E75*(1-'Programme cost'!$I$10)*'Programme cost'!$C$10/1000000</f>
        <v>0.12150072</v>
      </c>
      <c r="O75" s="44" t="n">
        <f aca="false">E75*(1-'Programme cost'!$I$10)*'Programme cost'!$J$10/1000000</f>
        <v>0.000206221000171851</v>
      </c>
      <c r="P75" s="44" t="n">
        <f aca="false">H75</f>
        <v>0.12150072</v>
      </c>
      <c r="Q75" s="44" t="n">
        <f aca="false">I75</f>
        <v>0.12150072</v>
      </c>
      <c r="R75" s="44" t="n">
        <f aca="false">H75</f>
        <v>0.12150072</v>
      </c>
      <c r="S75" s="44" t="n">
        <f aca="false">IF('Programme cost'!$F$37="in-house",H75,IF('Programme cost'!$F$37="integrator",I75,J75+K75))</f>
        <v>0.118055732770167</v>
      </c>
      <c r="T75" s="0" t="s">
        <v>3913</v>
      </c>
    </row>
    <row r="76" customFormat="false" ht="15" hidden="false" customHeight="false" outlineLevel="0" collapsed="false">
      <c r="A76" s="0" t="s">
        <v>3811</v>
      </c>
      <c r="B76" s="0" t="n">
        <v>1</v>
      </c>
      <c r="C76" s="0" t="s">
        <v>3771</v>
      </c>
      <c r="D76" s="0" t="n">
        <v>0.5</v>
      </c>
      <c r="E76" s="0" t="n">
        <f aca="false">D76*x21_phase_months</f>
        <v>3</v>
      </c>
      <c r="F76" s="0" t="s">
        <v>3836</v>
      </c>
      <c r="G76" s="0" t="s">
        <v>3837</v>
      </c>
      <c r="H76" s="44" t="n">
        <f aca="false">E76*'Programme cost'!$C$7/1000000</f>
        <v>0.03037518</v>
      </c>
      <c r="I76" s="44" t="n">
        <f aca="false">E76*'Programme cost'!$F$7/1000000</f>
        <v>0.115719391284298</v>
      </c>
      <c r="J76" s="44" t="n">
        <f aca="false">E76*(1-'Programme cost'!$G$7)*'Programme cost'!$C$7/1000000</f>
        <v>0.0294639246</v>
      </c>
      <c r="K76" s="44" t="n">
        <f aca="false">E76*(1-'Programme cost'!$G$7)*'Programme cost'!$J$7/1000000</f>
        <v>5.00085925416738E-005</v>
      </c>
      <c r="L76" s="44" t="n">
        <f aca="false">E76*(1-'Programme cost'!$H$7)*'Programme cost'!$C$7/1000000</f>
        <v>0.0294639246</v>
      </c>
      <c r="M76" s="44" t="n">
        <f aca="false">E76*(1-'Programme cost'!$H$7)*'Programme cost'!$J$7/1000000</f>
        <v>5.00085925416738E-005</v>
      </c>
      <c r="N76" s="44" t="n">
        <f aca="false">E76*(1-'Programme cost'!$I$7)*'Programme cost'!$C$7/1000000</f>
        <v>0.03037518</v>
      </c>
      <c r="O76" s="44" t="n">
        <f aca="false">E76*(1-'Programme cost'!$I$7)*'Programme cost'!$J$7/1000000</f>
        <v>5.15552500429627E-005</v>
      </c>
      <c r="P76" s="44" t="n">
        <f aca="false">E76*consip_svi_eur_team_day*x25_days_per_fte_year/12/1000000</f>
        <v>0.009075</v>
      </c>
      <c r="Q76" s="44" t="n">
        <f aca="false">I76</f>
        <v>0.115719391284298</v>
      </c>
      <c r="R76" s="44" t="n">
        <f aca="false">H76</f>
        <v>0.03037518</v>
      </c>
      <c r="S76" s="44" t="n">
        <f aca="false">IF('Programme cost'!$F$37="in-house",H76,IF('Programme cost'!$F$37="integrator",I76,J76+K76))</f>
        <v>0.0295139331925417</v>
      </c>
      <c r="T76" s="0" t="s">
        <v>3914</v>
      </c>
    </row>
    <row r="77" customFormat="false" ht="15" hidden="false" customHeight="false" outlineLevel="0" collapsed="false">
      <c r="A77" s="0" t="s">
        <v>3811</v>
      </c>
      <c r="B77" s="0" t="n">
        <v>2</v>
      </c>
      <c r="C77" s="0" t="s">
        <v>3775</v>
      </c>
      <c r="D77" s="0" t="n">
        <v>1.5</v>
      </c>
      <c r="E77" s="0" t="n">
        <f aca="false">D77*x21_phase_months</f>
        <v>9</v>
      </c>
      <c r="F77" s="0" t="s">
        <v>3836</v>
      </c>
      <c r="G77" s="0" t="s">
        <v>3863</v>
      </c>
      <c r="H77" s="44" t="n">
        <f aca="false">E77*'Programme cost'!$C$10/1000000</f>
        <v>0.09112554</v>
      </c>
      <c r="I77" s="44" t="n">
        <f aca="false">H77</f>
        <v>0.09112554</v>
      </c>
      <c r="J77" s="44" t="n">
        <f aca="false">E77*(1-'Programme cost'!$G$10)*'Programme cost'!$C$10/1000000</f>
        <v>0.0883917738</v>
      </c>
      <c r="K77" s="44" t="n">
        <f aca="false">E77*(1-'Programme cost'!$G$10)*'Programme cost'!$J$10/1000000</f>
        <v>0.000150025777625022</v>
      </c>
      <c r="L77" s="44" t="n">
        <f aca="false">E77*(1-'Programme cost'!$H$10)*'Programme cost'!$C$10/1000000</f>
        <v>0.0883917738</v>
      </c>
      <c r="M77" s="44" t="n">
        <f aca="false">E77*(1-'Programme cost'!$H$10)*'Programme cost'!$J$10/1000000</f>
        <v>0.000150025777625022</v>
      </c>
      <c r="N77" s="44" t="n">
        <f aca="false">E77*(1-'Programme cost'!$I$10)*'Programme cost'!$C$10/1000000</f>
        <v>0.09112554</v>
      </c>
      <c r="O77" s="44" t="n">
        <f aca="false">E77*(1-'Programme cost'!$I$10)*'Programme cost'!$J$10/1000000</f>
        <v>0.000154665750128888</v>
      </c>
      <c r="P77" s="44" t="n">
        <f aca="false">H77</f>
        <v>0.09112554</v>
      </c>
      <c r="Q77" s="44" t="n">
        <f aca="false">I77</f>
        <v>0.09112554</v>
      </c>
      <c r="R77" s="44" t="n">
        <f aca="false">H77</f>
        <v>0.09112554</v>
      </c>
      <c r="S77" s="44" t="n">
        <f aca="false">IF('Programme cost'!$F$37="in-house",H77,IF('Programme cost'!$F$37="integrator",I77,J77+K77))</f>
        <v>0.088541799577625</v>
      </c>
      <c r="T77" s="0" t="s">
        <v>3915</v>
      </c>
    </row>
    <row r="78" customFormat="false" ht="15" hidden="false" customHeight="false" outlineLevel="0" collapsed="false">
      <c r="A78" s="0" t="s">
        <v>3811</v>
      </c>
      <c r="B78" s="0" t="n">
        <v>3</v>
      </c>
      <c r="C78" s="0" t="s">
        <v>3775</v>
      </c>
      <c r="D78" s="0" t="n">
        <v>1.5</v>
      </c>
      <c r="E78" s="0" t="n">
        <f aca="false">D78*x21_phase_months</f>
        <v>9</v>
      </c>
      <c r="F78" s="0" t="s">
        <v>3836</v>
      </c>
      <c r="G78" s="0" t="s">
        <v>3863</v>
      </c>
      <c r="H78" s="44" t="n">
        <f aca="false">E78*'Programme cost'!$C$10/1000000</f>
        <v>0.09112554</v>
      </c>
      <c r="I78" s="44" t="n">
        <f aca="false">H78</f>
        <v>0.09112554</v>
      </c>
      <c r="J78" s="44" t="n">
        <f aca="false">E78*(1-'Programme cost'!$G$10)*'Programme cost'!$C$10/1000000</f>
        <v>0.0883917738</v>
      </c>
      <c r="K78" s="44" t="n">
        <f aca="false">E78*(1-'Programme cost'!$G$10)*'Programme cost'!$J$10/1000000</f>
        <v>0.000150025777625022</v>
      </c>
      <c r="L78" s="44" t="n">
        <f aca="false">E78*(1-'Programme cost'!$H$10)*'Programme cost'!$C$10/1000000</f>
        <v>0.0883917738</v>
      </c>
      <c r="M78" s="44" t="n">
        <f aca="false">E78*(1-'Programme cost'!$H$10)*'Programme cost'!$J$10/1000000</f>
        <v>0.000150025777625022</v>
      </c>
      <c r="N78" s="44" t="n">
        <f aca="false">E78*(1-'Programme cost'!$I$10)*'Programme cost'!$C$10/1000000</f>
        <v>0.09112554</v>
      </c>
      <c r="O78" s="44" t="n">
        <f aca="false">E78*(1-'Programme cost'!$I$10)*'Programme cost'!$J$10/1000000</f>
        <v>0.000154665750128888</v>
      </c>
      <c r="P78" s="44" t="n">
        <f aca="false">H78</f>
        <v>0.09112554</v>
      </c>
      <c r="Q78" s="44" t="n">
        <f aca="false">I78</f>
        <v>0.09112554</v>
      </c>
      <c r="R78" s="44" t="n">
        <f aca="false">H78</f>
        <v>0.09112554</v>
      </c>
      <c r="S78" s="44" t="n">
        <f aca="false">IF('Programme cost'!$F$37="in-house",H78,IF('Programme cost'!$F$37="integrator",I78,J78+K78))</f>
        <v>0.088541799577625</v>
      </c>
      <c r="T78" s="0" t="s">
        <v>3916</v>
      </c>
    </row>
    <row r="79" customFormat="false" ht="15" hidden="false" customHeight="false" outlineLevel="0" collapsed="false">
      <c r="A79" s="0" t="s">
        <v>3811</v>
      </c>
      <c r="B79" s="0" t="n">
        <v>4</v>
      </c>
      <c r="C79" s="0" t="s">
        <v>3775</v>
      </c>
      <c r="D79" s="0" t="n">
        <v>0.5</v>
      </c>
      <c r="E79" s="0" t="n">
        <f aca="false">D79*x21_phase_months</f>
        <v>3</v>
      </c>
      <c r="F79" s="0" t="s">
        <v>3836</v>
      </c>
      <c r="G79" s="0" t="s">
        <v>3863</v>
      </c>
      <c r="H79" s="44" t="n">
        <f aca="false">E79*'Programme cost'!$C$10/1000000</f>
        <v>0.03037518</v>
      </c>
      <c r="I79" s="44" t="n">
        <f aca="false">H79</f>
        <v>0.03037518</v>
      </c>
      <c r="J79" s="44" t="n">
        <f aca="false">E79*(1-'Programme cost'!$G$10)*'Programme cost'!$C$10/1000000</f>
        <v>0.0294639246</v>
      </c>
      <c r="K79" s="44" t="n">
        <f aca="false">E79*(1-'Programme cost'!$G$10)*'Programme cost'!$J$10/1000000</f>
        <v>5.00085925416738E-005</v>
      </c>
      <c r="L79" s="44" t="n">
        <f aca="false">E79*(1-'Programme cost'!$H$10)*'Programme cost'!$C$10/1000000</f>
        <v>0.0294639246</v>
      </c>
      <c r="M79" s="44" t="n">
        <f aca="false">E79*(1-'Programme cost'!$H$10)*'Programme cost'!$J$10/1000000</f>
        <v>5.00085925416738E-005</v>
      </c>
      <c r="N79" s="44" t="n">
        <f aca="false">E79*(1-'Programme cost'!$I$10)*'Programme cost'!$C$10/1000000</f>
        <v>0.03037518</v>
      </c>
      <c r="O79" s="44" t="n">
        <f aca="false">E79*(1-'Programme cost'!$I$10)*'Programme cost'!$J$10/1000000</f>
        <v>5.15552500429627E-005</v>
      </c>
      <c r="P79" s="44" t="n">
        <f aca="false">H79</f>
        <v>0.03037518</v>
      </c>
      <c r="Q79" s="44" t="n">
        <f aca="false">I79</f>
        <v>0.03037518</v>
      </c>
      <c r="R79" s="44" t="n">
        <f aca="false">H79</f>
        <v>0.03037518</v>
      </c>
      <c r="S79" s="44" t="n">
        <f aca="false">IF('Programme cost'!$F$37="in-house",H79,IF('Programme cost'!$F$37="integrator",I79,J79+K79))</f>
        <v>0.0295139331925417</v>
      </c>
      <c r="T79" s="0" t="s">
        <v>3917</v>
      </c>
    </row>
    <row r="80" customFormat="false" ht="15" hidden="false" customHeight="false" outlineLevel="0" collapsed="false">
      <c r="A80" s="0" t="s">
        <v>3812</v>
      </c>
      <c r="B80" s="0" t="n">
        <v>1</v>
      </c>
      <c r="C80" s="0" t="s">
        <v>3776</v>
      </c>
      <c r="D80" s="0" t="n">
        <v>1</v>
      </c>
      <c r="E80" s="0" t="n">
        <f aca="false">D80*x21_phase_months</f>
        <v>6</v>
      </c>
      <c r="F80" s="0" t="s">
        <v>3836</v>
      </c>
      <c r="G80" s="0" t="s">
        <v>3837</v>
      </c>
      <c r="H80" s="44" t="n">
        <f aca="false">E80*'Programme cost'!$C$11/1000000</f>
        <v>0.06075036</v>
      </c>
      <c r="I80" s="44" t="n">
        <f aca="false">E80*'Programme cost'!$F$11/1000000</f>
        <v>0.209246022596265</v>
      </c>
      <c r="J80" s="44" t="n">
        <f aca="false">E80*(1-'Programme cost'!$G$11)*'Programme cost'!$C$11/1000000</f>
        <v>0.0589278492</v>
      </c>
      <c r="K80" s="44" t="n">
        <f aca="false">E80*(1-'Programme cost'!$G$11)*'Programme cost'!$J$11/1000000</f>
        <v>0.000100017185083348</v>
      </c>
      <c r="L80" s="44" t="n">
        <f aca="false">E80*(1-'Programme cost'!$H$11)*'Programme cost'!$C$11/1000000</f>
        <v>0.0589278492</v>
      </c>
      <c r="M80" s="44" t="n">
        <f aca="false">E80*(1-'Programme cost'!$H$11)*'Programme cost'!$J$11/1000000</f>
        <v>0.000100017185083348</v>
      </c>
      <c r="N80" s="44" t="n">
        <f aca="false">E80*(1-'Programme cost'!$I$11)*'Programme cost'!$C$11/1000000</f>
        <v>0.06075036</v>
      </c>
      <c r="O80" s="44" t="n">
        <f aca="false">E80*(1-'Programme cost'!$I$11)*'Programme cost'!$J$11/1000000</f>
        <v>0.000103110500085925</v>
      </c>
      <c r="P80" s="44" t="n">
        <f aca="false">E80*consip_svi_eur_team_day*x25_days_per_fte_year/12/1000000</f>
        <v>0.01815</v>
      </c>
      <c r="Q80" s="44" t="n">
        <f aca="false">I80</f>
        <v>0.209246022596265</v>
      </c>
      <c r="R80" s="44" t="n">
        <f aca="false">H80</f>
        <v>0.06075036</v>
      </c>
      <c r="S80" s="44" t="n">
        <f aca="false">IF('Programme cost'!$F$38="in-house",H80,IF('Programme cost'!$F$38="integrator",I80,J80+K80))</f>
        <v>0.0590278663850834</v>
      </c>
      <c r="T80" s="0" t="s">
        <v>3918</v>
      </c>
    </row>
    <row r="81" customFormat="false" ht="15" hidden="false" customHeight="false" outlineLevel="0" collapsed="false">
      <c r="A81" s="0" t="s">
        <v>3812</v>
      </c>
      <c r="B81" s="0" t="n">
        <v>2</v>
      </c>
      <c r="C81" s="0" t="s">
        <v>3776</v>
      </c>
      <c r="D81" s="0" t="n">
        <v>2</v>
      </c>
      <c r="E81" s="0" t="n">
        <f aca="false">D81*x21_phase_months</f>
        <v>12</v>
      </c>
      <c r="F81" s="0" t="s">
        <v>3836</v>
      </c>
      <c r="G81" s="0" t="s">
        <v>3837</v>
      </c>
      <c r="H81" s="44" t="n">
        <f aca="false">E81*'Programme cost'!$C$11/1000000</f>
        <v>0.12150072</v>
      </c>
      <c r="I81" s="44" t="n">
        <f aca="false">E81*'Programme cost'!$F$11/1000000</f>
        <v>0.418492045192529</v>
      </c>
      <c r="J81" s="44" t="n">
        <f aca="false">E81*(1-'Programme cost'!$G$11)*'Programme cost'!$C$11/1000000</f>
        <v>0.1178556984</v>
      </c>
      <c r="K81" s="44" t="n">
        <f aca="false">E81*(1-'Programme cost'!$G$11)*'Programme cost'!$J$11/1000000</f>
        <v>0.000200034370166695</v>
      </c>
      <c r="L81" s="44" t="n">
        <f aca="false">E81*(1-'Programme cost'!$H$11)*'Programme cost'!$C$11/1000000</f>
        <v>0.1178556984</v>
      </c>
      <c r="M81" s="44" t="n">
        <f aca="false">E81*(1-'Programme cost'!$H$11)*'Programme cost'!$J$11/1000000</f>
        <v>0.000200034370166695</v>
      </c>
      <c r="N81" s="44" t="n">
        <f aca="false">E81*(1-'Programme cost'!$I$11)*'Programme cost'!$C$11/1000000</f>
        <v>0.12150072</v>
      </c>
      <c r="O81" s="44" t="n">
        <f aca="false">E81*(1-'Programme cost'!$I$11)*'Programme cost'!$J$11/1000000</f>
        <v>0.000206221000171851</v>
      </c>
      <c r="P81" s="44" t="n">
        <f aca="false">E81*consip_svi_eur_team_day*x25_days_per_fte_year/12/1000000</f>
        <v>0.0363</v>
      </c>
      <c r="Q81" s="44" t="n">
        <f aca="false">I81</f>
        <v>0.418492045192529</v>
      </c>
      <c r="R81" s="44" t="n">
        <f aca="false">H81</f>
        <v>0.12150072</v>
      </c>
      <c r="S81" s="44" t="n">
        <f aca="false">IF('Programme cost'!$F$38="in-house",H81,IF('Programme cost'!$F$38="integrator",I81,J81+K81))</f>
        <v>0.118055732770167</v>
      </c>
      <c r="T81" s="0" t="s">
        <v>3919</v>
      </c>
    </row>
    <row r="82" customFormat="false" ht="15" hidden="false" customHeight="false" outlineLevel="0" collapsed="false">
      <c r="A82" s="0" t="s">
        <v>3812</v>
      </c>
      <c r="B82" s="0" t="n">
        <v>3</v>
      </c>
      <c r="C82" s="0" t="s">
        <v>3776</v>
      </c>
      <c r="D82" s="0" t="n">
        <v>4</v>
      </c>
      <c r="E82" s="0" t="n">
        <f aca="false">D82*x21_phase_months</f>
        <v>24</v>
      </c>
      <c r="F82" s="0" t="s">
        <v>3855</v>
      </c>
      <c r="G82" s="0" t="s">
        <v>3837</v>
      </c>
      <c r="H82" s="44" t="n">
        <f aca="false">E82*'Programme cost'!$D$11/1000000</f>
        <v>0.2442696</v>
      </c>
      <c r="I82" s="44" t="n">
        <f aca="false">E82*'Programme cost'!$F$11/1000000</f>
        <v>0.836984090385059</v>
      </c>
      <c r="J82" s="44" t="n">
        <f aca="false">E82*(1-'Programme cost'!$G$11)*'Programme cost'!$D$11/1000000</f>
        <v>0.236941512</v>
      </c>
      <c r="K82" s="44" t="n">
        <f aca="false">E82*(1-'Programme cost'!$G$11)*'Programme cost'!$J$11/1000000</f>
        <v>0.000400068740333391</v>
      </c>
      <c r="L82" s="44" t="n">
        <f aca="false">E82*(1-'Programme cost'!$H$11)*'Programme cost'!$D$11/1000000</f>
        <v>0.236941512</v>
      </c>
      <c r="M82" s="44" t="n">
        <f aca="false">E82*(1-'Programme cost'!$H$11)*'Programme cost'!$J$11/1000000</f>
        <v>0.000400068740333391</v>
      </c>
      <c r="N82" s="44" t="n">
        <f aca="false">E82*(1-'Programme cost'!$I$11)*'Programme cost'!$D$11/1000000</f>
        <v>0.2442696</v>
      </c>
      <c r="O82" s="44" t="n">
        <f aca="false">E82*(1-'Programme cost'!$I$11)*'Programme cost'!$J$11/1000000</f>
        <v>0.000412442000343702</v>
      </c>
      <c r="P82" s="44" t="n">
        <f aca="false">E82*consip_svi_eur_team_day*x25_days_per_fte_year/12/1000000</f>
        <v>0.0726</v>
      </c>
      <c r="Q82" s="44" t="n">
        <f aca="false">I82</f>
        <v>0.836984090385059</v>
      </c>
      <c r="R82" s="44" t="n">
        <f aca="false">H82</f>
        <v>0.2442696</v>
      </c>
      <c r="S82" s="44" t="n">
        <f aca="false">IF('Programme cost'!$F$38="in-house",H82,IF('Programme cost'!$F$38="integrator",I82,J82+K82))</f>
        <v>0.237341580740333</v>
      </c>
      <c r="T82" s="0" t="s">
        <v>3920</v>
      </c>
    </row>
    <row r="83" customFormat="false" ht="15" hidden="false" customHeight="false" outlineLevel="0" collapsed="false">
      <c r="A83" s="0" t="s">
        <v>3812</v>
      </c>
      <c r="B83" s="0" t="n">
        <v>4</v>
      </c>
      <c r="C83" s="0" t="s">
        <v>3776</v>
      </c>
      <c r="D83" s="0" t="n">
        <v>3</v>
      </c>
      <c r="E83" s="0" t="n">
        <f aca="false">D83*x21_phase_months</f>
        <v>18</v>
      </c>
      <c r="F83" s="0" t="s">
        <v>3855</v>
      </c>
      <c r="G83" s="0" t="s">
        <v>3837</v>
      </c>
      <c r="H83" s="44" t="n">
        <f aca="false">E83*'Programme cost'!$D$11/1000000</f>
        <v>0.1832022</v>
      </c>
      <c r="I83" s="44" t="n">
        <f aca="false">E83*'Programme cost'!$F$11/1000000</f>
        <v>0.627738067788794</v>
      </c>
      <c r="J83" s="44" t="n">
        <f aca="false">E83*(1-'Programme cost'!$G$11)*'Programme cost'!$D$11/1000000</f>
        <v>0.177706134</v>
      </c>
      <c r="K83" s="44" t="n">
        <f aca="false">E83*(1-'Programme cost'!$G$11)*'Programme cost'!$J$11/1000000</f>
        <v>0.000300051555250043</v>
      </c>
      <c r="L83" s="44" t="n">
        <f aca="false">E83*(1-'Programme cost'!$H$11)*'Programme cost'!$D$11/1000000</f>
        <v>0.177706134</v>
      </c>
      <c r="M83" s="44" t="n">
        <f aca="false">E83*(1-'Programme cost'!$H$11)*'Programme cost'!$J$11/1000000</f>
        <v>0.000300051555250043</v>
      </c>
      <c r="N83" s="44" t="n">
        <f aca="false">E83*(1-'Programme cost'!$I$11)*'Programme cost'!$D$11/1000000</f>
        <v>0.1832022</v>
      </c>
      <c r="O83" s="44" t="n">
        <f aca="false">E83*(1-'Programme cost'!$I$11)*'Programme cost'!$J$11/1000000</f>
        <v>0.000309331500257776</v>
      </c>
      <c r="P83" s="44" t="n">
        <f aca="false">E83*consip_svi_eur_team_day*x25_days_per_fte_year/12/1000000</f>
        <v>0.05445</v>
      </c>
      <c r="Q83" s="44" t="n">
        <f aca="false">I83</f>
        <v>0.627738067788794</v>
      </c>
      <c r="R83" s="44" t="n">
        <f aca="false">H83</f>
        <v>0.1832022</v>
      </c>
      <c r="S83" s="44" t="n">
        <f aca="false">IF('Programme cost'!$F$38="in-house",H83,IF('Programme cost'!$F$38="integrator",I83,J83+K83))</f>
        <v>0.17800618555525</v>
      </c>
      <c r="T83" s="0" t="s">
        <v>3921</v>
      </c>
    </row>
    <row r="84" customFormat="false" ht="15" hidden="false" customHeight="false" outlineLevel="0" collapsed="false">
      <c r="A84" s="0" t="s">
        <v>3813</v>
      </c>
      <c r="B84" s="0" t="n">
        <v>1</v>
      </c>
      <c r="C84" s="0" t="s">
        <v>3778</v>
      </c>
      <c r="D84" s="0" t="n">
        <v>2</v>
      </c>
      <c r="E84" s="0" t="n">
        <f aca="false">D84*x21_phase_months</f>
        <v>12</v>
      </c>
      <c r="F84" s="0" t="s">
        <v>3836</v>
      </c>
      <c r="G84" s="0" t="s">
        <v>3837</v>
      </c>
      <c r="H84" s="44" t="n">
        <f aca="false">E84*'Programme cost'!$C$13/1000000</f>
        <v>0.2352852</v>
      </c>
      <c r="I84" s="44" t="n">
        <f aca="false">E84*'Programme cost'!$F$13/1000000</f>
        <v>0.532626239335947</v>
      </c>
      <c r="J84" s="44" t="n">
        <f aca="false">E84*(1-'Programme cost'!$G$13)*'Programme cost'!$C$13/1000000</f>
        <v>0.228226644</v>
      </c>
      <c r="K84" s="44" t="n">
        <f aca="false">E84*(1-'Programme cost'!$G$13)*'Programme cost'!$J$13/1000000</f>
        <v>0.000200034370166695</v>
      </c>
      <c r="L84" s="44" t="n">
        <f aca="false">E84*(1-'Programme cost'!$H$13)*'Programme cost'!$C$13/1000000</f>
        <v>0.228226644</v>
      </c>
      <c r="M84" s="44" t="n">
        <f aca="false">E84*(1-'Programme cost'!$H$13)*'Programme cost'!$J$13/1000000</f>
        <v>0.000200034370166695</v>
      </c>
      <c r="N84" s="44" t="n">
        <f aca="false">E84*(1-'Programme cost'!$I$13)*'Programme cost'!$C$13/1000000</f>
        <v>0.2352852</v>
      </c>
      <c r="O84" s="44" t="n">
        <f aca="false">E84*(1-'Programme cost'!$I$13)*'Programme cost'!$J$13/1000000</f>
        <v>0.000206221000171851</v>
      </c>
      <c r="P84" s="44" t="n">
        <f aca="false">E84*consip_svi_eur_team_day*x25_days_per_fte_year/12/1000000</f>
        <v>0.0363</v>
      </c>
      <c r="Q84" s="44" t="n">
        <f aca="false">I84</f>
        <v>0.532626239335947</v>
      </c>
      <c r="R84" s="44" t="n">
        <f aca="false">H84</f>
        <v>0.2352852</v>
      </c>
      <c r="S84" s="44" t="n">
        <f aca="false">IF('Programme cost'!$F$39="in-house",H84,IF('Programme cost'!$F$39="integrator",I84,J84+K84))</f>
        <v>0.228426678370167</v>
      </c>
      <c r="T84" s="0" t="s">
        <v>3922</v>
      </c>
    </row>
    <row r="85" customFormat="false" ht="15" hidden="false" customHeight="false" outlineLevel="0" collapsed="false">
      <c r="A85" s="0" t="s">
        <v>3813</v>
      </c>
      <c r="B85" s="0" t="n">
        <v>1</v>
      </c>
      <c r="C85" s="0" t="s">
        <v>3777</v>
      </c>
      <c r="D85" s="0" t="n">
        <v>1.5</v>
      </c>
      <c r="E85" s="0" t="n">
        <f aca="false">D85*x21_phase_months</f>
        <v>9</v>
      </c>
      <c r="F85" s="0" t="s">
        <v>3836</v>
      </c>
      <c r="G85" s="0" t="s">
        <v>3863</v>
      </c>
      <c r="H85" s="44" t="n">
        <f aca="false">E85*'Programme cost'!$C$12/1000000</f>
        <v>0.09112554</v>
      </c>
      <c r="I85" s="44" t="n">
        <f aca="false">H85</f>
        <v>0.09112554</v>
      </c>
      <c r="J85" s="44" t="n">
        <f aca="false">E85*(1-'Programme cost'!$G$12)*'Programme cost'!$C$12/1000000</f>
        <v>0.0883917738</v>
      </c>
      <c r="K85" s="44" t="n">
        <f aca="false">E85*(1-'Programme cost'!$G$12)*'Programme cost'!$J$12/1000000</f>
        <v>0.000150025777625022</v>
      </c>
      <c r="L85" s="44" t="n">
        <f aca="false">E85*(1-'Programme cost'!$H$12)*'Programme cost'!$C$12/1000000</f>
        <v>0.0883917738</v>
      </c>
      <c r="M85" s="44" t="n">
        <f aca="false">E85*(1-'Programme cost'!$H$12)*'Programme cost'!$J$12/1000000</f>
        <v>0.000150025777625022</v>
      </c>
      <c r="N85" s="44" t="n">
        <f aca="false">E85*(1-'Programme cost'!$I$12)*'Programme cost'!$C$12/1000000</f>
        <v>0.09112554</v>
      </c>
      <c r="O85" s="44" t="n">
        <f aca="false">E85*(1-'Programme cost'!$I$12)*'Programme cost'!$J$12/1000000</f>
        <v>0.000154665750128888</v>
      </c>
      <c r="P85" s="44" t="n">
        <f aca="false">H85</f>
        <v>0.09112554</v>
      </c>
      <c r="Q85" s="44" t="n">
        <f aca="false">I85</f>
        <v>0.09112554</v>
      </c>
      <c r="R85" s="44" t="n">
        <f aca="false">H85</f>
        <v>0.09112554</v>
      </c>
      <c r="S85" s="44" t="n">
        <f aca="false">IF('Programme cost'!$F$39="in-house",H85,IF('Programme cost'!$F$39="integrator",I85,J85+K85))</f>
        <v>0.088541799577625</v>
      </c>
      <c r="T85" s="0" t="s">
        <v>3923</v>
      </c>
    </row>
    <row r="86" customFormat="false" ht="15" hidden="false" customHeight="false" outlineLevel="0" collapsed="false">
      <c r="A86" s="0" t="s">
        <v>3813</v>
      </c>
      <c r="B86" s="0" t="n">
        <v>2</v>
      </c>
      <c r="C86" s="0" t="s">
        <v>3778</v>
      </c>
      <c r="D86" s="0" t="n">
        <v>2</v>
      </c>
      <c r="E86" s="0" t="n">
        <f aca="false">D86*x21_phase_months</f>
        <v>12</v>
      </c>
      <c r="F86" s="0" t="s">
        <v>3836</v>
      </c>
      <c r="G86" s="0" t="s">
        <v>3837</v>
      </c>
      <c r="H86" s="44" t="n">
        <f aca="false">E86*'Programme cost'!$C$13/1000000</f>
        <v>0.2352852</v>
      </c>
      <c r="I86" s="44" t="n">
        <f aca="false">E86*'Programme cost'!$F$13/1000000</f>
        <v>0.532626239335947</v>
      </c>
      <c r="J86" s="44" t="n">
        <f aca="false">E86*(1-'Programme cost'!$G$13)*'Programme cost'!$C$13/1000000</f>
        <v>0.228226644</v>
      </c>
      <c r="K86" s="44" t="n">
        <f aca="false">E86*(1-'Programme cost'!$G$13)*'Programme cost'!$J$13/1000000</f>
        <v>0.000200034370166695</v>
      </c>
      <c r="L86" s="44" t="n">
        <f aca="false">E86*(1-'Programme cost'!$H$13)*'Programme cost'!$C$13/1000000</f>
        <v>0.228226644</v>
      </c>
      <c r="M86" s="44" t="n">
        <f aca="false">E86*(1-'Programme cost'!$H$13)*'Programme cost'!$J$13/1000000</f>
        <v>0.000200034370166695</v>
      </c>
      <c r="N86" s="44" t="n">
        <f aca="false">E86*(1-'Programme cost'!$I$13)*'Programme cost'!$C$13/1000000</f>
        <v>0.2352852</v>
      </c>
      <c r="O86" s="44" t="n">
        <f aca="false">E86*(1-'Programme cost'!$I$13)*'Programme cost'!$J$13/1000000</f>
        <v>0.000206221000171851</v>
      </c>
      <c r="P86" s="44" t="n">
        <f aca="false">E86*consip_svi_eur_team_day*x25_days_per_fte_year/12/1000000</f>
        <v>0.0363</v>
      </c>
      <c r="Q86" s="44" t="n">
        <f aca="false">I86</f>
        <v>0.532626239335947</v>
      </c>
      <c r="R86" s="44" t="n">
        <f aca="false">H86</f>
        <v>0.2352852</v>
      </c>
      <c r="S86" s="44" t="n">
        <f aca="false">IF('Programme cost'!$F$39="in-house",H86,IF('Programme cost'!$F$39="integrator",I86,J86+K86))</f>
        <v>0.228426678370167</v>
      </c>
      <c r="T86" s="0" t="s">
        <v>3922</v>
      </c>
    </row>
    <row r="87" customFormat="false" ht="15" hidden="false" customHeight="false" outlineLevel="0" collapsed="false">
      <c r="A87" s="0" t="s">
        <v>3813</v>
      </c>
      <c r="B87" s="0" t="n">
        <v>2</v>
      </c>
      <c r="C87" s="0" t="s">
        <v>3777</v>
      </c>
      <c r="D87" s="0" t="n">
        <v>1.5</v>
      </c>
      <c r="E87" s="0" t="n">
        <f aca="false">D87*x21_phase_months</f>
        <v>9</v>
      </c>
      <c r="F87" s="0" t="s">
        <v>3836</v>
      </c>
      <c r="G87" s="0" t="s">
        <v>3863</v>
      </c>
      <c r="H87" s="44" t="n">
        <f aca="false">E87*'Programme cost'!$C$12/1000000</f>
        <v>0.09112554</v>
      </c>
      <c r="I87" s="44" t="n">
        <f aca="false">H87</f>
        <v>0.09112554</v>
      </c>
      <c r="J87" s="44" t="n">
        <f aca="false">E87*(1-'Programme cost'!$G$12)*'Programme cost'!$C$12/1000000</f>
        <v>0.0883917738</v>
      </c>
      <c r="K87" s="44" t="n">
        <f aca="false">E87*(1-'Programme cost'!$G$12)*'Programme cost'!$J$12/1000000</f>
        <v>0.000150025777625022</v>
      </c>
      <c r="L87" s="44" t="n">
        <f aca="false">E87*(1-'Programme cost'!$H$12)*'Programme cost'!$C$12/1000000</f>
        <v>0.0883917738</v>
      </c>
      <c r="M87" s="44" t="n">
        <f aca="false">E87*(1-'Programme cost'!$H$12)*'Programme cost'!$J$12/1000000</f>
        <v>0.000150025777625022</v>
      </c>
      <c r="N87" s="44" t="n">
        <f aca="false">E87*(1-'Programme cost'!$I$12)*'Programme cost'!$C$12/1000000</f>
        <v>0.09112554</v>
      </c>
      <c r="O87" s="44" t="n">
        <f aca="false">E87*(1-'Programme cost'!$I$12)*'Programme cost'!$J$12/1000000</f>
        <v>0.000154665750128888</v>
      </c>
      <c r="P87" s="44" t="n">
        <f aca="false">H87</f>
        <v>0.09112554</v>
      </c>
      <c r="Q87" s="44" t="n">
        <f aca="false">I87</f>
        <v>0.09112554</v>
      </c>
      <c r="R87" s="44" t="n">
        <f aca="false">H87</f>
        <v>0.09112554</v>
      </c>
      <c r="S87" s="44" t="n">
        <f aca="false">IF('Programme cost'!$F$39="in-house",H87,IF('Programme cost'!$F$39="integrator",I87,J87+K87))</f>
        <v>0.088541799577625</v>
      </c>
      <c r="T87" s="0" t="s">
        <v>3924</v>
      </c>
    </row>
    <row r="88" customFormat="false" ht="15" hidden="false" customHeight="false" outlineLevel="0" collapsed="false">
      <c r="A88" s="0" t="s">
        <v>3813</v>
      </c>
      <c r="B88" s="0" t="n">
        <v>3</v>
      </c>
      <c r="C88" s="0" t="s">
        <v>3778</v>
      </c>
      <c r="D88" s="0" t="n">
        <v>2.5</v>
      </c>
      <c r="E88" s="0" t="n">
        <f aca="false">D88*x21_phase_months</f>
        <v>15</v>
      </c>
      <c r="F88" s="0" t="s">
        <v>3836</v>
      </c>
      <c r="G88" s="0" t="s">
        <v>3837</v>
      </c>
      <c r="H88" s="44" t="n">
        <f aca="false">E88*'Programme cost'!$C$13/1000000</f>
        <v>0.2941065</v>
      </c>
      <c r="I88" s="44" t="n">
        <f aca="false">E88*'Programme cost'!$F$13/1000000</f>
        <v>0.665782799169933</v>
      </c>
      <c r="J88" s="44" t="n">
        <f aca="false">E88*(1-'Programme cost'!$G$13)*'Programme cost'!$C$13/1000000</f>
        <v>0.285283305</v>
      </c>
      <c r="K88" s="44" t="n">
        <f aca="false">E88*(1-'Programme cost'!$G$13)*'Programme cost'!$J$13/1000000</f>
        <v>0.000250042962708369</v>
      </c>
      <c r="L88" s="44" t="n">
        <f aca="false">E88*(1-'Programme cost'!$H$13)*'Programme cost'!$C$13/1000000</f>
        <v>0.285283305</v>
      </c>
      <c r="M88" s="44" t="n">
        <f aca="false">E88*(1-'Programme cost'!$H$13)*'Programme cost'!$J$13/1000000</f>
        <v>0.000250042962708369</v>
      </c>
      <c r="N88" s="44" t="n">
        <f aca="false">E88*(1-'Programme cost'!$I$13)*'Programme cost'!$C$13/1000000</f>
        <v>0.2941065</v>
      </c>
      <c r="O88" s="44" t="n">
        <f aca="false">E88*(1-'Programme cost'!$I$13)*'Programme cost'!$J$13/1000000</f>
        <v>0.000257776250214814</v>
      </c>
      <c r="P88" s="44" t="n">
        <f aca="false">E88*consip_svi_eur_team_day*x25_days_per_fte_year/12/1000000</f>
        <v>0.045375</v>
      </c>
      <c r="Q88" s="44" t="n">
        <f aca="false">I88</f>
        <v>0.665782799169933</v>
      </c>
      <c r="R88" s="44" t="n">
        <f aca="false">H88</f>
        <v>0.2941065</v>
      </c>
      <c r="S88" s="44" t="n">
        <f aca="false">IF('Programme cost'!$F$39="in-house",H88,IF('Programme cost'!$F$39="integrator",I88,J88+K88))</f>
        <v>0.285533347962708</v>
      </c>
      <c r="T88" s="0" t="s">
        <v>3925</v>
      </c>
    </row>
    <row r="89" customFormat="false" ht="15" hidden="false" customHeight="false" outlineLevel="0" collapsed="false">
      <c r="A89" s="0" t="s">
        <v>3813</v>
      </c>
      <c r="B89" s="0" t="n">
        <v>3</v>
      </c>
      <c r="C89" s="0" t="s">
        <v>3777</v>
      </c>
      <c r="D89" s="0" t="n">
        <v>1.5</v>
      </c>
      <c r="E89" s="0" t="n">
        <f aca="false">D89*x21_phase_months</f>
        <v>9</v>
      </c>
      <c r="F89" s="0" t="s">
        <v>3836</v>
      </c>
      <c r="G89" s="0" t="s">
        <v>3863</v>
      </c>
      <c r="H89" s="44" t="n">
        <f aca="false">E89*'Programme cost'!$C$12/1000000</f>
        <v>0.09112554</v>
      </c>
      <c r="I89" s="44" t="n">
        <f aca="false">H89</f>
        <v>0.09112554</v>
      </c>
      <c r="J89" s="44" t="n">
        <f aca="false">E89*(1-'Programme cost'!$G$12)*'Programme cost'!$C$12/1000000</f>
        <v>0.0883917738</v>
      </c>
      <c r="K89" s="44" t="n">
        <f aca="false">E89*(1-'Programme cost'!$G$12)*'Programme cost'!$J$12/1000000</f>
        <v>0.000150025777625022</v>
      </c>
      <c r="L89" s="44" t="n">
        <f aca="false">E89*(1-'Programme cost'!$H$12)*'Programme cost'!$C$12/1000000</f>
        <v>0.0883917738</v>
      </c>
      <c r="M89" s="44" t="n">
        <f aca="false">E89*(1-'Programme cost'!$H$12)*'Programme cost'!$J$12/1000000</f>
        <v>0.000150025777625022</v>
      </c>
      <c r="N89" s="44" t="n">
        <f aca="false">E89*(1-'Programme cost'!$I$12)*'Programme cost'!$C$12/1000000</f>
        <v>0.09112554</v>
      </c>
      <c r="O89" s="44" t="n">
        <f aca="false">E89*(1-'Programme cost'!$I$12)*'Programme cost'!$J$12/1000000</f>
        <v>0.000154665750128888</v>
      </c>
      <c r="P89" s="44" t="n">
        <f aca="false">H89</f>
        <v>0.09112554</v>
      </c>
      <c r="Q89" s="44" t="n">
        <f aca="false">I89</f>
        <v>0.09112554</v>
      </c>
      <c r="R89" s="44" t="n">
        <f aca="false">H89</f>
        <v>0.09112554</v>
      </c>
      <c r="S89" s="44" t="n">
        <f aca="false">IF('Programme cost'!$F$39="in-house",H89,IF('Programme cost'!$F$39="integrator",I89,J89+K89))</f>
        <v>0.088541799577625</v>
      </c>
      <c r="T89" s="0" t="s">
        <v>3926</v>
      </c>
    </row>
    <row r="90" customFormat="false" ht="15" hidden="false" customHeight="false" outlineLevel="0" collapsed="false">
      <c r="A90" s="0" t="s">
        <v>3813</v>
      </c>
      <c r="B90" s="0" t="n">
        <v>4</v>
      </c>
      <c r="C90" s="0" t="s">
        <v>3778</v>
      </c>
      <c r="D90" s="0" t="n">
        <v>2</v>
      </c>
      <c r="E90" s="0" t="n">
        <f aca="false">D90*x21_phase_months</f>
        <v>12</v>
      </c>
      <c r="F90" s="0" t="s">
        <v>3836</v>
      </c>
      <c r="G90" s="0" t="s">
        <v>3837</v>
      </c>
      <c r="H90" s="44" t="n">
        <f aca="false">E90*'Programme cost'!$C$13/1000000</f>
        <v>0.2352852</v>
      </c>
      <c r="I90" s="44" t="n">
        <f aca="false">E90*'Programme cost'!$F$13/1000000</f>
        <v>0.532626239335947</v>
      </c>
      <c r="J90" s="44" t="n">
        <f aca="false">E90*(1-'Programme cost'!$G$13)*'Programme cost'!$C$13/1000000</f>
        <v>0.228226644</v>
      </c>
      <c r="K90" s="44" t="n">
        <f aca="false">E90*(1-'Programme cost'!$G$13)*'Programme cost'!$J$13/1000000</f>
        <v>0.000200034370166695</v>
      </c>
      <c r="L90" s="44" t="n">
        <f aca="false">E90*(1-'Programme cost'!$H$13)*'Programme cost'!$C$13/1000000</f>
        <v>0.228226644</v>
      </c>
      <c r="M90" s="44" t="n">
        <f aca="false">E90*(1-'Programme cost'!$H$13)*'Programme cost'!$J$13/1000000</f>
        <v>0.000200034370166695</v>
      </c>
      <c r="N90" s="44" t="n">
        <f aca="false">E90*(1-'Programme cost'!$I$13)*'Programme cost'!$C$13/1000000</f>
        <v>0.2352852</v>
      </c>
      <c r="O90" s="44" t="n">
        <f aca="false">E90*(1-'Programme cost'!$I$13)*'Programme cost'!$J$13/1000000</f>
        <v>0.000206221000171851</v>
      </c>
      <c r="P90" s="44" t="n">
        <f aca="false">E90*consip_svi_eur_team_day*x25_days_per_fte_year/12/1000000</f>
        <v>0.0363</v>
      </c>
      <c r="Q90" s="44" t="n">
        <f aca="false">I90</f>
        <v>0.532626239335947</v>
      </c>
      <c r="R90" s="44" t="n">
        <f aca="false">H90</f>
        <v>0.2352852</v>
      </c>
      <c r="S90" s="44" t="n">
        <f aca="false">IF('Programme cost'!$F$39="in-house",H90,IF('Programme cost'!$F$39="integrator",I90,J90+K90))</f>
        <v>0.228426678370167</v>
      </c>
      <c r="T90" s="0" t="s">
        <v>3927</v>
      </c>
    </row>
    <row r="91" customFormat="false" ht="15" hidden="false" customHeight="false" outlineLevel="0" collapsed="false">
      <c r="A91" s="0" t="s">
        <v>3813</v>
      </c>
      <c r="B91" s="0" t="n">
        <v>4</v>
      </c>
      <c r="C91" s="0" t="s">
        <v>3777</v>
      </c>
      <c r="D91" s="0" t="n">
        <v>1</v>
      </c>
      <c r="E91" s="0" t="n">
        <f aca="false">D91*x21_phase_months</f>
        <v>6</v>
      </c>
      <c r="F91" s="0" t="s">
        <v>3836</v>
      </c>
      <c r="G91" s="0" t="s">
        <v>3863</v>
      </c>
      <c r="H91" s="44" t="n">
        <f aca="false">E91*'Programme cost'!$C$12/1000000</f>
        <v>0.06075036</v>
      </c>
      <c r="I91" s="44" t="n">
        <f aca="false">H91</f>
        <v>0.06075036</v>
      </c>
      <c r="J91" s="44" t="n">
        <f aca="false">E91*(1-'Programme cost'!$G$12)*'Programme cost'!$C$12/1000000</f>
        <v>0.0589278492</v>
      </c>
      <c r="K91" s="44" t="n">
        <f aca="false">E91*(1-'Programme cost'!$G$12)*'Programme cost'!$J$12/1000000</f>
        <v>0.000100017185083348</v>
      </c>
      <c r="L91" s="44" t="n">
        <f aca="false">E91*(1-'Programme cost'!$H$12)*'Programme cost'!$C$12/1000000</f>
        <v>0.0589278492</v>
      </c>
      <c r="M91" s="44" t="n">
        <f aca="false">E91*(1-'Programme cost'!$H$12)*'Programme cost'!$J$12/1000000</f>
        <v>0.000100017185083348</v>
      </c>
      <c r="N91" s="44" t="n">
        <f aca="false">E91*(1-'Programme cost'!$I$12)*'Programme cost'!$C$12/1000000</f>
        <v>0.06075036</v>
      </c>
      <c r="O91" s="44" t="n">
        <f aca="false">E91*(1-'Programme cost'!$I$12)*'Programme cost'!$J$12/1000000</f>
        <v>0.000103110500085925</v>
      </c>
      <c r="P91" s="44" t="n">
        <f aca="false">H91</f>
        <v>0.06075036</v>
      </c>
      <c r="Q91" s="44" t="n">
        <f aca="false">I91</f>
        <v>0.06075036</v>
      </c>
      <c r="R91" s="44" t="n">
        <f aca="false">H91</f>
        <v>0.06075036</v>
      </c>
      <c r="S91" s="44" t="n">
        <f aca="false">IF('Programme cost'!$F$39="in-house",H91,IF('Programme cost'!$F$39="integrator",I91,J91+K91))</f>
        <v>0.0590278663850834</v>
      </c>
      <c r="T91" s="0" t="s">
        <v>3928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6"/>
    <col collapsed="false" customWidth="true" hidden="false" outlineLevel="0" max="3" min="3" style="0" width="12"/>
    <col collapsed="false" customWidth="true" hidden="false" outlineLevel="0" max="4" min="4" style="0" width="13"/>
    <col collapsed="false" customWidth="true" hidden="false" outlineLevel="0" max="6" min="5" style="0" width="62"/>
  </cols>
  <sheetData>
    <row r="1" customFormat="false" ht="17.35" hidden="false" customHeight="false" outlineLevel="0" collapsed="false">
      <c r="A1" s="1" t="s">
        <v>3929</v>
      </c>
    </row>
    <row r="2" customFormat="false" ht="15" hidden="false" customHeight="false" outlineLevel="0" collapsed="false">
      <c r="A2" s="14" t="s">
        <v>3930</v>
      </c>
    </row>
    <row r="4" customFormat="false" ht="15" hidden="false" customHeight="false" outlineLevel="0" collapsed="false">
      <c r="A4" s="4" t="s">
        <v>38</v>
      </c>
      <c r="B4" s="4" t="s">
        <v>3279</v>
      </c>
      <c r="C4" s="4" t="s">
        <v>29</v>
      </c>
      <c r="D4" s="4" t="s">
        <v>33</v>
      </c>
      <c r="E4" s="4" t="s">
        <v>34</v>
      </c>
      <c r="F4" s="4" t="s">
        <v>37</v>
      </c>
    </row>
    <row r="5" customFormat="false" ht="35.05" hidden="false" customHeight="false" outlineLevel="0" collapsed="false">
      <c r="A5" s="5" t="s">
        <v>52</v>
      </c>
      <c r="B5" s="6" t="s">
        <v>163</v>
      </c>
      <c r="C5" s="5" t="n">
        <v>30</v>
      </c>
      <c r="D5" s="7" t="s">
        <v>42</v>
      </c>
      <c r="E5" s="6" t="s">
        <v>3931</v>
      </c>
      <c r="F5" s="6" t="s">
        <v>167</v>
      </c>
    </row>
    <row r="6" customFormat="false" ht="35.05" hidden="false" customHeight="false" outlineLevel="0" collapsed="false">
      <c r="A6" s="5" t="s">
        <v>52</v>
      </c>
      <c r="B6" s="6" t="s">
        <v>49</v>
      </c>
      <c r="C6" s="5" t="n">
        <v>57773</v>
      </c>
      <c r="D6" s="7" t="s">
        <v>42</v>
      </c>
      <c r="E6" s="6" t="s">
        <v>3932</v>
      </c>
      <c r="F6" s="6" t="s">
        <v>51</v>
      </c>
    </row>
    <row r="7" customFormat="false" ht="35.05" hidden="false" customHeight="false" outlineLevel="0" collapsed="false">
      <c r="A7" s="5" t="s">
        <v>47</v>
      </c>
      <c r="B7" s="6" t="s">
        <v>40</v>
      </c>
      <c r="C7" s="5" t="n">
        <v>2490000</v>
      </c>
      <c r="D7" s="7" t="s">
        <v>42</v>
      </c>
      <c r="E7" s="6" t="s">
        <v>3932</v>
      </c>
      <c r="F7" s="6" t="s">
        <v>46</v>
      </c>
    </row>
    <row r="8" customFormat="false" ht="46.25" hidden="false" customHeight="false" outlineLevel="0" collapsed="false">
      <c r="A8" s="5" t="s">
        <v>52</v>
      </c>
      <c r="B8" s="6" t="s">
        <v>153</v>
      </c>
      <c r="C8" s="5"/>
      <c r="D8" s="7" t="s">
        <v>42</v>
      </c>
      <c r="E8" s="6" t="s">
        <v>3933</v>
      </c>
      <c r="F8" s="6" t="s">
        <v>155</v>
      </c>
    </row>
    <row r="9" customFormat="false" ht="57.45" hidden="false" customHeight="false" outlineLevel="0" collapsed="false">
      <c r="A9" s="5" t="s">
        <v>52</v>
      </c>
      <c r="B9" s="6" t="s">
        <v>511</v>
      </c>
      <c r="C9" s="5" t="n">
        <v>2</v>
      </c>
      <c r="D9" s="9" t="s">
        <v>365</v>
      </c>
      <c r="E9" s="6" t="s">
        <v>512</v>
      </c>
      <c r="F9" s="6" t="s">
        <v>513</v>
      </c>
    </row>
    <row r="10" customFormat="false" ht="79.85" hidden="false" customHeight="false" outlineLevel="0" collapsed="false">
      <c r="A10" s="5" t="s">
        <v>52</v>
      </c>
      <c r="B10" s="6" t="s">
        <v>515</v>
      </c>
      <c r="C10" s="5" t="n">
        <v>30</v>
      </c>
      <c r="D10" s="9" t="s">
        <v>365</v>
      </c>
      <c r="E10" s="6" t="s">
        <v>516</v>
      </c>
      <c r="F10" s="6" t="s">
        <v>518</v>
      </c>
    </row>
    <row r="11" customFormat="false" ht="79.85" hidden="false" customHeight="false" outlineLevel="0" collapsed="false">
      <c r="A11" s="5" t="s">
        <v>52</v>
      </c>
      <c r="B11" s="6" t="s">
        <v>1000</v>
      </c>
      <c r="C11" s="5" t="n">
        <v>1.15</v>
      </c>
      <c r="D11" s="8" t="s">
        <v>170</v>
      </c>
      <c r="E11" s="6" t="s">
        <v>1001</v>
      </c>
      <c r="F11" s="6" t="s">
        <v>1002</v>
      </c>
    </row>
    <row r="12" customFormat="false" ht="79.85" hidden="false" customHeight="false" outlineLevel="0" collapsed="false">
      <c r="A12" s="5" t="s">
        <v>52</v>
      </c>
      <c r="B12" s="6" t="s">
        <v>1006</v>
      </c>
      <c r="C12" s="5" t="n">
        <v>1.54</v>
      </c>
      <c r="D12" s="8" t="s">
        <v>170</v>
      </c>
      <c r="E12" s="6" t="s">
        <v>1001</v>
      </c>
      <c r="F12" s="6" t="s">
        <v>1002</v>
      </c>
    </row>
    <row r="13" customFormat="false" ht="91" hidden="false" customHeight="false" outlineLevel="0" collapsed="false">
      <c r="A13" s="5" t="s">
        <v>52</v>
      </c>
      <c r="B13" s="6" t="s">
        <v>1008</v>
      </c>
      <c r="C13" s="5" t="n">
        <v>47.73</v>
      </c>
      <c r="D13" s="8" t="s">
        <v>170</v>
      </c>
      <c r="E13" s="6" t="s">
        <v>1001</v>
      </c>
      <c r="F13" s="6" t="s">
        <v>1009</v>
      </c>
    </row>
    <row r="14" customFormat="false" ht="79.85" hidden="false" customHeight="false" outlineLevel="0" collapsed="false">
      <c r="A14" s="5" t="s">
        <v>52</v>
      </c>
      <c r="B14" s="6" t="s">
        <v>1004</v>
      </c>
      <c r="C14" s="5" t="n">
        <v>1.04</v>
      </c>
      <c r="D14" s="8" t="s">
        <v>170</v>
      </c>
      <c r="E14" s="6" t="s">
        <v>1001</v>
      </c>
      <c r="F14" s="6" t="s">
        <v>1002</v>
      </c>
    </row>
    <row r="15" customFormat="false" ht="68.65" hidden="false" customHeight="false" outlineLevel="0" collapsed="false">
      <c r="A15" s="5" t="s">
        <v>52</v>
      </c>
      <c r="B15" s="6" t="s">
        <v>370</v>
      </c>
      <c r="C15" s="5" t="n">
        <v>6.75</v>
      </c>
      <c r="D15" s="8" t="s">
        <v>170</v>
      </c>
      <c r="E15" s="6" t="s">
        <v>372</v>
      </c>
      <c r="F15" s="6" t="s">
        <v>373</v>
      </c>
    </row>
    <row r="16" customFormat="false" ht="68.65" hidden="false" customHeight="false" outlineLevel="0" collapsed="false">
      <c r="A16" s="5" t="s">
        <v>52</v>
      </c>
      <c r="B16" s="6" t="s">
        <v>378</v>
      </c>
      <c r="C16" s="5" t="n">
        <v>7.14</v>
      </c>
      <c r="D16" s="8" t="s">
        <v>170</v>
      </c>
      <c r="E16" s="6" t="s">
        <v>372</v>
      </c>
      <c r="F16" s="6" t="s">
        <v>379</v>
      </c>
    </row>
    <row r="17" customFormat="false" ht="57.45" hidden="false" customHeight="false" outlineLevel="0" collapsed="false">
      <c r="A17" s="5" t="s">
        <v>52</v>
      </c>
      <c r="B17" s="6" t="s">
        <v>375</v>
      </c>
      <c r="C17" s="5" t="n">
        <v>6.44</v>
      </c>
      <c r="D17" s="8" t="s">
        <v>170</v>
      </c>
      <c r="E17" s="6" t="s">
        <v>372</v>
      </c>
      <c r="F17" s="6" t="s">
        <v>376</v>
      </c>
    </row>
    <row r="18" customFormat="false" ht="79.85" hidden="false" customHeight="false" outlineLevel="0" collapsed="false">
      <c r="A18" s="5" t="s">
        <v>52</v>
      </c>
      <c r="B18" s="6" t="s">
        <v>1359</v>
      </c>
      <c r="C18" s="5" t="n">
        <v>0.1109</v>
      </c>
      <c r="D18" s="8" t="s">
        <v>170</v>
      </c>
      <c r="E18" s="6" t="s">
        <v>1360</v>
      </c>
      <c r="F18" s="6" t="s">
        <v>1361</v>
      </c>
    </row>
    <row r="19" customFormat="false" ht="91" hidden="false" customHeight="false" outlineLevel="0" collapsed="false">
      <c r="A19" s="5" t="s">
        <v>52</v>
      </c>
      <c r="B19" s="6" t="s">
        <v>1366</v>
      </c>
      <c r="C19" s="5" t="n">
        <v>0.2057</v>
      </c>
      <c r="D19" s="8" t="s">
        <v>170</v>
      </c>
      <c r="E19" s="6" t="s">
        <v>1360</v>
      </c>
      <c r="F19" s="6" t="s">
        <v>1367</v>
      </c>
    </row>
    <row r="20" customFormat="false" ht="91" hidden="false" customHeight="false" outlineLevel="0" collapsed="false">
      <c r="A20" s="5" t="s">
        <v>52</v>
      </c>
      <c r="B20" s="6" t="s">
        <v>1363</v>
      </c>
      <c r="C20" s="5" t="n">
        <v>0.0523</v>
      </c>
      <c r="D20" s="8" t="s">
        <v>170</v>
      </c>
      <c r="E20" s="6" t="s">
        <v>1360</v>
      </c>
      <c r="F20" s="6" t="s">
        <v>1364</v>
      </c>
    </row>
    <row r="21" customFormat="false" ht="35.05" hidden="false" customHeight="false" outlineLevel="0" collapsed="false">
      <c r="A21" s="5" t="s">
        <v>174</v>
      </c>
      <c r="B21" s="6" t="s">
        <v>169</v>
      </c>
      <c r="C21" s="5" t="n">
        <v>-9.2</v>
      </c>
      <c r="D21" s="8" t="s">
        <v>170</v>
      </c>
      <c r="E21" s="6" t="s">
        <v>171</v>
      </c>
      <c r="F21" s="6" t="s">
        <v>173</v>
      </c>
    </row>
    <row r="22" customFormat="false" ht="15" hidden="false" customHeight="false" outlineLevel="0" collapsed="false">
      <c r="A22" s="5" t="s">
        <v>191</v>
      </c>
      <c r="B22" s="6" t="s">
        <v>188</v>
      </c>
      <c r="C22" s="5" t="n">
        <v>-10.4</v>
      </c>
      <c r="D22" s="8" t="s">
        <v>170</v>
      </c>
      <c r="E22" s="6" t="s">
        <v>189</v>
      </c>
      <c r="F22" s="6" t="s">
        <v>190</v>
      </c>
    </row>
    <row r="23" customFormat="false" ht="15" hidden="false" customHeight="false" outlineLevel="0" collapsed="false">
      <c r="A23" s="5" t="s">
        <v>191</v>
      </c>
      <c r="B23" s="6" t="s">
        <v>610</v>
      </c>
      <c r="C23" s="5" t="n">
        <v>7</v>
      </c>
      <c r="D23" s="9" t="s">
        <v>365</v>
      </c>
      <c r="E23" s="6" t="s">
        <v>512</v>
      </c>
      <c r="F23" s="6" t="s">
        <v>237</v>
      </c>
    </row>
    <row r="24" customFormat="false" ht="23.85" hidden="false" customHeight="false" outlineLevel="0" collapsed="false">
      <c r="A24" s="5" t="s">
        <v>191</v>
      </c>
      <c r="B24" s="6" t="s">
        <v>605</v>
      </c>
      <c r="C24" s="5" t="n">
        <v>15</v>
      </c>
      <c r="D24" s="9" t="s">
        <v>365</v>
      </c>
      <c r="E24" s="6" t="s">
        <v>512</v>
      </c>
      <c r="F24" s="6" t="s">
        <v>606</v>
      </c>
    </row>
    <row r="25" customFormat="false" ht="15" hidden="false" customHeight="false" outlineLevel="0" collapsed="false">
      <c r="A25" s="5" t="s">
        <v>191</v>
      </c>
      <c r="B25" s="6" t="s">
        <v>608</v>
      </c>
      <c r="C25" s="5" t="n">
        <v>48</v>
      </c>
      <c r="D25" s="9" t="s">
        <v>365</v>
      </c>
      <c r="E25" s="6" t="s">
        <v>512</v>
      </c>
      <c r="F25" s="6" t="s">
        <v>237</v>
      </c>
    </row>
    <row r="26" customFormat="false" ht="23.85" hidden="false" customHeight="false" outlineLevel="0" collapsed="false">
      <c r="A26" s="5" t="s">
        <v>191</v>
      </c>
      <c r="B26" s="6" t="s">
        <v>601</v>
      </c>
      <c r="C26" s="5" t="n">
        <v>2000</v>
      </c>
      <c r="D26" s="9" t="s">
        <v>365</v>
      </c>
      <c r="E26" s="6" t="s">
        <v>512</v>
      </c>
      <c r="F26" s="6" t="s">
        <v>603</v>
      </c>
    </row>
    <row r="27" customFormat="false" ht="23.85" hidden="false" customHeight="false" outlineLevel="0" collapsed="false">
      <c r="A27" s="5" t="s">
        <v>191</v>
      </c>
      <c r="B27" s="6" t="s">
        <v>612</v>
      </c>
      <c r="C27" s="5" t="n">
        <v>10420</v>
      </c>
      <c r="D27" s="8" t="s">
        <v>170</v>
      </c>
      <c r="E27" s="6" t="s">
        <v>613</v>
      </c>
      <c r="F27" s="6" t="s">
        <v>614</v>
      </c>
    </row>
    <row r="28" customFormat="false" ht="15" hidden="false" customHeight="false" outlineLevel="0" collapsed="false">
      <c r="A28" s="5" t="s">
        <v>191</v>
      </c>
      <c r="B28" s="6" t="s">
        <v>223</v>
      </c>
      <c r="C28" s="5" t="n">
        <v>91</v>
      </c>
      <c r="D28" s="8" t="s">
        <v>170</v>
      </c>
      <c r="E28" s="6" t="s">
        <v>210</v>
      </c>
      <c r="F28" s="6" t="s">
        <v>224</v>
      </c>
    </row>
    <row r="29" customFormat="false" ht="15" hidden="false" customHeight="false" outlineLevel="0" collapsed="false">
      <c r="A29" s="5" t="s">
        <v>191</v>
      </c>
      <c r="B29" s="6" t="s">
        <v>226</v>
      </c>
      <c r="C29" s="5" t="n">
        <v>78</v>
      </c>
      <c r="D29" s="8" t="s">
        <v>170</v>
      </c>
      <c r="E29" s="6" t="s">
        <v>210</v>
      </c>
      <c r="F29" s="6" t="s">
        <v>224</v>
      </c>
    </row>
    <row r="30" customFormat="false" ht="35.05" hidden="false" customHeight="false" outlineLevel="0" collapsed="false">
      <c r="A30" s="5" t="s">
        <v>191</v>
      </c>
      <c r="B30" s="6" t="s">
        <v>209</v>
      </c>
      <c r="C30" s="5" t="n">
        <v>66</v>
      </c>
      <c r="D30" s="8" t="s">
        <v>170</v>
      </c>
      <c r="E30" s="6" t="s">
        <v>210</v>
      </c>
      <c r="F30" s="6" t="s">
        <v>211</v>
      </c>
    </row>
    <row r="31" customFormat="false" ht="15" hidden="false" customHeight="false" outlineLevel="0" collapsed="false">
      <c r="A31" s="5" t="s">
        <v>191</v>
      </c>
      <c r="B31" s="6" t="s">
        <v>228</v>
      </c>
      <c r="C31" s="5" t="n">
        <v>59</v>
      </c>
      <c r="D31" s="8" t="s">
        <v>170</v>
      </c>
      <c r="E31" s="6" t="s">
        <v>210</v>
      </c>
      <c r="F31" s="6" t="s">
        <v>224</v>
      </c>
    </row>
    <row r="32" customFormat="false" ht="15" hidden="false" customHeight="false" outlineLevel="0" collapsed="false">
      <c r="A32" s="5" t="s">
        <v>191</v>
      </c>
      <c r="B32" s="6" t="s">
        <v>230</v>
      </c>
      <c r="C32" s="5" t="n">
        <v>52</v>
      </c>
      <c r="D32" s="8" t="s">
        <v>170</v>
      </c>
      <c r="E32" s="6" t="s">
        <v>210</v>
      </c>
      <c r="F32" s="6" t="s">
        <v>224</v>
      </c>
    </row>
    <row r="33" customFormat="false" ht="113.4" hidden="false" customHeight="false" outlineLevel="0" collapsed="false">
      <c r="A33" s="5" t="s">
        <v>191</v>
      </c>
      <c r="B33" s="6" t="s">
        <v>534</v>
      </c>
      <c r="C33" s="5" t="n">
        <v>646138</v>
      </c>
      <c r="D33" s="7" t="s">
        <v>42</v>
      </c>
      <c r="E33" s="6" t="s">
        <v>3934</v>
      </c>
      <c r="F33" s="6" t="s">
        <v>537</v>
      </c>
    </row>
    <row r="34" customFormat="false" ht="23.85" hidden="false" customHeight="false" outlineLevel="0" collapsed="false">
      <c r="A34" s="5" t="s">
        <v>191</v>
      </c>
      <c r="B34" s="6" t="s">
        <v>597</v>
      </c>
      <c r="C34" s="5" t="n">
        <v>3</v>
      </c>
      <c r="D34" s="9" t="s">
        <v>365</v>
      </c>
      <c r="E34" s="6" t="s">
        <v>512</v>
      </c>
      <c r="F34" s="6" t="s">
        <v>599</v>
      </c>
    </row>
    <row r="35" customFormat="false" ht="35.05" hidden="false" customHeight="false" outlineLevel="0" collapsed="false">
      <c r="A35" s="5" t="s">
        <v>67</v>
      </c>
      <c r="B35" s="6" t="s">
        <v>2293</v>
      </c>
      <c r="C35" s="5" t="n">
        <v>31</v>
      </c>
      <c r="D35" s="7" t="s">
        <v>42</v>
      </c>
      <c r="E35" s="6" t="s">
        <v>3935</v>
      </c>
      <c r="F35" s="6" t="s">
        <v>2296</v>
      </c>
    </row>
    <row r="36" customFormat="false" ht="35.05" hidden="false" customHeight="false" outlineLevel="0" collapsed="false">
      <c r="A36" s="5" t="s">
        <v>67</v>
      </c>
      <c r="B36" s="6" t="s">
        <v>69</v>
      </c>
      <c r="C36" s="5" t="n">
        <v>5313</v>
      </c>
      <c r="D36" s="7" t="s">
        <v>42</v>
      </c>
      <c r="E36" s="6" t="s">
        <v>3936</v>
      </c>
      <c r="F36" s="6" t="s">
        <v>71</v>
      </c>
    </row>
    <row r="37" customFormat="false" ht="68.65" hidden="false" customHeight="false" outlineLevel="0" collapsed="false">
      <c r="A37" s="5" t="s">
        <v>67</v>
      </c>
      <c r="B37" s="6" t="s">
        <v>62</v>
      </c>
      <c r="C37" s="5" t="n">
        <v>7889</v>
      </c>
      <c r="D37" s="7" t="s">
        <v>42</v>
      </c>
      <c r="E37" s="6" t="s">
        <v>3937</v>
      </c>
      <c r="F37" s="6" t="s">
        <v>66</v>
      </c>
    </row>
    <row r="38" customFormat="false" ht="46.25" hidden="false" customHeight="false" outlineLevel="0" collapsed="false">
      <c r="A38" s="5" t="s">
        <v>67</v>
      </c>
      <c r="B38" s="6" t="s">
        <v>690</v>
      </c>
      <c r="C38" s="5" t="n">
        <v>2576</v>
      </c>
      <c r="D38" s="7" t="s">
        <v>42</v>
      </c>
      <c r="E38" s="6" t="s">
        <v>3937</v>
      </c>
      <c r="F38" s="6" t="s">
        <v>691</v>
      </c>
    </row>
    <row r="39" customFormat="false" ht="23.85" hidden="false" customHeight="false" outlineLevel="0" collapsed="false">
      <c r="A39" s="5" t="s">
        <v>67</v>
      </c>
      <c r="B39" s="6" t="s">
        <v>331</v>
      </c>
      <c r="C39" s="5" t="n">
        <v>11.9</v>
      </c>
      <c r="D39" s="8" t="s">
        <v>170</v>
      </c>
      <c r="E39" s="6" t="s">
        <v>328</v>
      </c>
      <c r="F39" s="6" t="s">
        <v>332</v>
      </c>
    </row>
    <row r="40" customFormat="false" ht="23.85" hidden="false" customHeight="false" outlineLevel="0" collapsed="false">
      <c r="A40" s="5" t="s">
        <v>67</v>
      </c>
      <c r="B40" s="6" t="s">
        <v>327</v>
      </c>
      <c r="C40" s="5" t="n">
        <v>41.4</v>
      </c>
      <c r="D40" s="8" t="s">
        <v>170</v>
      </c>
      <c r="E40" s="6" t="s">
        <v>328</v>
      </c>
      <c r="F40" s="6" t="s">
        <v>329</v>
      </c>
    </row>
    <row r="41" customFormat="false" ht="23.85" hidden="false" customHeight="false" outlineLevel="0" collapsed="false">
      <c r="A41" s="5" t="s">
        <v>67</v>
      </c>
      <c r="B41" s="6" t="s">
        <v>334</v>
      </c>
      <c r="C41" s="5" t="n">
        <v>10.5</v>
      </c>
      <c r="D41" s="8" t="s">
        <v>170</v>
      </c>
      <c r="E41" s="6" t="s">
        <v>328</v>
      </c>
      <c r="F41" s="6" t="s">
        <v>335</v>
      </c>
    </row>
    <row r="42" customFormat="false" ht="35.05" hidden="false" customHeight="false" outlineLevel="0" collapsed="false">
      <c r="A42" s="5" t="s">
        <v>67</v>
      </c>
      <c r="B42" s="6" t="s">
        <v>337</v>
      </c>
      <c r="C42" s="5" t="n">
        <v>96</v>
      </c>
      <c r="D42" s="8" t="s">
        <v>170</v>
      </c>
      <c r="E42" s="6" t="s">
        <v>328</v>
      </c>
      <c r="F42" s="6" t="s">
        <v>338</v>
      </c>
    </row>
    <row r="43" customFormat="false" ht="23.85" hidden="false" customHeight="false" outlineLevel="0" collapsed="false">
      <c r="A43" s="5" t="s">
        <v>67</v>
      </c>
      <c r="B43" s="6" t="s">
        <v>340</v>
      </c>
      <c r="C43" s="5" t="n">
        <v>61</v>
      </c>
      <c r="D43" s="8" t="s">
        <v>170</v>
      </c>
      <c r="E43" s="6" t="s">
        <v>328</v>
      </c>
      <c r="F43" s="6" t="s">
        <v>341</v>
      </c>
    </row>
    <row r="44" customFormat="false" ht="23.85" hidden="false" customHeight="false" outlineLevel="0" collapsed="false">
      <c r="A44" s="5" t="s">
        <v>67</v>
      </c>
      <c r="B44" s="6" t="s">
        <v>343</v>
      </c>
      <c r="C44" s="5" t="n">
        <v>91</v>
      </c>
      <c r="D44" s="8" t="s">
        <v>170</v>
      </c>
      <c r="E44" s="6" t="s">
        <v>328</v>
      </c>
      <c r="F44" s="6" t="s">
        <v>344</v>
      </c>
    </row>
    <row r="45" customFormat="false" ht="23.85" hidden="false" customHeight="false" outlineLevel="0" collapsed="false">
      <c r="A45" s="5" t="s">
        <v>67</v>
      </c>
      <c r="B45" s="6" t="s">
        <v>296</v>
      </c>
      <c r="C45" s="5" t="n">
        <v>1</v>
      </c>
      <c r="D45" s="8" t="s">
        <v>170</v>
      </c>
      <c r="E45" s="6" t="s">
        <v>297</v>
      </c>
      <c r="F45" s="6" t="s">
        <v>298</v>
      </c>
    </row>
    <row r="46" customFormat="false" ht="23.85" hidden="false" customHeight="false" outlineLevel="0" collapsed="false">
      <c r="A46" s="5" t="s">
        <v>67</v>
      </c>
      <c r="B46" s="6" t="s">
        <v>300</v>
      </c>
      <c r="C46" s="5" t="n">
        <v>5.1</v>
      </c>
      <c r="D46" s="8" t="s">
        <v>170</v>
      </c>
      <c r="E46" s="6" t="s">
        <v>297</v>
      </c>
      <c r="F46" s="6" t="s">
        <v>301</v>
      </c>
    </row>
    <row r="47" customFormat="false" ht="35.05" hidden="false" customHeight="false" outlineLevel="0" collapsed="false">
      <c r="A47" s="5" t="s">
        <v>67</v>
      </c>
      <c r="B47" s="6" t="s">
        <v>286</v>
      </c>
      <c r="C47" s="5" t="n">
        <v>2.4</v>
      </c>
      <c r="D47" s="8" t="s">
        <v>170</v>
      </c>
      <c r="E47" s="6" t="s">
        <v>280</v>
      </c>
      <c r="F47" s="6" t="s">
        <v>287</v>
      </c>
    </row>
    <row r="48" customFormat="false" ht="35.05" hidden="false" customHeight="false" outlineLevel="0" collapsed="false">
      <c r="A48" s="5" t="s">
        <v>67</v>
      </c>
      <c r="B48" s="6" t="s">
        <v>289</v>
      </c>
      <c r="C48" s="5" t="n">
        <v>12.6</v>
      </c>
      <c r="D48" s="8" t="s">
        <v>170</v>
      </c>
      <c r="E48" s="6" t="s">
        <v>280</v>
      </c>
      <c r="F48" s="6" t="s">
        <v>290</v>
      </c>
    </row>
    <row r="49" customFormat="false" ht="15" hidden="false" customHeight="false" outlineLevel="0" collapsed="false">
      <c r="A49" s="5" t="s">
        <v>67</v>
      </c>
      <c r="B49" s="6" t="s">
        <v>184</v>
      </c>
      <c r="C49" s="5" t="n">
        <v>-4.9</v>
      </c>
      <c r="D49" s="8" t="s">
        <v>170</v>
      </c>
      <c r="E49" s="6" t="s">
        <v>185</v>
      </c>
      <c r="F49" s="6" t="s">
        <v>186</v>
      </c>
    </row>
    <row r="50" customFormat="false" ht="15" hidden="false" customHeight="false" outlineLevel="0" collapsed="false">
      <c r="A50" s="5" t="s">
        <v>67</v>
      </c>
      <c r="B50" s="6" t="s">
        <v>180</v>
      </c>
      <c r="C50" s="5" t="n">
        <v>-13.3</v>
      </c>
      <c r="D50" s="8" t="s">
        <v>170</v>
      </c>
      <c r="E50" s="6" t="s">
        <v>181</v>
      </c>
      <c r="F50" s="6" t="s">
        <v>182</v>
      </c>
    </row>
    <row r="51" customFormat="false" ht="23.85" hidden="false" customHeight="false" outlineLevel="0" collapsed="false">
      <c r="A51" s="5" t="s">
        <v>67</v>
      </c>
      <c r="B51" s="6" t="s">
        <v>619</v>
      </c>
      <c r="C51" s="5" t="n">
        <v>-5</v>
      </c>
      <c r="D51" s="8" t="s">
        <v>170</v>
      </c>
      <c r="E51" s="6" t="s">
        <v>171</v>
      </c>
      <c r="F51" s="6" t="s">
        <v>237</v>
      </c>
    </row>
    <row r="52" customFormat="false" ht="35.05" hidden="false" customHeight="false" outlineLevel="0" collapsed="false">
      <c r="A52" s="5" t="s">
        <v>67</v>
      </c>
      <c r="B52" s="6" t="s">
        <v>616</v>
      </c>
      <c r="C52" s="5" t="n">
        <v>-13.1</v>
      </c>
      <c r="D52" s="8" t="s">
        <v>170</v>
      </c>
      <c r="E52" s="6" t="s">
        <v>171</v>
      </c>
      <c r="F52" s="6" t="s">
        <v>617</v>
      </c>
    </row>
    <row r="53" customFormat="false" ht="15" hidden="false" customHeight="false" outlineLevel="0" collapsed="false">
      <c r="A53" s="5" t="s">
        <v>67</v>
      </c>
      <c r="B53" s="6" t="s">
        <v>197</v>
      </c>
      <c r="C53" s="5" t="n">
        <v>-11.7</v>
      </c>
      <c r="D53" s="8" t="s">
        <v>170</v>
      </c>
      <c r="E53" s="6" t="s">
        <v>194</v>
      </c>
      <c r="F53" s="6" t="s">
        <v>198</v>
      </c>
    </row>
    <row r="54" customFormat="false" ht="23.85" hidden="false" customHeight="false" outlineLevel="0" collapsed="false">
      <c r="A54" s="5" t="s">
        <v>67</v>
      </c>
      <c r="B54" s="6" t="s">
        <v>193</v>
      </c>
      <c r="C54" s="5" t="n">
        <v>-13.2</v>
      </c>
      <c r="D54" s="8" t="s">
        <v>170</v>
      </c>
      <c r="E54" s="6" t="s">
        <v>194</v>
      </c>
      <c r="F54" s="6" t="s">
        <v>195</v>
      </c>
    </row>
    <row r="55" customFormat="false" ht="46.25" hidden="false" customHeight="false" outlineLevel="0" collapsed="false">
      <c r="A55" s="5" t="s">
        <v>67</v>
      </c>
      <c r="B55" s="6" t="s">
        <v>794</v>
      </c>
      <c r="C55" s="5" t="n">
        <v>3.1</v>
      </c>
      <c r="D55" s="8" t="s">
        <v>170</v>
      </c>
      <c r="E55" s="6" t="s">
        <v>790</v>
      </c>
      <c r="F55" s="6" t="s">
        <v>796</v>
      </c>
    </row>
    <row r="56" customFormat="false" ht="68.65" hidden="false" customHeight="false" outlineLevel="0" collapsed="false">
      <c r="A56" s="5" t="s">
        <v>67</v>
      </c>
      <c r="B56" s="6" t="s">
        <v>788</v>
      </c>
      <c r="C56" s="5" t="n">
        <v>0.3</v>
      </c>
      <c r="D56" s="8" t="s">
        <v>170</v>
      </c>
      <c r="E56" s="6" t="s">
        <v>790</v>
      </c>
      <c r="F56" s="6" t="s">
        <v>792</v>
      </c>
    </row>
    <row r="57" customFormat="false" ht="91" hidden="false" customHeight="false" outlineLevel="0" collapsed="false">
      <c r="A57" s="5" t="s">
        <v>67</v>
      </c>
      <c r="B57" s="6" t="s">
        <v>813</v>
      </c>
      <c r="C57" s="5" t="n">
        <v>6.5</v>
      </c>
      <c r="D57" s="7" t="s">
        <v>42</v>
      </c>
      <c r="E57" s="6" t="s">
        <v>3938</v>
      </c>
      <c r="F57" s="6" t="s">
        <v>818</v>
      </c>
    </row>
    <row r="58" customFormat="false" ht="102.2" hidden="false" customHeight="false" outlineLevel="0" collapsed="false">
      <c r="A58" s="5" t="s">
        <v>67</v>
      </c>
      <c r="B58" s="6" t="s">
        <v>820</v>
      </c>
      <c r="C58" s="5" t="n">
        <v>1.5</v>
      </c>
      <c r="D58" s="7" t="s">
        <v>42</v>
      </c>
      <c r="E58" s="6" t="s">
        <v>3938</v>
      </c>
      <c r="F58" s="6" t="s">
        <v>821</v>
      </c>
    </row>
    <row r="59" customFormat="false" ht="35.05" hidden="false" customHeight="false" outlineLevel="0" collapsed="false">
      <c r="A59" s="5" t="s">
        <v>67</v>
      </c>
      <c r="B59" s="6" t="s">
        <v>2285</v>
      </c>
      <c r="C59" s="5" t="n">
        <v>42.8</v>
      </c>
      <c r="D59" s="7" t="s">
        <v>42</v>
      </c>
      <c r="E59" s="6" t="s">
        <v>3939</v>
      </c>
      <c r="F59" s="6" t="s">
        <v>2288</v>
      </c>
    </row>
    <row r="60" customFormat="false" ht="35.05" hidden="false" customHeight="false" outlineLevel="0" collapsed="false">
      <c r="A60" s="5" t="s">
        <v>67</v>
      </c>
      <c r="B60" s="6" t="s">
        <v>2290</v>
      </c>
      <c r="C60" s="5" t="n">
        <v>67.4</v>
      </c>
      <c r="D60" s="7" t="s">
        <v>42</v>
      </c>
      <c r="E60" s="6" t="s">
        <v>3939</v>
      </c>
      <c r="F60" s="6" t="s">
        <v>2291</v>
      </c>
    </row>
    <row r="61" customFormat="false" ht="57.45" hidden="false" customHeight="false" outlineLevel="0" collapsed="false">
      <c r="A61" s="5" t="s">
        <v>67</v>
      </c>
      <c r="B61" s="6" t="s">
        <v>103</v>
      </c>
      <c r="C61" s="5"/>
      <c r="D61" s="7" t="s">
        <v>42</v>
      </c>
      <c r="E61" s="6" t="s">
        <v>3940</v>
      </c>
      <c r="F61" s="6" t="s">
        <v>105</v>
      </c>
    </row>
    <row r="62" customFormat="false" ht="15" hidden="false" customHeight="false" outlineLevel="0" collapsed="false">
      <c r="A62" s="5" t="s">
        <v>67</v>
      </c>
      <c r="B62" s="6" t="s">
        <v>271</v>
      </c>
      <c r="C62" s="5" t="n">
        <v>-1.3</v>
      </c>
      <c r="D62" s="8" t="s">
        <v>170</v>
      </c>
      <c r="E62" s="6" t="s">
        <v>272</v>
      </c>
      <c r="F62" s="6" t="s">
        <v>273</v>
      </c>
    </row>
    <row r="63" customFormat="false" ht="23.85" hidden="false" customHeight="false" outlineLevel="0" collapsed="false">
      <c r="A63" s="5" t="s">
        <v>67</v>
      </c>
      <c r="B63" s="6" t="s">
        <v>253</v>
      </c>
      <c r="C63" s="5" t="n">
        <v>-6.3</v>
      </c>
      <c r="D63" s="8" t="s">
        <v>170</v>
      </c>
      <c r="E63" s="6" t="s">
        <v>233</v>
      </c>
      <c r="F63" s="6" t="s">
        <v>254</v>
      </c>
    </row>
    <row r="64" customFormat="false" ht="147" hidden="false" customHeight="false" outlineLevel="0" collapsed="false">
      <c r="A64" s="5" t="s">
        <v>67</v>
      </c>
      <c r="B64" s="6" t="s">
        <v>256</v>
      </c>
      <c r="C64" s="5" t="n">
        <v>-1.411</v>
      </c>
      <c r="D64" s="8" t="s">
        <v>170</v>
      </c>
      <c r="E64" s="6" t="s">
        <v>257</v>
      </c>
      <c r="F64" s="6" t="s">
        <v>259</v>
      </c>
    </row>
    <row r="65" customFormat="false" ht="79.85" hidden="false" customHeight="false" outlineLevel="0" collapsed="false">
      <c r="A65" s="5" t="s">
        <v>67</v>
      </c>
      <c r="B65" s="6" t="s">
        <v>250</v>
      </c>
      <c r="C65" s="5" t="n">
        <v>-4.5</v>
      </c>
      <c r="D65" s="8" t="s">
        <v>170</v>
      </c>
      <c r="E65" s="6" t="s">
        <v>233</v>
      </c>
      <c r="F65" s="6" t="s">
        <v>251</v>
      </c>
    </row>
    <row r="66" customFormat="false" ht="35.05" hidden="false" customHeight="false" outlineLevel="0" collapsed="false">
      <c r="A66" s="5" t="s">
        <v>67</v>
      </c>
      <c r="B66" s="6" t="s">
        <v>268</v>
      </c>
      <c r="C66" s="5" t="n">
        <v>-14.8</v>
      </c>
      <c r="D66" s="8" t="s">
        <v>170</v>
      </c>
      <c r="E66" s="6" t="s">
        <v>233</v>
      </c>
      <c r="F66" s="6" t="s">
        <v>269</v>
      </c>
    </row>
    <row r="67" customFormat="false" ht="15" hidden="false" customHeight="false" outlineLevel="0" collapsed="false">
      <c r="A67" s="5" t="s">
        <v>67</v>
      </c>
      <c r="B67" s="6" t="s">
        <v>275</v>
      </c>
      <c r="C67" s="5" t="n">
        <v>-3</v>
      </c>
      <c r="D67" s="8" t="s">
        <v>170</v>
      </c>
      <c r="E67" s="6" t="s">
        <v>272</v>
      </c>
      <c r="F67" s="6" t="s">
        <v>276</v>
      </c>
    </row>
    <row r="68" customFormat="false" ht="23.85" hidden="false" customHeight="false" outlineLevel="0" collapsed="false">
      <c r="A68" s="5" t="s">
        <v>67</v>
      </c>
      <c r="B68" s="6" t="s">
        <v>232</v>
      </c>
      <c r="C68" s="5" t="n">
        <v>-10</v>
      </c>
      <c r="D68" s="8" t="s">
        <v>170</v>
      </c>
      <c r="E68" s="6" t="s">
        <v>233</v>
      </c>
      <c r="F68" s="6" t="s">
        <v>234</v>
      </c>
    </row>
    <row r="69" customFormat="false" ht="158.2" hidden="false" customHeight="false" outlineLevel="0" collapsed="false">
      <c r="A69" s="5" t="s">
        <v>67</v>
      </c>
      <c r="B69" s="6" t="s">
        <v>261</v>
      </c>
      <c r="C69" s="5" t="n">
        <v>-3.26</v>
      </c>
      <c r="D69" s="8" t="s">
        <v>170</v>
      </c>
      <c r="E69" s="6" t="s">
        <v>257</v>
      </c>
      <c r="F69" s="6" t="s">
        <v>262</v>
      </c>
    </row>
    <row r="70" customFormat="false" ht="35.05" hidden="false" customHeight="false" outlineLevel="0" collapsed="false">
      <c r="A70" s="5" t="s">
        <v>67</v>
      </c>
      <c r="B70" s="6" t="s">
        <v>244</v>
      </c>
      <c r="C70" s="5" t="n">
        <v>-7.7</v>
      </c>
      <c r="D70" s="8" t="s">
        <v>170</v>
      </c>
      <c r="E70" s="6" t="s">
        <v>233</v>
      </c>
      <c r="F70" s="6" t="s">
        <v>245</v>
      </c>
    </row>
    <row r="71" customFormat="false" ht="15" hidden="false" customHeight="false" outlineLevel="0" collapsed="false">
      <c r="A71" s="5" t="s">
        <v>67</v>
      </c>
      <c r="B71" s="6" t="s">
        <v>236</v>
      </c>
      <c r="C71" s="5" t="n">
        <v>4.2</v>
      </c>
      <c r="D71" s="8" t="s">
        <v>170</v>
      </c>
      <c r="E71" s="6" t="s">
        <v>233</v>
      </c>
      <c r="F71" s="6" t="s">
        <v>237</v>
      </c>
    </row>
    <row r="72" customFormat="false" ht="15" hidden="false" customHeight="false" outlineLevel="0" collapsed="false">
      <c r="A72" s="5" t="s">
        <v>67</v>
      </c>
      <c r="B72" s="6" t="s">
        <v>239</v>
      </c>
      <c r="C72" s="5" t="n">
        <v>25.3</v>
      </c>
      <c r="D72" s="8" t="s">
        <v>170</v>
      </c>
      <c r="E72" s="6" t="s">
        <v>233</v>
      </c>
      <c r="F72" s="6" t="s">
        <v>237</v>
      </c>
    </row>
    <row r="73" customFormat="false" ht="23.85" hidden="false" customHeight="false" outlineLevel="0" collapsed="false">
      <c r="A73" s="5" t="s">
        <v>67</v>
      </c>
      <c r="B73" s="6" t="s">
        <v>241</v>
      </c>
      <c r="C73" s="5" t="n">
        <v>-27</v>
      </c>
      <c r="D73" s="8" t="s">
        <v>170</v>
      </c>
      <c r="E73" s="6" t="s">
        <v>233</v>
      </c>
      <c r="F73" s="6" t="s">
        <v>242</v>
      </c>
    </row>
    <row r="74" customFormat="false" ht="23.85" hidden="false" customHeight="false" outlineLevel="0" collapsed="false">
      <c r="A74" s="5" t="s">
        <v>67</v>
      </c>
      <c r="B74" s="6" t="s">
        <v>247</v>
      </c>
      <c r="C74" s="5" t="n">
        <v>-19.2</v>
      </c>
      <c r="D74" s="8" t="s">
        <v>170</v>
      </c>
      <c r="E74" s="6" t="s">
        <v>233</v>
      </c>
      <c r="F74" s="6" t="s">
        <v>248</v>
      </c>
    </row>
    <row r="75" customFormat="false" ht="15" hidden="false" customHeight="false" outlineLevel="0" collapsed="false">
      <c r="A75" s="5" t="s">
        <v>67</v>
      </c>
      <c r="B75" s="6" t="s">
        <v>323</v>
      </c>
      <c r="C75" s="5" t="n">
        <v>11.4</v>
      </c>
      <c r="D75" s="8" t="s">
        <v>170</v>
      </c>
      <c r="E75" s="6" t="s">
        <v>324</v>
      </c>
      <c r="F75" s="6" t="s">
        <v>325</v>
      </c>
    </row>
    <row r="76" customFormat="false" ht="35.05" hidden="false" customHeight="false" outlineLevel="0" collapsed="false">
      <c r="A76" s="5" t="s">
        <v>67</v>
      </c>
      <c r="B76" s="6" t="s">
        <v>157</v>
      </c>
      <c r="C76" s="5" t="n">
        <v>26.6</v>
      </c>
      <c r="D76" s="7" t="s">
        <v>42</v>
      </c>
      <c r="E76" s="6" t="s">
        <v>3941</v>
      </c>
      <c r="F76" s="6" t="s">
        <v>161</v>
      </c>
    </row>
    <row r="77" customFormat="false" ht="35.05" hidden="false" customHeight="false" outlineLevel="0" collapsed="false">
      <c r="A77" s="5" t="s">
        <v>67</v>
      </c>
      <c r="B77" s="6" t="s">
        <v>306</v>
      </c>
      <c r="C77" s="5" t="n">
        <v>4.3</v>
      </c>
      <c r="D77" s="8" t="s">
        <v>170</v>
      </c>
      <c r="E77" s="6" t="s">
        <v>307</v>
      </c>
      <c r="F77" s="6" t="s">
        <v>308</v>
      </c>
    </row>
    <row r="78" customFormat="false" ht="23.85" hidden="false" customHeight="false" outlineLevel="0" collapsed="false">
      <c r="A78" s="5" t="s">
        <v>67</v>
      </c>
      <c r="B78" s="6" t="s">
        <v>310</v>
      </c>
      <c r="C78" s="5" t="n">
        <v>0.2</v>
      </c>
      <c r="D78" s="8" t="s">
        <v>170</v>
      </c>
      <c r="E78" s="6" t="s">
        <v>307</v>
      </c>
      <c r="F78" s="6" t="s">
        <v>311</v>
      </c>
    </row>
    <row r="79" customFormat="false" ht="23.85" hidden="false" customHeight="false" outlineLevel="0" collapsed="false">
      <c r="A79" s="5" t="s">
        <v>67</v>
      </c>
      <c r="B79" s="6" t="s">
        <v>292</v>
      </c>
      <c r="C79" s="5" t="n">
        <v>90.8</v>
      </c>
      <c r="D79" s="8" t="s">
        <v>170</v>
      </c>
      <c r="E79" s="6" t="s">
        <v>293</v>
      </c>
      <c r="F79" s="6" t="s">
        <v>294</v>
      </c>
    </row>
    <row r="80" customFormat="false" ht="23.85" hidden="false" customHeight="false" outlineLevel="0" collapsed="false">
      <c r="A80" s="5" t="s">
        <v>67</v>
      </c>
      <c r="B80" s="6" t="s">
        <v>204</v>
      </c>
      <c r="C80" s="5" t="n">
        <v>75</v>
      </c>
      <c r="D80" s="8" t="s">
        <v>170</v>
      </c>
      <c r="E80" s="6" t="s">
        <v>206</v>
      </c>
      <c r="F80" s="6" t="s">
        <v>207</v>
      </c>
    </row>
    <row r="81" customFormat="false" ht="46.25" hidden="false" customHeight="false" outlineLevel="0" collapsed="false">
      <c r="A81" s="5" t="s">
        <v>67</v>
      </c>
      <c r="B81" s="6" t="s">
        <v>94</v>
      </c>
      <c r="C81" s="5" t="n">
        <v>3</v>
      </c>
      <c r="D81" s="7" t="s">
        <v>42</v>
      </c>
      <c r="E81" s="6" t="s">
        <v>3942</v>
      </c>
      <c r="F81" s="6" t="s">
        <v>97</v>
      </c>
    </row>
    <row r="82" customFormat="false" ht="91" hidden="false" customHeight="false" outlineLevel="0" collapsed="false">
      <c r="A82" s="5" t="s">
        <v>67</v>
      </c>
      <c r="B82" s="6" t="s">
        <v>524</v>
      </c>
      <c r="C82" s="5" t="n">
        <v>25</v>
      </c>
      <c r="D82" s="9" t="s">
        <v>365</v>
      </c>
      <c r="E82" s="6" t="s">
        <v>512</v>
      </c>
      <c r="F82" s="6" t="s">
        <v>525</v>
      </c>
    </row>
    <row r="83" customFormat="false" ht="57.45" hidden="false" customHeight="false" outlineLevel="0" collapsed="false">
      <c r="A83" s="5" t="s">
        <v>67</v>
      </c>
      <c r="B83" s="6" t="s">
        <v>2259</v>
      </c>
      <c r="C83" s="5" t="n">
        <v>3.2</v>
      </c>
      <c r="D83" s="8" t="s">
        <v>170</v>
      </c>
      <c r="E83" s="6" t="s">
        <v>2260</v>
      </c>
      <c r="F83" s="6" t="s">
        <v>2261</v>
      </c>
    </row>
    <row r="84" customFormat="false" ht="57.45" hidden="false" customHeight="false" outlineLevel="0" collapsed="false">
      <c r="A84" s="5" t="s">
        <v>67</v>
      </c>
      <c r="B84" s="6" t="s">
        <v>2263</v>
      </c>
      <c r="C84" s="5" t="n">
        <v>13.3</v>
      </c>
      <c r="D84" s="8" t="s">
        <v>170</v>
      </c>
      <c r="E84" s="6" t="s">
        <v>2260</v>
      </c>
      <c r="F84" s="6" t="s">
        <v>2261</v>
      </c>
    </row>
    <row r="85" customFormat="false" ht="57.45" hidden="false" customHeight="false" outlineLevel="0" collapsed="false">
      <c r="A85" s="5" t="s">
        <v>67</v>
      </c>
      <c r="B85" s="6" t="s">
        <v>2252</v>
      </c>
      <c r="C85" s="5" t="n">
        <v>3.07</v>
      </c>
      <c r="D85" s="8" t="s">
        <v>170</v>
      </c>
      <c r="E85" s="6" t="s">
        <v>2249</v>
      </c>
      <c r="F85" s="6" t="s">
        <v>2250</v>
      </c>
    </row>
    <row r="86" customFormat="false" ht="57.45" hidden="false" customHeight="false" outlineLevel="0" collapsed="false">
      <c r="A86" s="5" t="s">
        <v>67</v>
      </c>
      <c r="B86" s="6" t="s">
        <v>2254</v>
      </c>
      <c r="C86" s="5" t="n">
        <v>5.19</v>
      </c>
      <c r="D86" s="8" t="s">
        <v>170</v>
      </c>
      <c r="E86" s="6" t="s">
        <v>2249</v>
      </c>
      <c r="F86" s="6" t="s">
        <v>2250</v>
      </c>
    </row>
    <row r="87" customFormat="false" ht="57.45" hidden="false" customHeight="false" outlineLevel="0" collapsed="false">
      <c r="A87" s="5" t="s">
        <v>67</v>
      </c>
      <c r="B87" s="6" t="s">
        <v>2247</v>
      </c>
      <c r="C87" s="5" t="n">
        <v>2.86</v>
      </c>
      <c r="D87" s="8" t="s">
        <v>170</v>
      </c>
      <c r="E87" s="6" t="s">
        <v>2249</v>
      </c>
      <c r="F87" s="6" t="s">
        <v>2250</v>
      </c>
    </row>
    <row r="88" customFormat="false" ht="91" hidden="false" customHeight="false" outlineLevel="0" collapsed="false">
      <c r="A88" s="5" t="s">
        <v>67</v>
      </c>
      <c r="B88" s="6" t="s">
        <v>2314</v>
      </c>
      <c r="C88" s="5" t="n">
        <v>10</v>
      </c>
      <c r="D88" s="9" t="s">
        <v>365</v>
      </c>
      <c r="E88" s="6" t="s">
        <v>512</v>
      </c>
      <c r="F88" s="6" t="s">
        <v>2315</v>
      </c>
    </row>
    <row r="89" customFormat="false" ht="57.45" hidden="false" customHeight="false" outlineLevel="0" collapsed="false">
      <c r="A89" s="5" t="s">
        <v>67</v>
      </c>
      <c r="B89" s="6" t="s">
        <v>2317</v>
      </c>
      <c r="C89" s="5" t="n">
        <v>5</v>
      </c>
      <c r="D89" s="9" t="s">
        <v>365</v>
      </c>
      <c r="E89" s="6" t="s">
        <v>512</v>
      </c>
      <c r="F89" s="6" t="s">
        <v>2318</v>
      </c>
    </row>
    <row r="90" customFormat="false" ht="91" hidden="false" customHeight="false" outlineLevel="0" collapsed="false">
      <c r="A90" s="5" t="s">
        <v>67</v>
      </c>
      <c r="B90" s="6" t="s">
        <v>2340</v>
      </c>
      <c r="C90" s="5" t="n">
        <v>-2.254</v>
      </c>
      <c r="D90" s="8" t="s">
        <v>170</v>
      </c>
      <c r="E90" s="6" t="s">
        <v>2342</v>
      </c>
      <c r="F90" s="6" t="s">
        <v>2343</v>
      </c>
    </row>
    <row r="91" customFormat="false" ht="79.85" hidden="false" customHeight="false" outlineLevel="0" collapsed="false">
      <c r="A91" s="5" t="s">
        <v>67</v>
      </c>
      <c r="B91" s="6" t="s">
        <v>2351</v>
      </c>
      <c r="C91" s="5" t="n">
        <v>68.9</v>
      </c>
      <c r="D91" s="8" t="s">
        <v>170</v>
      </c>
      <c r="E91" s="6" t="s">
        <v>2342</v>
      </c>
      <c r="F91" s="6" t="s">
        <v>2353</v>
      </c>
    </row>
    <row r="92" customFormat="false" ht="35.05" hidden="false" customHeight="false" outlineLevel="0" collapsed="false">
      <c r="A92" s="5" t="s">
        <v>67</v>
      </c>
      <c r="B92" s="6" t="s">
        <v>2355</v>
      </c>
      <c r="C92" s="5" t="n">
        <v>83.9</v>
      </c>
      <c r="D92" s="8" t="s">
        <v>170</v>
      </c>
      <c r="E92" s="6" t="s">
        <v>2342</v>
      </c>
      <c r="F92" s="6" t="s">
        <v>2356</v>
      </c>
    </row>
    <row r="93" customFormat="false" ht="23.85" hidden="false" customHeight="false" outlineLevel="0" collapsed="false">
      <c r="A93" s="5" t="s">
        <v>56</v>
      </c>
      <c r="B93" s="6" t="s">
        <v>360</v>
      </c>
      <c r="C93" s="5" t="n">
        <v>7.3</v>
      </c>
      <c r="D93" s="8" t="s">
        <v>170</v>
      </c>
      <c r="E93" s="6" t="s">
        <v>361</v>
      </c>
      <c r="F93" s="6" t="s">
        <v>362</v>
      </c>
    </row>
    <row r="94" customFormat="false" ht="23.85" hidden="false" customHeight="false" outlineLevel="0" collapsed="false">
      <c r="A94" s="5" t="s">
        <v>56</v>
      </c>
      <c r="B94" s="6" t="s">
        <v>353</v>
      </c>
      <c r="C94" s="5" t="n">
        <v>55</v>
      </c>
      <c r="D94" s="8" t="s">
        <v>170</v>
      </c>
      <c r="E94" s="6" t="s">
        <v>350</v>
      </c>
      <c r="F94" s="6" t="s">
        <v>354</v>
      </c>
    </row>
    <row r="95" customFormat="false" ht="35.05" hidden="false" customHeight="false" outlineLevel="0" collapsed="false">
      <c r="A95" s="5" t="s">
        <v>56</v>
      </c>
      <c r="B95" s="6" t="s">
        <v>90</v>
      </c>
      <c r="C95" s="5" t="n">
        <v>3616</v>
      </c>
      <c r="D95" s="7" t="s">
        <v>42</v>
      </c>
      <c r="E95" s="6" t="s">
        <v>3943</v>
      </c>
      <c r="F95" s="6" t="s">
        <v>92</v>
      </c>
    </row>
    <row r="96" customFormat="false" ht="68.65" hidden="false" customHeight="false" outlineLevel="0" collapsed="false">
      <c r="A96" s="5" t="s">
        <v>56</v>
      </c>
      <c r="B96" s="6" t="s">
        <v>73</v>
      </c>
      <c r="C96" s="5"/>
      <c r="D96" s="7" t="s">
        <v>42</v>
      </c>
      <c r="E96" s="6" t="s">
        <v>3944</v>
      </c>
      <c r="F96" s="6" t="s">
        <v>76</v>
      </c>
    </row>
    <row r="97" customFormat="false" ht="35.05" hidden="false" customHeight="false" outlineLevel="0" collapsed="false">
      <c r="A97" s="5" t="s">
        <v>56</v>
      </c>
      <c r="B97" s="6" t="s">
        <v>87</v>
      </c>
      <c r="C97" s="5" t="n">
        <v>82</v>
      </c>
      <c r="D97" s="7" t="s">
        <v>42</v>
      </c>
      <c r="E97" s="6" t="s">
        <v>3945</v>
      </c>
      <c r="F97" s="6" t="s">
        <v>85</v>
      </c>
    </row>
    <row r="98" customFormat="false" ht="35.05" hidden="false" customHeight="false" outlineLevel="0" collapsed="false">
      <c r="A98" s="5" t="s">
        <v>56</v>
      </c>
      <c r="B98" s="6" t="s">
        <v>82</v>
      </c>
      <c r="C98" s="5" t="n">
        <v>179</v>
      </c>
      <c r="D98" s="7" t="s">
        <v>42</v>
      </c>
      <c r="E98" s="6" t="s">
        <v>3945</v>
      </c>
      <c r="F98" s="6" t="s">
        <v>85</v>
      </c>
    </row>
    <row r="99" customFormat="false" ht="79.85" hidden="false" customHeight="false" outlineLevel="0" collapsed="false">
      <c r="A99" s="5" t="s">
        <v>56</v>
      </c>
      <c r="B99" s="6" t="s">
        <v>78</v>
      </c>
      <c r="C99" s="5" t="n">
        <v>358</v>
      </c>
      <c r="D99" s="7" t="s">
        <v>42</v>
      </c>
      <c r="E99" s="6" t="s">
        <v>3946</v>
      </c>
      <c r="F99" s="6" t="s">
        <v>80</v>
      </c>
    </row>
    <row r="100" customFormat="false" ht="23.85" hidden="false" customHeight="false" outlineLevel="0" collapsed="false">
      <c r="A100" s="5" t="s">
        <v>56</v>
      </c>
      <c r="B100" s="6" t="s">
        <v>346</v>
      </c>
      <c r="C100" s="5" t="n">
        <v>27.6</v>
      </c>
      <c r="D100" s="8" t="s">
        <v>170</v>
      </c>
      <c r="E100" s="6" t="s">
        <v>328</v>
      </c>
      <c r="F100" s="6" t="s">
        <v>347</v>
      </c>
    </row>
    <row r="101" customFormat="false" ht="46.25" hidden="false" customHeight="false" outlineLevel="0" collapsed="false">
      <c r="A101" s="5" t="s">
        <v>56</v>
      </c>
      <c r="B101" s="6" t="s">
        <v>278</v>
      </c>
      <c r="C101" s="5" t="n">
        <v>3.5</v>
      </c>
      <c r="D101" s="8" t="s">
        <v>170</v>
      </c>
      <c r="E101" s="6" t="s">
        <v>280</v>
      </c>
      <c r="F101" s="6" t="s">
        <v>281</v>
      </c>
    </row>
    <row r="102" customFormat="false" ht="46.25" hidden="false" customHeight="false" outlineLevel="0" collapsed="false">
      <c r="A102" s="5" t="s">
        <v>56</v>
      </c>
      <c r="B102" s="6" t="s">
        <v>283</v>
      </c>
      <c r="C102" s="5" t="n">
        <v>20.1</v>
      </c>
      <c r="D102" s="8" t="s">
        <v>170</v>
      </c>
      <c r="E102" s="6" t="s">
        <v>280</v>
      </c>
      <c r="F102" s="6" t="s">
        <v>284</v>
      </c>
    </row>
    <row r="103" customFormat="false" ht="23.85" hidden="false" customHeight="false" outlineLevel="0" collapsed="false">
      <c r="A103" s="5" t="s">
        <v>56</v>
      </c>
      <c r="B103" s="6" t="s">
        <v>176</v>
      </c>
      <c r="C103" s="5" t="n">
        <v>-12</v>
      </c>
      <c r="D103" s="8" t="s">
        <v>170</v>
      </c>
      <c r="E103" s="6" t="s">
        <v>177</v>
      </c>
      <c r="F103" s="6" t="s">
        <v>178</v>
      </c>
    </row>
    <row r="104" customFormat="false" ht="46.25" hidden="false" customHeight="false" outlineLevel="0" collapsed="false">
      <c r="A104" s="5" t="s">
        <v>56</v>
      </c>
      <c r="B104" s="6" t="s">
        <v>807</v>
      </c>
      <c r="C104" s="5" t="n">
        <v>-0.013</v>
      </c>
      <c r="D104" s="8" t="s">
        <v>170</v>
      </c>
      <c r="E104" s="6" t="s">
        <v>790</v>
      </c>
      <c r="F104" s="6" t="s">
        <v>808</v>
      </c>
    </row>
    <row r="105" customFormat="false" ht="35.05" hidden="false" customHeight="false" outlineLevel="0" collapsed="false">
      <c r="A105" s="5" t="s">
        <v>56</v>
      </c>
      <c r="B105" s="6" t="s">
        <v>810</v>
      </c>
      <c r="C105" s="5" t="n">
        <v>0.056</v>
      </c>
      <c r="D105" s="8" t="s">
        <v>170</v>
      </c>
      <c r="E105" s="6" t="s">
        <v>790</v>
      </c>
      <c r="F105" s="6" t="s">
        <v>811</v>
      </c>
    </row>
    <row r="106" customFormat="false" ht="46.25" hidden="false" customHeight="false" outlineLevel="0" collapsed="false">
      <c r="A106" s="5" t="s">
        <v>56</v>
      </c>
      <c r="B106" s="6" t="s">
        <v>798</v>
      </c>
      <c r="C106" s="5" t="n">
        <v>0.033</v>
      </c>
      <c r="D106" s="8" t="s">
        <v>170</v>
      </c>
      <c r="E106" s="6" t="s">
        <v>790</v>
      </c>
      <c r="F106" s="6" t="s">
        <v>799</v>
      </c>
    </row>
    <row r="107" customFormat="false" ht="46.25" hidden="false" customHeight="false" outlineLevel="0" collapsed="false">
      <c r="A107" s="5" t="s">
        <v>56</v>
      </c>
      <c r="B107" s="6" t="s">
        <v>801</v>
      </c>
      <c r="C107" s="5" t="n">
        <v>-10.3</v>
      </c>
      <c r="D107" s="8" t="s">
        <v>170</v>
      </c>
      <c r="E107" s="6" t="s">
        <v>790</v>
      </c>
      <c r="F107" s="6" t="s">
        <v>802</v>
      </c>
    </row>
    <row r="108" customFormat="false" ht="57.45" hidden="false" customHeight="false" outlineLevel="0" collapsed="false">
      <c r="A108" s="5" t="s">
        <v>56</v>
      </c>
      <c r="B108" s="6" t="s">
        <v>804</v>
      </c>
      <c r="C108" s="5" t="n">
        <v>-1.1</v>
      </c>
      <c r="D108" s="8" t="s">
        <v>170</v>
      </c>
      <c r="E108" s="6" t="s">
        <v>790</v>
      </c>
      <c r="F108" s="6" t="s">
        <v>805</v>
      </c>
    </row>
    <row r="109" customFormat="false" ht="23.85" hidden="false" customHeight="false" outlineLevel="0" collapsed="false">
      <c r="A109" s="5" t="s">
        <v>56</v>
      </c>
      <c r="B109" s="6" t="s">
        <v>349</v>
      </c>
      <c r="C109" s="5" t="n">
        <v>80</v>
      </c>
      <c r="D109" s="8" t="s">
        <v>170</v>
      </c>
      <c r="E109" s="6" t="s">
        <v>350</v>
      </c>
      <c r="F109" s="6" t="s">
        <v>351</v>
      </c>
    </row>
    <row r="110" customFormat="false" ht="46.25" hidden="false" customHeight="false" outlineLevel="0" collapsed="false">
      <c r="A110" s="5" t="s">
        <v>56</v>
      </c>
      <c r="B110" s="6" t="s">
        <v>680</v>
      </c>
      <c r="C110" s="5" t="n">
        <v>10.5</v>
      </c>
      <c r="D110" s="8" t="s">
        <v>170</v>
      </c>
      <c r="E110" s="6" t="s">
        <v>350</v>
      </c>
      <c r="F110" s="6" t="s">
        <v>681</v>
      </c>
    </row>
    <row r="111" customFormat="false" ht="46.25" hidden="false" customHeight="false" outlineLevel="0" collapsed="false">
      <c r="A111" s="5" t="s">
        <v>56</v>
      </c>
      <c r="B111" s="6" t="s">
        <v>653</v>
      </c>
      <c r="C111" s="5" t="n">
        <v>80.3</v>
      </c>
      <c r="D111" s="8" t="s">
        <v>170</v>
      </c>
      <c r="E111" s="6" t="s">
        <v>654</v>
      </c>
      <c r="F111" s="6" t="s">
        <v>655</v>
      </c>
    </row>
    <row r="112" customFormat="false" ht="68.65" hidden="false" customHeight="false" outlineLevel="0" collapsed="false">
      <c r="A112" s="5" t="s">
        <v>56</v>
      </c>
      <c r="B112" s="6" t="s">
        <v>635</v>
      </c>
      <c r="C112" s="5" t="n">
        <v>21.9</v>
      </c>
      <c r="D112" s="8" t="s">
        <v>170</v>
      </c>
      <c r="E112" s="6" t="s">
        <v>636</v>
      </c>
      <c r="F112" s="6" t="s">
        <v>637</v>
      </c>
    </row>
    <row r="113" customFormat="false" ht="68.65" hidden="false" customHeight="false" outlineLevel="0" collapsed="false">
      <c r="A113" s="5" t="s">
        <v>56</v>
      </c>
      <c r="B113" s="6" t="s">
        <v>639</v>
      </c>
      <c r="C113" s="5" t="n">
        <v>98.7</v>
      </c>
      <c r="D113" s="8" t="s">
        <v>170</v>
      </c>
      <c r="E113" s="6" t="s">
        <v>640</v>
      </c>
      <c r="F113" s="6" t="s">
        <v>641</v>
      </c>
    </row>
    <row r="114" customFormat="false" ht="35.05" hidden="false" customHeight="false" outlineLevel="0" collapsed="false">
      <c r="A114" s="5" t="s">
        <v>56</v>
      </c>
      <c r="B114" s="6" t="s">
        <v>626</v>
      </c>
      <c r="C114" s="5" t="n">
        <v>276902</v>
      </c>
      <c r="D114" s="8" t="s">
        <v>170</v>
      </c>
      <c r="E114" s="6" t="s">
        <v>628</v>
      </c>
      <c r="F114" s="6" t="s">
        <v>629</v>
      </c>
    </row>
    <row r="115" customFormat="false" ht="57.45" hidden="false" customHeight="false" outlineLevel="0" collapsed="false">
      <c r="A115" s="5" t="s">
        <v>56</v>
      </c>
      <c r="B115" s="6" t="s">
        <v>631</v>
      </c>
      <c r="C115" s="5" t="n">
        <v>17.4</v>
      </c>
      <c r="D115" s="8" t="s">
        <v>170</v>
      </c>
      <c r="E115" s="6" t="s">
        <v>632</v>
      </c>
      <c r="F115" s="6" t="s">
        <v>633</v>
      </c>
    </row>
    <row r="116" customFormat="false" ht="46.25" hidden="false" customHeight="false" outlineLevel="0" collapsed="false">
      <c r="A116" s="5" t="s">
        <v>56</v>
      </c>
      <c r="B116" s="6" t="s">
        <v>646</v>
      </c>
      <c r="C116" s="5" t="n">
        <v>20.7</v>
      </c>
      <c r="D116" s="8" t="s">
        <v>170</v>
      </c>
      <c r="E116" s="6" t="s">
        <v>640</v>
      </c>
      <c r="F116" s="6" t="s">
        <v>647</v>
      </c>
    </row>
    <row r="117" customFormat="false" ht="46.25" hidden="false" customHeight="false" outlineLevel="0" collapsed="false">
      <c r="A117" s="5" t="s">
        <v>56</v>
      </c>
      <c r="B117" s="6" t="s">
        <v>643</v>
      </c>
      <c r="C117" s="5" t="n">
        <v>96.7</v>
      </c>
      <c r="D117" s="8" t="s">
        <v>170</v>
      </c>
      <c r="E117" s="6" t="s">
        <v>640</v>
      </c>
      <c r="F117" s="6" t="s">
        <v>644</v>
      </c>
    </row>
    <row r="118" customFormat="false" ht="46.25" hidden="false" customHeight="false" outlineLevel="0" collapsed="false">
      <c r="A118" s="5" t="s">
        <v>56</v>
      </c>
      <c r="B118" s="6" t="s">
        <v>660</v>
      </c>
      <c r="C118" s="5" t="n">
        <v>8344</v>
      </c>
      <c r="D118" s="8" t="s">
        <v>170</v>
      </c>
      <c r="E118" s="6" t="s">
        <v>654</v>
      </c>
      <c r="F118" s="6" t="s">
        <v>661</v>
      </c>
    </row>
    <row r="119" customFormat="false" ht="46.25" hidden="false" customHeight="false" outlineLevel="0" collapsed="false">
      <c r="A119" s="5" t="s">
        <v>56</v>
      </c>
      <c r="B119" s="6" t="s">
        <v>657</v>
      </c>
      <c r="C119" s="5" t="n">
        <v>96</v>
      </c>
      <c r="D119" s="8" t="s">
        <v>170</v>
      </c>
      <c r="E119" s="6" t="s">
        <v>654</v>
      </c>
      <c r="F119" s="6" t="s">
        <v>658</v>
      </c>
    </row>
    <row r="120" customFormat="false" ht="79.85" hidden="false" customHeight="false" outlineLevel="0" collapsed="false">
      <c r="A120" s="5" t="s">
        <v>56</v>
      </c>
      <c r="B120" s="6" t="s">
        <v>649</v>
      </c>
      <c r="C120" s="5" t="n">
        <v>7.4</v>
      </c>
      <c r="D120" s="8" t="s">
        <v>170</v>
      </c>
      <c r="E120" s="6" t="s">
        <v>650</v>
      </c>
      <c r="F120" s="6" t="s">
        <v>651</v>
      </c>
    </row>
    <row r="121" customFormat="false" ht="35.05" hidden="false" customHeight="false" outlineLevel="0" collapsed="false">
      <c r="A121" s="5" t="s">
        <v>56</v>
      </c>
      <c r="B121" s="6" t="s">
        <v>683</v>
      </c>
      <c r="C121" s="5" t="n">
        <v>2419</v>
      </c>
      <c r="D121" s="7" t="s">
        <v>42</v>
      </c>
      <c r="E121" s="6" t="s">
        <v>3947</v>
      </c>
      <c r="F121" s="6" t="s">
        <v>685</v>
      </c>
    </row>
    <row r="122" customFormat="false" ht="35.05" hidden="false" customHeight="false" outlineLevel="0" collapsed="false">
      <c r="A122" s="5" t="s">
        <v>56</v>
      </c>
      <c r="B122" s="6" t="s">
        <v>54</v>
      </c>
      <c r="C122" s="5" t="n">
        <v>-651</v>
      </c>
      <c r="D122" s="7" t="s">
        <v>42</v>
      </c>
      <c r="E122" s="6" t="s">
        <v>3932</v>
      </c>
      <c r="F122" s="6" t="s">
        <v>55</v>
      </c>
    </row>
    <row r="123" customFormat="false" ht="35.05" hidden="false" customHeight="false" outlineLevel="0" collapsed="false">
      <c r="A123" s="5" t="s">
        <v>56</v>
      </c>
      <c r="B123" s="6" t="s">
        <v>687</v>
      </c>
      <c r="C123" s="5" t="n">
        <v>2576000</v>
      </c>
      <c r="D123" s="7" t="s">
        <v>42</v>
      </c>
      <c r="E123" s="6" t="s">
        <v>3947</v>
      </c>
      <c r="F123" s="6" t="s">
        <v>688</v>
      </c>
    </row>
    <row r="124" customFormat="false" ht="23.85" hidden="false" customHeight="false" outlineLevel="0" collapsed="false">
      <c r="A124" s="5" t="s">
        <v>56</v>
      </c>
      <c r="B124" s="6" t="s">
        <v>624</v>
      </c>
      <c r="C124" s="5" t="n">
        <v>59.9</v>
      </c>
      <c r="D124" s="8" t="s">
        <v>170</v>
      </c>
      <c r="E124" s="6" t="s">
        <v>171</v>
      </c>
      <c r="F124" s="6" t="s">
        <v>237</v>
      </c>
    </row>
    <row r="125" customFormat="false" ht="35.05" hidden="false" customHeight="false" outlineLevel="0" collapsed="false">
      <c r="A125" s="5" t="s">
        <v>56</v>
      </c>
      <c r="B125" s="6" t="s">
        <v>621</v>
      </c>
      <c r="C125" s="5" t="n">
        <v>-38</v>
      </c>
      <c r="D125" s="8" t="s">
        <v>170</v>
      </c>
      <c r="E125" s="6" t="s">
        <v>171</v>
      </c>
      <c r="F125" s="6" t="s">
        <v>622</v>
      </c>
    </row>
    <row r="126" customFormat="false" ht="35.05" hidden="false" customHeight="false" outlineLevel="0" collapsed="false">
      <c r="A126" s="5" t="s">
        <v>56</v>
      </c>
      <c r="B126" s="6" t="s">
        <v>60</v>
      </c>
      <c r="C126" s="5" t="n">
        <v>153508</v>
      </c>
      <c r="D126" s="7" t="s">
        <v>42</v>
      </c>
      <c r="E126" s="6" t="s">
        <v>3932</v>
      </c>
      <c r="F126" s="6"/>
    </row>
    <row r="127" customFormat="false" ht="35.05" hidden="false" customHeight="false" outlineLevel="0" collapsed="false">
      <c r="A127" s="5" t="s">
        <v>56</v>
      </c>
      <c r="B127" s="6" t="s">
        <v>58</v>
      </c>
      <c r="C127" s="5" t="n">
        <v>5484000</v>
      </c>
      <c r="D127" s="7" t="s">
        <v>42</v>
      </c>
      <c r="E127" s="6" t="s">
        <v>3932</v>
      </c>
      <c r="F127" s="6"/>
    </row>
    <row r="128" customFormat="false" ht="35.05" hidden="false" customHeight="false" outlineLevel="0" collapsed="false">
      <c r="A128" s="5" t="s">
        <v>56</v>
      </c>
      <c r="B128" s="6" t="s">
        <v>200</v>
      </c>
      <c r="C128" s="5" t="n">
        <v>0.958</v>
      </c>
      <c r="D128" s="8" t="s">
        <v>170</v>
      </c>
      <c r="E128" s="6" t="s">
        <v>194</v>
      </c>
      <c r="F128" s="6" t="s">
        <v>202</v>
      </c>
    </row>
    <row r="129" customFormat="false" ht="23.85" hidden="false" customHeight="false" outlineLevel="0" collapsed="false">
      <c r="A129" s="5" t="s">
        <v>56</v>
      </c>
      <c r="B129" s="6" t="s">
        <v>303</v>
      </c>
      <c r="C129" s="5" t="n">
        <v>26.5</v>
      </c>
      <c r="D129" s="8" t="s">
        <v>170</v>
      </c>
      <c r="E129" s="6" t="s">
        <v>280</v>
      </c>
      <c r="F129" s="6" t="s">
        <v>304</v>
      </c>
    </row>
    <row r="130" customFormat="false" ht="35.05" hidden="false" customHeight="false" outlineLevel="0" collapsed="false">
      <c r="A130" s="5" t="s">
        <v>56</v>
      </c>
      <c r="B130" s="6" t="s">
        <v>663</v>
      </c>
      <c r="C130" s="5" t="n">
        <v>64.6</v>
      </c>
      <c r="D130" s="8" t="s">
        <v>170</v>
      </c>
      <c r="E130" s="6" t="s">
        <v>194</v>
      </c>
      <c r="F130" s="6" t="s">
        <v>666</v>
      </c>
    </row>
    <row r="131" customFormat="false" ht="46.25" hidden="false" customHeight="false" outlineLevel="0" collapsed="false">
      <c r="A131" s="5" t="s">
        <v>56</v>
      </c>
      <c r="B131" s="6" t="s">
        <v>672</v>
      </c>
      <c r="C131" s="5" t="n">
        <v>42.3</v>
      </c>
      <c r="D131" s="8" t="s">
        <v>170</v>
      </c>
      <c r="E131" s="6" t="s">
        <v>194</v>
      </c>
      <c r="F131" s="6" t="s">
        <v>674</v>
      </c>
    </row>
    <row r="132" customFormat="false" ht="35.05" hidden="false" customHeight="false" outlineLevel="0" collapsed="false">
      <c r="A132" s="5" t="s">
        <v>56</v>
      </c>
      <c r="B132" s="6" t="s">
        <v>668</v>
      </c>
      <c r="C132" s="5" t="n">
        <v>1.53</v>
      </c>
      <c r="D132" s="8" t="s">
        <v>170</v>
      </c>
      <c r="E132" s="6" t="s">
        <v>194</v>
      </c>
      <c r="F132" s="6" t="s">
        <v>670</v>
      </c>
    </row>
    <row r="133" customFormat="false" ht="46.25" hidden="false" customHeight="false" outlineLevel="0" collapsed="false">
      <c r="A133" s="5" t="s">
        <v>56</v>
      </c>
      <c r="B133" s="6" t="s">
        <v>317</v>
      </c>
      <c r="C133" s="5" t="n">
        <v>31.6</v>
      </c>
      <c r="D133" s="8" t="s">
        <v>170</v>
      </c>
      <c r="E133" s="6" t="s">
        <v>314</v>
      </c>
      <c r="F133" s="6" t="s">
        <v>318</v>
      </c>
    </row>
    <row r="134" customFormat="false" ht="35.05" hidden="false" customHeight="false" outlineLevel="0" collapsed="false">
      <c r="A134" s="5" t="s">
        <v>56</v>
      </c>
      <c r="B134" s="6" t="s">
        <v>320</v>
      </c>
      <c r="C134" s="5" t="n">
        <v>2</v>
      </c>
      <c r="D134" s="8" t="s">
        <v>170</v>
      </c>
      <c r="E134" s="6" t="s">
        <v>314</v>
      </c>
      <c r="F134" s="6" t="s">
        <v>321</v>
      </c>
    </row>
    <row r="135" customFormat="false" ht="68.65" hidden="false" customHeight="false" outlineLevel="0" collapsed="false">
      <c r="A135" s="5" t="s">
        <v>56</v>
      </c>
      <c r="B135" s="6" t="s">
        <v>956</v>
      </c>
      <c r="C135" s="5" t="n">
        <v>0.662</v>
      </c>
      <c r="D135" s="8" t="s">
        <v>170</v>
      </c>
      <c r="E135" s="6" t="s">
        <v>957</v>
      </c>
      <c r="F135" s="6" t="s">
        <v>958</v>
      </c>
    </row>
    <row r="136" customFormat="false" ht="124.6" hidden="false" customHeight="false" outlineLevel="0" collapsed="false">
      <c r="A136" s="5" t="s">
        <v>56</v>
      </c>
      <c r="B136" s="6" t="s">
        <v>963</v>
      </c>
      <c r="C136" s="5" t="n">
        <v>0.722</v>
      </c>
      <c r="D136" s="8" t="s">
        <v>170</v>
      </c>
      <c r="E136" s="6" t="s">
        <v>957</v>
      </c>
      <c r="F136" s="6" t="s">
        <v>964</v>
      </c>
    </row>
    <row r="137" customFormat="false" ht="102.2" hidden="false" customHeight="false" outlineLevel="0" collapsed="false">
      <c r="A137" s="5" t="s">
        <v>56</v>
      </c>
      <c r="B137" s="6" t="s">
        <v>960</v>
      </c>
      <c r="C137" s="5" t="n">
        <v>0.671</v>
      </c>
      <c r="D137" s="8" t="s">
        <v>170</v>
      </c>
      <c r="E137" s="6" t="s">
        <v>957</v>
      </c>
      <c r="F137" s="6" t="s">
        <v>961</v>
      </c>
    </row>
    <row r="138" customFormat="false" ht="91" hidden="false" customHeight="false" outlineLevel="0" collapsed="false">
      <c r="A138" s="5" t="s">
        <v>56</v>
      </c>
      <c r="B138" s="6" t="s">
        <v>947</v>
      </c>
      <c r="C138" s="5" t="n">
        <v>0.694</v>
      </c>
      <c r="D138" s="8" t="s">
        <v>170</v>
      </c>
      <c r="E138" s="6" t="s">
        <v>941</v>
      </c>
      <c r="F138" s="6" t="s">
        <v>948</v>
      </c>
    </row>
    <row r="139" customFormat="false" ht="68.65" hidden="false" customHeight="false" outlineLevel="0" collapsed="false">
      <c r="A139" s="5" t="s">
        <v>56</v>
      </c>
      <c r="B139" s="6" t="s">
        <v>869</v>
      </c>
      <c r="C139" s="5" t="n">
        <v>-9.1</v>
      </c>
      <c r="D139" s="8" t="s">
        <v>170</v>
      </c>
      <c r="E139" s="6" t="s">
        <v>866</v>
      </c>
      <c r="F139" s="6" t="s">
        <v>870</v>
      </c>
    </row>
    <row r="140" customFormat="false" ht="91" hidden="false" customHeight="false" outlineLevel="0" collapsed="false">
      <c r="A140" s="5" t="s">
        <v>56</v>
      </c>
      <c r="B140" s="6" t="s">
        <v>864</v>
      </c>
      <c r="C140" s="5" t="n">
        <v>-16.9</v>
      </c>
      <c r="D140" s="8" t="s">
        <v>170</v>
      </c>
      <c r="E140" s="6" t="s">
        <v>866</v>
      </c>
      <c r="F140" s="6" t="s">
        <v>867</v>
      </c>
    </row>
    <row r="141" customFormat="false" ht="113.4" hidden="false" customHeight="false" outlineLevel="0" collapsed="false">
      <c r="A141" s="5" t="s">
        <v>56</v>
      </c>
      <c r="B141" s="6" t="s">
        <v>872</v>
      </c>
      <c r="C141" s="5" t="n">
        <v>20</v>
      </c>
      <c r="D141" s="8" t="s">
        <v>170</v>
      </c>
      <c r="E141" s="6" t="s">
        <v>866</v>
      </c>
      <c r="F141" s="6" t="s">
        <v>873</v>
      </c>
    </row>
    <row r="142" customFormat="false" ht="46.25" hidden="false" customHeight="false" outlineLevel="0" collapsed="false">
      <c r="A142" s="5" t="s">
        <v>56</v>
      </c>
      <c r="B142" s="6" t="s">
        <v>875</v>
      </c>
      <c r="C142" s="5" t="n">
        <v>716</v>
      </c>
      <c r="D142" s="8" t="s">
        <v>170</v>
      </c>
      <c r="E142" s="6" t="s">
        <v>866</v>
      </c>
      <c r="F142" s="6" t="s">
        <v>876</v>
      </c>
    </row>
    <row r="143" customFormat="false" ht="91" hidden="false" customHeight="false" outlineLevel="0" collapsed="false">
      <c r="A143" s="5" t="s">
        <v>56</v>
      </c>
      <c r="B143" s="6" t="s">
        <v>887</v>
      </c>
      <c r="C143" s="5" t="n">
        <v>0.449</v>
      </c>
      <c r="D143" s="8" t="s">
        <v>170</v>
      </c>
      <c r="E143" s="6" t="s">
        <v>880</v>
      </c>
      <c r="F143" s="6" t="s">
        <v>889</v>
      </c>
    </row>
    <row r="144" customFormat="false" ht="79.85" hidden="false" customHeight="false" outlineLevel="0" collapsed="false">
      <c r="A144" s="5" t="s">
        <v>56</v>
      </c>
      <c r="B144" s="6" t="s">
        <v>883</v>
      </c>
      <c r="C144" s="5" t="n">
        <v>5686</v>
      </c>
      <c r="D144" s="8" t="s">
        <v>170</v>
      </c>
      <c r="E144" s="6" t="s">
        <v>880</v>
      </c>
      <c r="F144" s="6" t="s">
        <v>885</v>
      </c>
    </row>
    <row r="145" customFormat="false" ht="91" hidden="false" customHeight="false" outlineLevel="0" collapsed="false">
      <c r="A145" s="5" t="s">
        <v>56</v>
      </c>
      <c r="B145" s="6" t="s">
        <v>878</v>
      </c>
      <c r="C145" s="5" t="n">
        <v>0.039</v>
      </c>
      <c r="D145" s="8" t="s">
        <v>170</v>
      </c>
      <c r="E145" s="6" t="s">
        <v>880</v>
      </c>
      <c r="F145" s="6" t="s">
        <v>881</v>
      </c>
    </row>
    <row r="146" customFormat="false" ht="79.85" hidden="false" customHeight="false" outlineLevel="0" collapsed="false">
      <c r="A146" s="5" t="s">
        <v>56</v>
      </c>
      <c r="B146" s="6" t="s">
        <v>915</v>
      </c>
      <c r="C146" s="5" t="n">
        <v>1.54</v>
      </c>
      <c r="D146" s="8" t="s">
        <v>170</v>
      </c>
      <c r="E146" s="6" t="s">
        <v>917</v>
      </c>
      <c r="F146" s="6" t="s">
        <v>918</v>
      </c>
    </row>
    <row r="147" customFormat="false" ht="124.6" hidden="false" customHeight="false" outlineLevel="0" collapsed="false">
      <c r="A147" s="5" t="s">
        <v>56</v>
      </c>
      <c r="B147" s="6" t="s">
        <v>920</v>
      </c>
      <c r="C147" s="5" t="n">
        <v>1.03</v>
      </c>
      <c r="D147" s="8" t="s">
        <v>170</v>
      </c>
      <c r="E147" s="6" t="s">
        <v>917</v>
      </c>
      <c r="F147" s="6" t="s">
        <v>921</v>
      </c>
    </row>
    <row r="148" customFormat="false" ht="102.2" hidden="false" customHeight="false" outlineLevel="0" collapsed="false">
      <c r="A148" s="5" t="s">
        <v>56</v>
      </c>
      <c r="B148" s="6" t="s">
        <v>939</v>
      </c>
      <c r="C148" s="5" t="n">
        <v>0.723</v>
      </c>
      <c r="D148" s="8" t="s">
        <v>170</v>
      </c>
      <c r="E148" s="6" t="s">
        <v>941</v>
      </c>
      <c r="F148" s="6" t="s">
        <v>942</v>
      </c>
    </row>
    <row r="149" customFormat="false" ht="113.4" hidden="false" customHeight="false" outlineLevel="0" collapsed="false">
      <c r="A149" s="5" t="s">
        <v>56</v>
      </c>
      <c r="B149" s="6" t="s">
        <v>953</v>
      </c>
      <c r="C149" s="5" t="n">
        <v>0.615</v>
      </c>
      <c r="D149" s="8" t="s">
        <v>170</v>
      </c>
      <c r="E149" s="6" t="s">
        <v>941</v>
      </c>
      <c r="F149" s="6" t="s">
        <v>954</v>
      </c>
    </row>
    <row r="150" customFormat="false" ht="79.85" hidden="false" customHeight="false" outlineLevel="0" collapsed="false">
      <c r="A150" s="5" t="s">
        <v>56</v>
      </c>
      <c r="B150" s="6" t="s">
        <v>944</v>
      </c>
      <c r="C150" s="5" t="n">
        <v>3.34</v>
      </c>
      <c r="D150" s="8" t="s">
        <v>170</v>
      </c>
      <c r="E150" s="6" t="s">
        <v>941</v>
      </c>
      <c r="F150" s="6" t="s">
        <v>945</v>
      </c>
    </row>
    <row r="151" customFormat="false" ht="91" hidden="false" customHeight="false" outlineLevel="0" collapsed="false">
      <c r="A151" s="5" t="s">
        <v>56</v>
      </c>
      <c r="B151" s="6" t="s">
        <v>950</v>
      </c>
      <c r="C151" s="5" t="n">
        <v>0.703</v>
      </c>
      <c r="D151" s="8" t="s">
        <v>170</v>
      </c>
      <c r="E151" s="6" t="s">
        <v>941</v>
      </c>
      <c r="F151" s="6" t="s">
        <v>951</v>
      </c>
    </row>
    <row r="152" customFormat="false" ht="57.45" hidden="false" customHeight="false" outlineLevel="0" collapsed="false">
      <c r="A152" s="5" t="s">
        <v>56</v>
      </c>
      <c r="B152" s="6" t="s">
        <v>978</v>
      </c>
      <c r="C152" s="5" t="n">
        <v>0.667</v>
      </c>
      <c r="D152" s="8" t="s">
        <v>170</v>
      </c>
      <c r="E152" s="6" t="s">
        <v>941</v>
      </c>
      <c r="F152" s="6" t="s">
        <v>979</v>
      </c>
    </row>
    <row r="153" customFormat="false" ht="35.05" hidden="false" customHeight="false" outlineLevel="0" collapsed="false">
      <c r="A153" s="5" t="s">
        <v>56</v>
      </c>
      <c r="B153" s="6" t="s">
        <v>981</v>
      </c>
      <c r="C153" s="5" t="n">
        <v>0.618</v>
      </c>
      <c r="D153" s="8" t="s">
        <v>170</v>
      </c>
      <c r="E153" s="6" t="s">
        <v>941</v>
      </c>
      <c r="F153" s="6" t="s">
        <v>982</v>
      </c>
    </row>
    <row r="154" customFormat="false" ht="46.25" hidden="false" customHeight="false" outlineLevel="0" collapsed="false">
      <c r="A154" s="5" t="s">
        <v>56</v>
      </c>
      <c r="B154" s="6" t="s">
        <v>932</v>
      </c>
      <c r="C154" s="5" t="n">
        <v>0.0088</v>
      </c>
      <c r="D154" s="8" t="s">
        <v>170</v>
      </c>
      <c r="E154" s="6" t="s">
        <v>925</v>
      </c>
      <c r="F154" s="6" t="s">
        <v>934</v>
      </c>
    </row>
    <row r="155" customFormat="false" ht="68.65" hidden="false" customHeight="false" outlineLevel="0" collapsed="false">
      <c r="A155" s="5" t="s">
        <v>56</v>
      </c>
      <c r="B155" s="6" t="s">
        <v>923</v>
      </c>
      <c r="C155" s="5" t="n">
        <v>0.9999</v>
      </c>
      <c r="D155" s="8" t="s">
        <v>170</v>
      </c>
      <c r="E155" s="6" t="s">
        <v>925</v>
      </c>
      <c r="F155" s="6" t="s">
        <v>926</v>
      </c>
    </row>
    <row r="156" customFormat="false" ht="57.45" hidden="false" customHeight="false" outlineLevel="0" collapsed="false">
      <c r="A156" s="5" t="s">
        <v>56</v>
      </c>
      <c r="B156" s="6" t="s">
        <v>928</v>
      </c>
      <c r="C156" s="5" t="n">
        <v>1</v>
      </c>
      <c r="D156" s="8" t="s">
        <v>170</v>
      </c>
      <c r="E156" s="6" t="s">
        <v>925</v>
      </c>
      <c r="F156" s="6" t="s">
        <v>930</v>
      </c>
    </row>
    <row r="157" customFormat="false" ht="68.65" hidden="false" customHeight="false" outlineLevel="0" collapsed="false">
      <c r="A157" s="5" t="s">
        <v>56</v>
      </c>
      <c r="B157" s="6" t="s">
        <v>936</v>
      </c>
      <c r="C157" s="5" t="n">
        <v>0.9929</v>
      </c>
      <c r="D157" s="8" t="s">
        <v>170</v>
      </c>
      <c r="E157" s="6" t="s">
        <v>925</v>
      </c>
      <c r="F157" s="6" t="s">
        <v>937</v>
      </c>
    </row>
    <row r="158" customFormat="false" ht="46.25" hidden="false" customHeight="false" outlineLevel="0" collapsed="false">
      <c r="A158" s="5" t="s">
        <v>56</v>
      </c>
      <c r="B158" s="6" t="s">
        <v>855</v>
      </c>
      <c r="C158" s="5" t="n">
        <v>-9.1</v>
      </c>
      <c r="D158" s="8" t="s">
        <v>170</v>
      </c>
      <c r="E158" s="6" t="s">
        <v>825</v>
      </c>
      <c r="F158" s="6" t="s">
        <v>856</v>
      </c>
    </row>
    <row r="159" customFormat="false" ht="46.25" hidden="false" customHeight="false" outlineLevel="0" collapsed="false">
      <c r="A159" s="5" t="s">
        <v>56</v>
      </c>
      <c r="B159" s="6" t="s">
        <v>995</v>
      </c>
      <c r="C159" s="5" t="n">
        <v>32.7</v>
      </c>
      <c r="D159" s="8" t="s">
        <v>170</v>
      </c>
      <c r="E159" s="6" t="s">
        <v>825</v>
      </c>
      <c r="F159" s="6" t="s">
        <v>988</v>
      </c>
    </row>
    <row r="160" customFormat="false" ht="57.45" hidden="false" customHeight="false" outlineLevel="0" collapsed="false">
      <c r="A160" s="5" t="s">
        <v>56</v>
      </c>
      <c r="B160" s="6" t="s">
        <v>992</v>
      </c>
      <c r="C160" s="5" t="n">
        <v>22.8</v>
      </c>
      <c r="D160" s="8" t="s">
        <v>170</v>
      </c>
      <c r="E160" s="6" t="s">
        <v>825</v>
      </c>
      <c r="F160" s="6" t="s">
        <v>993</v>
      </c>
    </row>
    <row r="161" customFormat="false" ht="35.05" hidden="false" customHeight="false" outlineLevel="0" collapsed="false">
      <c r="A161" s="5" t="s">
        <v>56</v>
      </c>
      <c r="B161" s="6" t="s">
        <v>851</v>
      </c>
      <c r="C161" s="5" t="n">
        <v>1931085</v>
      </c>
      <c r="D161" s="8" t="s">
        <v>170</v>
      </c>
      <c r="E161" s="6" t="s">
        <v>825</v>
      </c>
      <c r="F161" s="6" t="s">
        <v>853</v>
      </c>
    </row>
    <row r="162" customFormat="false" ht="35.05" hidden="false" customHeight="false" outlineLevel="0" collapsed="false">
      <c r="A162" s="5" t="s">
        <v>56</v>
      </c>
      <c r="B162" s="6" t="s">
        <v>997</v>
      </c>
      <c r="C162" s="5" t="n">
        <v>1.6</v>
      </c>
      <c r="D162" s="8" t="s">
        <v>170</v>
      </c>
      <c r="E162" s="6" t="s">
        <v>825</v>
      </c>
      <c r="F162" s="6" t="s">
        <v>998</v>
      </c>
    </row>
    <row r="163" customFormat="false" ht="46.25" hidden="false" customHeight="false" outlineLevel="0" collapsed="false">
      <c r="A163" s="5" t="s">
        <v>56</v>
      </c>
      <c r="B163" s="6" t="s">
        <v>990</v>
      </c>
      <c r="C163" s="5" t="n">
        <v>34.8</v>
      </c>
      <c r="D163" s="8" t="s">
        <v>170</v>
      </c>
      <c r="E163" s="6" t="s">
        <v>825</v>
      </c>
      <c r="F163" s="6" t="s">
        <v>988</v>
      </c>
    </row>
    <row r="164" customFormat="false" ht="46.25" hidden="false" customHeight="false" outlineLevel="0" collapsed="false">
      <c r="A164" s="5" t="s">
        <v>56</v>
      </c>
      <c r="B164" s="6" t="s">
        <v>987</v>
      </c>
      <c r="C164" s="5" t="n">
        <v>19.8</v>
      </c>
      <c r="D164" s="8" t="s">
        <v>170</v>
      </c>
      <c r="E164" s="6" t="s">
        <v>825</v>
      </c>
      <c r="F164" s="6" t="s">
        <v>988</v>
      </c>
    </row>
    <row r="165" customFormat="false" ht="91" hidden="false" customHeight="false" outlineLevel="0" collapsed="false">
      <c r="A165" s="5" t="s">
        <v>56</v>
      </c>
      <c r="B165" s="6" t="s">
        <v>984</v>
      </c>
      <c r="C165" s="5" t="n">
        <v>1.75</v>
      </c>
      <c r="D165" s="8" t="s">
        <v>170</v>
      </c>
      <c r="E165" s="6" t="s">
        <v>825</v>
      </c>
      <c r="F165" s="6" t="s">
        <v>985</v>
      </c>
    </row>
    <row r="166" customFormat="false" ht="91" hidden="false" customHeight="false" outlineLevel="0" collapsed="false">
      <c r="A166" s="5" t="s">
        <v>56</v>
      </c>
      <c r="B166" s="6" t="s">
        <v>901</v>
      </c>
      <c r="C166" s="5" t="n">
        <v>12.9</v>
      </c>
      <c r="D166" s="8" t="s">
        <v>170</v>
      </c>
      <c r="E166" s="6" t="s">
        <v>903</v>
      </c>
      <c r="F166" s="6" t="s">
        <v>904</v>
      </c>
    </row>
    <row r="167" customFormat="false" ht="102.2" hidden="false" customHeight="false" outlineLevel="0" collapsed="false">
      <c r="A167" s="5" t="s">
        <v>56</v>
      </c>
      <c r="B167" s="6" t="s">
        <v>906</v>
      </c>
      <c r="C167" s="5" t="n">
        <v>2.3</v>
      </c>
      <c r="D167" s="8" t="s">
        <v>170</v>
      </c>
      <c r="E167" s="6" t="s">
        <v>903</v>
      </c>
      <c r="F167" s="6" t="s">
        <v>907</v>
      </c>
    </row>
    <row r="168" customFormat="false" ht="79.85" hidden="false" customHeight="false" outlineLevel="0" collapsed="false">
      <c r="A168" s="5" t="s">
        <v>56</v>
      </c>
      <c r="B168" s="6" t="s">
        <v>843</v>
      </c>
      <c r="C168" s="5" t="n">
        <v>6759930</v>
      </c>
      <c r="D168" s="8" t="s">
        <v>170</v>
      </c>
      <c r="E168" s="6" t="s">
        <v>825</v>
      </c>
      <c r="F168" s="6" t="s">
        <v>845</v>
      </c>
    </row>
    <row r="169" customFormat="false" ht="79.85" hidden="false" customHeight="false" outlineLevel="0" collapsed="false">
      <c r="A169" s="5" t="s">
        <v>56</v>
      </c>
      <c r="B169" s="6" t="s">
        <v>832</v>
      </c>
      <c r="C169" s="5" t="n">
        <v>5</v>
      </c>
      <c r="D169" s="8" t="s">
        <v>170</v>
      </c>
      <c r="E169" s="6" t="s">
        <v>825</v>
      </c>
      <c r="F169" s="6" t="s">
        <v>834</v>
      </c>
    </row>
    <row r="170" customFormat="false" ht="91" hidden="false" customHeight="false" outlineLevel="0" collapsed="false">
      <c r="A170" s="5" t="s">
        <v>56</v>
      </c>
      <c r="B170" s="6" t="s">
        <v>829</v>
      </c>
      <c r="C170" s="5" t="n">
        <v>27.8</v>
      </c>
      <c r="D170" s="8" t="s">
        <v>170</v>
      </c>
      <c r="E170" s="6" t="s">
        <v>825</v>
      </c>
      <c r="F170" s="6" t="s">
        <v>830</v>
      </c>
    </row>
    <row r="171" customFormat="false" ht="91" hidden="false" customHeight="false" outlineLevel="0" collapsed="false">
      <c r="A171" s="5" t="s">
        <v>56</v>
      </c>
      <c r="B171" s="6" t="s">
        <v>839</v>
      </c>
      <c r="C171" s="5" t="n">
        <v>1.84</v>
      </c>
      <c r="D171" s="8" t="s">
        <v>170</v>
      </c>
      <c r="E171" s="6" t="s">
        <v>825</v>
      </c>
      <c r="F171" s="6" t="s">
        <v>841</v>
      </c>
    </row>
    <row r="172" customFormat="false" ht="102.2" hidden="false" customHeight="false" outlineLevel="0" collapsed="false">
      <c r="A172" s="5" t="s">
        <v>56</v>
      </c>
      <c r="B172" s="6" t="s">
        <v>847</v>
      </c>
      <c r="C172" s="5" t="n">
        <v>21.5</v>
      </c>
      <c r="D172" s="8" t="s">
        <v>170</v>
      </c>
      <c r="E172" s="6" t="s">
        <v>825</v>
      </c>
      <c r="F172" s="6" t="s">
        <v>849</v>
      </c>
    </row>
    <row r="173" customFormat="false" ht="79.85" hidden="false" customHeight="false" outlineLevel="0" collapsed="false">
      <c r="A173" s="5" t="s">
        <v>56</v>
      </c>
      <c r="B173" s="6" t="s">
        <v>823</v>
      </c>
      <c r="C173" s="5" t="n">
        <v>18.2</v>
      </c>
      <c r="D173" s="8" t="s">
        <v>170</v>
      </c>
      <c r="E173" s="6" t="s">
        <v>825</v>
      </c>
      <c r="F173" s="6" t="s">
        <v>827</v>
      </c>
    </row>
    <row r="174" customFormat="false" ht="79.85" hidden="false" customHeight="false" outlineLevel="0" collapsed="false">
      <c r="A174" s="5" t="s">
        <v>56</v>
      </c>
      <c r="B174" s="6" t="s">
        <v>836</v>
      </c>
      <c r="C174" s="5" t="n">
        <v>15.1</v>
      </c>
      <c r="D174" s="8" t="s">
        <v>170</v>
      </c>
      <c r="E174" s="6" t="s">
        <v>825</v>
      </c>
      <c r="F174" s="6" t="s">
        <v>837</v>
      </c>
    </row>
    <row r="175" customFormat="false" ht="46.25" hidden="false" customHeight="false" outlineLevel="0" collapsed="false">
      <c r="A175" s="5" t="s">
        <v>56</v>
      </c>
      <c r="B175" s="6" t="s">
        <v>858</v>
      </c>
      <c r="C175" s="5" t="n">
        <v>2124429</v>
      </c>
      <c r="D175" s="7" t="s">
        <v>42</v>
      </c>
      <c r="E175" s="6" t="s">
        <v>3948</v>
      </c>
      <c r="F175" s="6" t="s">
        <v>862</v>
      </c>
    </row>
    <row r="176" customFormat="false" ht="57.45" hidden="false" customHeight="false" outlineLevel="0" collapsed="false">
      <c r="A176" s="5" t="s">
        <v>56</v>
      </c>
      <c r="B176" s="6" t="s">
        <v>912</v>
      </c>
      <c r="C176" s="5" t="n">
        <v>30.9</v>
      </c>
      <c r="D176" s="8" t="s">
        <v>170</v>
      </c>
      <c r="E176" s="6" t="s">
        <v>903</v>
      </c>
      <c r="F176" s="6" t="s">
        <v>913</v>
      </c>
    </row>
    <row r="177" customFormat="false" ht="102.2" hidden="false" customHeight="false" outlineLevel="0" collapsed="false">
      <c r="A177" s="5" t="s">
        <v>56</v>
      </c>
      <c r="B177" s="6" t="s">
        <v>909</v>
      </c>
      <c r="C177" s="5" t="n">
        <v>3.89</v>
      </c>
      <c r="D177" s="8" t="s">
        <v>170</v>
      </c>
      <c r="E177" s="6" t="s">
        <v>903</v>
      </c>
      <c r="F177" s="6" t="s">
        <v>910</v>
      </c>
    </row>
    <row r="178" customFormat="false" ht="23.85" hidden="false" customHeight="false" outlineLevel="0" collapsed="false">
      <c r="A178" s="5" t="s">
        <v>56</v>
      </c>
      <c r="B178" s="6" t="s">
        <v>216</v>
      </c>
      <c r="C178" s="5" t="n">
        <v>60</v>
      </c>
      <c r="D178" s="8" t="s">
        <v>170</v>
      </c>
      <c r="E178" s="6" t="s">
        <v>210</v>
      </c>
      <c r="F178" s="6" t="s">
        <v>218</v>
      </c>
    </row>
    <row r="179" customFormat="false" ht="23.85" hidden="false" customHeight="false" outlineLevel="0" collapsed="false">
      <c r="A179" s="5" t="s">
        <v>56</v>
      </c>
      <c r="B179" s="6" t="s">
        <v>213</v>
      </c>
      <c r="C179" s="5" t="n">
        <v>90</v>
      </c>
      <c r="D179" s="8" t="s">
        <v>170</v>
      </c>
      <c r="E179" s="6" t="s">
        <v>210</v>
      </c>
      <c r="F179" s="6" t="s">
        <v>214</v>
      </c>
    </row>
    <row r="180" customFormat="false" ht="15" hidden="false" customHeight="false" outlineLevel="0" collapsed="false">
      <c r="A180" s="5" t="s">
        <v>56</v>
      </c>
      <c r="B180" s="6" t="s">
        <v>220</v>
      </c>
      <c r="C180" s="5" t="n">
        <v>68</v>
      </c>
      <c r="D180" s="8" t="s">
        <v>170</v>
      </c>
      <c r="E180" s="6" t="s">
        <v>210</v>
      </c>
      <c r="F180" s="6" t="s">
        <v>221</v>
      </c>
    </row>
    <row r="181" customFormat="false" ht="46.25" hidden="false" customHeight="false" outlineLevel="0" collapsed="false">
      <c r="A181" s="5" t="s">
        <v>56</v>
      </c>
      <c r="B181" s="6" t="s">
        <v>99</v>
      </c>
      <c r="C181" s="5"/>
      <c r="D181" s="7" t="s">
        <v>42</v>
      </c>
      <c r="E181" s="6" t="s">
        <v>3949</v>
      </c>
      <c r="F181" s="6" t="s">
        <v>101</v>
      </c>
    </row>
    <row r="182" customFormat="false" ht="91" hidden="false" customHeight="false" outlineLevel="0" collapsed="false">
      <c r="A182" s="5" t="s">
        <v>56</v>
      </c>
      <c r="B182" s="6" t="s">
        <v>1011</v>
      </c>
      <c r="C182" s="5" t="n">
        <v>16.73</v>
      </c>
      <c r="D182" s="8" t="s">
        <v>170</v>
      </c>
      <c r="E182" s="6" t="s">
        <v>1001</v>
      </c>
      <c r="F182" s="6" t="s">
        <v>1009</v>
      </c>
    </row>
    <row r="183" customFormat="false" ht="23.85" hidden="false" customHeight="false" outlineLevel="0" collapsed="false">
      <c r="A183" s="5" t="s">
        <v>56</v>
      </c>
      <c r="B183" s="6" t="s">
        <v>313</v>
      </c>
      <c r="C183" s="5" t="n">
        <v>2.7</v>
      </c>
      <c r="D183" s="8" t="s">
        <v>170</v>
      </c>
      <c r="E183" s="6" t="s">
        <v>314</v>
      </c>
      <c r="F183" s="6" t="s">
        <v>315</v>
      </c>
    </row>
    <row r="184" customFormat="false" ht="46.25" hidden="false" customHeight="false" outlineLevel="0" collapsed="false">
      <c r="A184" s="5" t="s">
        <v>56</v>
      </c>
      <c r="B184" s="6" t="s">
        <v>356</v>
      </c>
      <c r="C184" s="5" t="n">
        <v>68</v>
      </c>
      <c r="D184" s="8" t="s">
        <v>170</v>
      </c>
      <c r="E184" s="6" t="s">
        <v>357</v>
      </c>
      <c r="F184" s="6" t="s">
        <v>358</v>
      </c>
    </row>
    <row r="185" customFormat="false" ht="102.2" hidden="false" customHeight="false" outlineLevel="0" collapsed="false">
      <c r="A185" s="5" t="s">
        <v>56</v>
      </c>
      <c r="B185" s="6" t="s">
        <v>891</v>
      </c>
      <c r="C185" s="5" t="n">
        <v>7.97</v>
      </c>
      <c r="D185" s="8" t="s">
        <v>170</v>
      </c>
      <c r="E185" s="6" t="s">
        <v>892</v>
      </c>
      <c r="F185" s="6" t="s">
        <v>893</v>
      </c>
    </row>
    <row r="186" customFormat="false" ht="68.65" hidden="false" customHeight="false" outlineLevel="0" collapsed="false">
      <c r="A186" s="5" t="s">
        <v>56</v>
      </c>
      <c r="B186" s="6" t="s">
        <v>966</v>
      </c>
      <c r="C186" s="5" t="n">
        <v>-0.14</v>
      </c>
      <c r="D186" s="8" t="s">
        <v>170</v>
      </c>
      <c r="E186" s="6" t="s">
        <v>892</v>
      </c>
      <c r="F186" s="6" t="s">
        <v>967</v>
      </c>
    </row>
    <row r="187" customFormat="false" ht="68.65" hidden="false" customHeight="false" outlineLevel="0" collapsed="false">
      <c r="A187" s="5" t="s">
        <v>56</v>
      </c>
      <c r="B187" s="6" t="s">
        <v>898</v>
      </c>
      <c r="C187" s="5" t="n">
        <v>6.83</v>
      </c>
      <c r="D187" s="8" t="s">
        <v>170</v>
      </c>
      <c r="E187" s="6" t="s">
        <v>892</v>
      </c>
      <c r="F187" s="6" t="s">
        <v>899</v>
      </c>
    </row>
    <row r="188" customFormat="false" ht="91" hidden="false" customHeight="false" outlineLevel="0" collapsed="false">
      <c r="A188" s="5" t="s">
        <v>56</v>
      </c>
      <c r="B188" s="6" t="s">
        <v>969</v>
      </c>
      <c r="C188" s="5" t="n">
        <v>6.19</v>
      </c>
      <c r="D188" s="8" t="s">
        <v>170</v>
      </c>
      <c r="E188" s="6" t="s">
        <v>892</v>
      </c>
      <c r="F188" s="6" t="s">
        <v>970</v>
      </c>
    </row>
    <row r="189" customFormat="false" ht="91" hidden="false" customHeight="false" outlineLevel="0" collapsed="false">
      <c r="A189" s="5" t="s">
        <v>56</v>
      </c>
      <c r="B189" s="6" t="s">
        <v>975</v>
      </c>
      <c r="C189" s="5" t="n">
        <v>8.77</v>
      </c>
      <c r="D189" s="8" t="s">
        <v>170</v>
      </c>
      <c r="E189" s="6" t="s">
        <v>892</v>
      </c>
      <c r="F189" s="6" t="s">
        <v>976</v>
      </c>
    </row>
    <row r="190" customFormat="false" ht="91" hidden="false" customHeight="false" outlineLevel="0" collapsed="false">
      <c r="A190" s="5" t="s">
        <v>56</v>
      </c>
      <c r="B190" s="6" t="s">
        <v>972</v>
      </c>
      <c r="C190" s="5" t="n">
        <v>7.49</v>
      </c>
      <c r="D190" s="8" t="s">
        <v>170</v>
      </c>
      <c r="E190" s="6" t="s">
        <v>892</v>
      </c>
      <c r="F190" s="6" t="s">
        <v>973</v>
      </c>
    </row>
    <row r="191" customFormat="false" ht="79.85" hidden="false" customHeight="false" outlineLevel="0" collapsed="false">
      <c r="A191" s="5" t="s">
        <v>56</v>
      </c>
      <c r="B191" s="6" t="s">
        <v>895</v>
      </c>
      <c r="C191" s="5" t="n">
        <v>8.85</v>
      </c>
      <c r="D191" s="8" t="s">
        <v>170</v>
      </c>
      <c r="E191" s="6" t="s">
        <v>892</v>
      </c>
      <c r="F191" s="6" t="s">
        <v>896</v>
      </c>
    </row>
    <row r="192" customFormat="false" ht="68.65" hidden="false" customHeight="false" outlineLevel="0" collapsed="false">
      <c r="A192" s="5" t="s">
        <v>2454</v>
      </c>
      <c r="B192" s="6" t="s">
        <v>2516</v>
      </c>
      <c r="C192" s="5"/>
      <c r="D192" s="7" t="s">
        <v>42</v>
      </c>
      <c r="E192" s="6" t="s">
        <v>3950</v>
      </c>
      <c r="F192" s="6" t="s">
        <v>2519</v>
      </c>
    </row>
    <row r="193" customFormat="false" ht="68.65" hidden="false" customHeight="false" outlineLevel="0" collapsed="false">
      <c r="A193" s="5" t="s">
        <v>386</v>
      </c>
      <c r="B193" s="6" t="s">
        <v>394</v>
      </c>
      <c r="C193" s="5" t="n">
        <v>15</v>
      </c>
      <c r="D193" s="7" t="s">
        <v>42</v>
      </c>
      <c r="E193" s="6" t="s">
        <v>3951</v>
      </c>
      <c r="F193" s="6" t="s">
        <v>397</v>
      </c>
    </row>
    <row r="194" customFormat="false" ht="91" hidden="false" customHeight="false" outlineLevel="0" collapsed="false">
      <c r="A194" s="5" t="s">
        <v>386</v>
      </c>
      <c r="B194" s="6" t="s">
        <v>381</v>
      </c>
      <c r="C194" s="5"/>
      <c r="D194" s="7" t="s">
        <v>42</v>
      </c>
      <c r="E194" s="6" t="s">
        <v>3952</v>
      </c>
      <c r="F194" s="6" t="s">
        <v>385</v>
      </c>
    </row>
    <row r="195" customFormat="false" ht="57.45" hidden="false" customHeight="false" outlineLevel="0" collapsed="false">
      <c r="A195" s="5" t="s">
        <v>1932</v>
      </c>
      <c r="B195" s="6" t="s">
        <v>1989</v>
      </c>
      <c r="C195" s="5" t="n">
        <v>19</v>
      </c>
      <c r="D195" s="7" t="s">
        <v>42</v>
      </c>
      <c r="E195" s="6" t="s">
        <v>3953</v>
      </c>
      <c r="F195" s="6" t="s">
        <v>1993</v>
      </c>
    </row>
    <row r="196" customFormat="false" ht="57.45" hidden="false" customHeight="false" outlineLevel="0" collapsed="false">
      <c r="A196" s="5" t="s">
        <v>1932</v>
      </c>
      <c r="B196" s="6" t="s">
        <v>2000</v>
      </c>
      <c r="C196" s="5" t="n">
        <v>4</v>
      </c>
      <c r="D196" s="7" t="s">
        <v>42</v>
      </c>
      <c r="E196" s="6" t="s">
        <v>3954</v>
      </c>
      <c r="F196" s="6" t="s">
        <v>1993</v>
      </c>
    </row>
    <row r="197" customFormat="false" ht="79.85" hidden="false" customHeight="false" outlineLevel="0" collapsed="false">
      <c r="A197" s="5" t="s">
        <v>1932</v>
      </c>
      <c r="B197" s="6" t="s">
        <v>2010</v>
      </c>
      <c r="C197" s="5" t="n">
        <v>-6.1</v>
      </c>
      <c r="D197" s="7" t="s">
        <v>42</v>
      </c>
      <c r="E197" s="6" t="s">
        <v>3955</v>
      </c>
      <c r="F197" s="6" t="s">
        <v>2011</v>
      </c>
    </row>
    <row r="198" customFormat="false" ht="57.45" hidden="false" customHeight="false" outlineLevel="0" collapsed="false">
      <c r="A198" s="5" t="s">
        <v>1932</v>
      </c>
      <c r="B198" s="6" t="s">
        <v>1995</v>
      </c>
      <c r="C198" s="5" t="n">
        <v>28609</v>
      </c>
      <c r="D198" s="7" t="s">
        <v>42</v>
      </c>
      <c r="E198" s="6" t="s">
        <v>3954</v>
      </c>
      <c r="F198" s="6" t="s">
        <v>1993</v>
      </c>
    </row>
    <row r="199" customFormat="false" ht="57.45" hidden="false" customHeight="false" outlineLevel="0" collapsed="false">
      <c r="A199" s="5" t="s">
        <v>1932</v>
      </c>
      <c r="B199" s="6" t="s">
        <v>2005</v>
      </c>
      <c r="C199" s="5" t="n">
        <v>26942</v>
      </c>
      <c r="D199" s="7" t="s">
        <v>42</v>
      </c>
      <c r="E199" s="6" t="s">
        <v>3955</v>
      </c>
      <c r="F199" s="6" t="s">
        <v>1993</v>
      </c>
    </row>
    <row r="200" customFormat="false" ht="57.45" hidden="false" customHeight="false" outlineLevel="0" collapsed="false">
      <c r="A200" s="5" t="s">
        <v>1932</v>
      </c>
      <c r="B200" s="6" t="s">
        <v>2013</v>
      </c>
      <c r="C200" s="5" t="n">
        <v>26786</v>
      </c>
      <c r="D200" s="7" t="s">
        <v>42</v>
      </c>
      <c r="E200" s="6" t="s">
        <v>3955</v>
      </c>
      <c r="F200" s="6" t="s">
        <v>1993</v>
      </c>
    </row>
    <row r="201" customFormat="false" ht="57.45" hidden="false" customHeight="false" outlineLevel="0" collapsed="false">
      <c r="A201" s="5" t="s">
        <v>1932</v>
      </c>
      <c r="B201" s="6" t="s">
        <v>2016</v>
      </c>
      <c r="C201" s="5" t="n">
        <v>27612</v>
      </c>
      <c r="D201" s="7" t="s">
        <v>42</v>
      </c>
      <c r="E201" s="6" t="s">
        <v>3956</v>
      </c>
      <c r="F201" s="6" t="s">
        <v>1993</v>
      </c>
    </row>
    <row r="202" customFormat="false" ht="57.45" hidden="false" customHeight="false" outlineLevel="0" collapsed="false">
      <c r="A202" s="5" t="s">
        <v>1932</v>
      </c>
      <c r="B202" s="6" t="s">
        <v>2002</v>
      </c>
      <c r="C202" s="5" t="n">
        <v>29333</v>
      </c>
      <c r="D202" s="7" t="s">
        <v>42</v>
      </c>
      <c r="E202" s="6" t="s">
        <v>3954</v>
      </c>
      <c r="F202" s="6" t="s">
        <v>1993</v>
      </c>
    </row>
    <row r="203" customFormat="false" ht="46.25" hidden="false" customHeight="false" outlineLevel="0" collapsed="false">
      <c r="A203" s="5" t="s">
        <v>2922</v>
      </c>
      <c r="B203" s="6" t="s">
        <v>2956</v>
      </c>
      <c r="C203" s="5" t="n">
        <v>26.08</v>
      </c>
      <c r="D203" s="7" t="s">
        <v>42</v>
      </c>
      <c r="E203" s="6" t="s">
        <v>3957</v>
      </c>
      <c r="F203" s="6" t="s">
        <v>2961</v>
      </c>
    </row>
    <row r="204" customFormat="false" ht="23.85" hidden="false" customHeight="false" outlineLevel="0" collapsed="false">
      <c r="A204" s="5" t="s">
        <v>2922</v>
      </c>
      <c r="B204" s="6" t="s">
        <v>2963</v>
      </c>
      <c r="C204" s="5" t="n">
        <v>10.3</v>
      </c>
      <c r="D204" s="7" t="s">
        <v>42</v>
      </c>
      <c r="E204" s="6" t="s">
        <v>3958</v>
      </c>
      <c r="F204" s="6" t="s">
        <v>2965</v>
      </c>
    </row>
    <row r="205" customFormat="false" ht="46.25" hidden="false" customHeight="false" outlineLevel="0" collapsed="false">
      <c r="A205" s="5" t="s">
        <v>2922</v>
      </c>
      <c r="B205" s="6" t="s">
        <v>2992</v>
      </c>
      <c r="C205" s="5" t="n">
        <v>-7.2</v>
      </c>
      <c r="D205" s="7" t="s">
        <v>42</v>
      </c>
      <c r="E205" s="6" t="s">
        <v>3959</v>
      </c>
      <c r="F205" s="6" t="s">
        <v>2994</v>
      </c>
    </row>
    <row r="206" customFormat="false" ht="46.25" hidden="false" customHeight="false" outlineLevel="0" collapsed="false">
      <c r="A206" s="5" t="s">
        <v>2922</v>
      </c>
      <c r="B206" s="6" t="s">
        <v>2986</v>
      </c>
      <c r="C206" s="5" t="n">
        <v>-1.5</v>
      </c>
      <c r="D206" s="7" t="s">
        <v>42</v>
      </c>
      <c r="E206" s="6" t="s">
        <v>3960</v>
      </c>
      <c r="F206" s="6" t="s">
        <v>2990</v>
      </c>
    </row>
    <row r="207" customFormat="false" ht="57.45" hidden="false" customHeight="false" outlineLevel="0" collapsed="false">
      <c r="A207" s="5" t="s">
        <v>2922</v>
      </c>
      <c r="B207" s="6" t="s">
        <v>2967</v>
      </c>
      <c r="C207" s="5" t="n">
        <v>19</v>
      </c>
      <c r="D207" s="7" t="s">
        <v>42</v>
      </c>
      <c r="E207" s="6" t="s">
        <v>3961</v>
      </c>
      <c r="F207" s="6" t="s">
        <v>2972</v>
      </c>
    </row>
    <row r="208" customFormat="false" ht="35.05" hidden="false" customHeight="false" outlineLevel="0" collapsed="false">
      <c r="A208" s="5" t="s">
        <v>2922</v>
      </c>
      <c r="B208" s="6" t="s">
        <v>2981</v>
      </c>
      <c r="C208" s="5" t="n">
        <v>-4</v>
      </c>
      <c r="D208" s="7" t="s">
        <v>42</v>
      </c>
      <c r="E208" s="6" t="s">
        <v>3962</v>
      </c>
      <c r="F208" s="6" t="s">
        <v>2984</v>
      </c>
    </row>
    <row r="209" customFormat="false" ht="57.45" hidden="false" customHeight="false" outlineLevel="0" collapsed="false">
      <c r="A209" s="5" t="s">
        <v>2922</v>
      </c>
      <c r="B209" s="6" t="s">
        <v>2974</v>
      </c>
      <c r="C209" s="5" t="n">
        <v>-18</v>
      </c>
      <c r="D209" s="7" t="s">
        <v>42</v>
      </c>
      <c r="E209" s="6" t="s">
        <v>3963</v>
      </c>
      <c r="F209" s="6" t="s">
        <v>2979</v>
      </c>
    </row>
    <row r="210" customFormat="false" ht="35.05" hidden="false" customHeight="false" outlineLevel="0" collapsed="false">
      <c r="A210" s="5" t="s">
        <v>2922</v>
      </c>
      <c r="B210" s="6" t="s">
        <v>2949</v>
      </c>
      <c r="C210" s="5" t="n">
        <v>55.8</v>
      </c>
      <c r="D210" s="7" t="s">
        <v>42</v>
      </c>
      <c r="E210" s="6" t="s">
        <v>3964</v>
      </c>
      <c r="F210" s="6" t="s">
        <v>2954</v>
      </c>
    </row>
    <row r="211" customFormat="false" ht="57.45" hidden="false" customHeight="false" outlineLevel="0" collapsed="false">
      <c r="A211" s="5" t="s">
        <v>2922</v>
      </c>
      <c r="B211" s="6" t="s">
        <v>2996</v>
      </c>
      <c r="C211" s="5" t="n">
        <v>11</v>
      </c>
      <c r="D211" s="7" t="s">
        <v>42</v>
      </c>
      <c r="E211" s="6" t="s">
        <v>3965</v>
      </c>
      <c r="F211" s="6" t="s">
        <v>3000</v>
      </c>
    </row>
    <row r="212" customFormat="false" ht="57.45" hidden="false" customHeight="false" outlineLevel="0" collapsed="false">
      <c r="A212" s="5" t="s">
        <v>2922</v>
      </c>
      <c r="B212" s="6" t="s">
        <v>3002</v>
      </c>
      <c r="C212" s="5" t="n">
        <v>9</v>
      </c>
      <c r="D212" s="7" t="s">
        <v>42</v>
      </c>
      <c r="E212" s="6" t="s">
        <v>3966</v>
      </c>
      <c r="F212" s="6" t="s">
        <v>3000</v>
      </c>
    </row>
    <row r="213" customFormat="false" ht="57.45" hidden="false" customHeight="false" outlineLevel="0" collapsed="false">
      <c r="A213" s="5" t="s">
        <v>2922</v>
      </c>
      <c r="B213" s="6" t="s">
        <v>3005</v>
      </c>
      <c r="C213" s="5" t="n">
        <v>5</v>
      </c>
      <c r="D213" s="7" t="s">
        <v>42</v>
      </c>
      <c r="E213" s="6" t="s">
        <v>3967</v>
      </c>
      <c r="F213" s="6" t="s">
        <v>3000</v>
      </c>
    </row>
    <row r="214" customFormat="false" ht="91" hidden="false" customHeight="false" outlineLevel="0" collapsed="false">
      <c r="A214" s="5" t="s">
        <v>1498</v>
      </c>
      <c r="B214" s="6" t="s">
        <v>1500</v>
      </c>
      <c r="C214" s="5" t="n">
        <v>2711.9</v>
      </c>
      <c r="D214" s="7" t="s">
        <v>42</v>
      </c>
      <c r="E214" s="6" t="s">
        <v>3968</v>
      </c>
      <c r="F214" s="6" t="s">
        <v>1497</v>
      </c>
    </row>
    <row r="215" customFormat="false" ht="79.85" hidden="false" customHeight="false" outlineLevel="0" collapsed="false">
      <c r="A215" s="5" t="s">
        <v>1498</v>
      </c>
      <c r="B215" s="6" t="s">
        <v>1514</v>
      </c>
      <c r="C215" s="5" t="n">
        <v>3022.4</v>
      </c>
      <c r="D215" s="7" t="s">
        <v>42</v>
      </c>
      <c r="E215" s="6" t="s">
        <v>3969</v>
      </c>
      <c r="F215" s="6" t="s">
        <v>1497</v>
      </c>
    </row>
    <row r="216" customFormat="false" ht="57.45" hidden="false" customHeight="false" outlineLevel="0" collapsed="false">
      <c r="A216" s="5" t="s">
        <v>1498</v>
      </c>
      <c r="B216" s="6" t="s">
        <v>1526</v>
      </c>
      <c r="C216" s="5" t="n">
        <v>3317.1</v>
      </c>
      <c r="D216" s="7" t="s">
        <v>42</v>
      </c>
      <c r="E216" s="6" t="s">
        <v>3970</v>
      </c>
      <c r="F216" s="6" t="s">
        <v>1497</v>
      </c>
    </row>
    <row r="217" customFormat="false" ht="46.25" hidden="false" customHeight="false" outlineLevel="0" collapsed="false">
      <c r="A217" s="5" t="s">
        <v>1498</v>
      </c>
      <c r="B217" s="6" t="s">
        <v>1536</v>
      </c>
      <c r="C217" s="5" t="n">
        <v>3426</v>
      </c>
      <c r="D217" s="7" t="s">
        <v>42</v>
      </c>
      <c r="E217" s="6" t="s">
        <v>3971</v>
      </c>
      <c r="F217" s="6" t="s">
        <v>1497</v>
      </c>
    </row>
    <row r="218" customFormat="false" ht="46.25" hidden="false" customHeight="false" outlineLevel="0" collapsed="false">
      <c r="A218" s="5" t="s">
        <v>1498</v>
      </c>
      <c r="B218" s="6" t="s">
        <v>1548</v>
      </c>
      <c r="C218" s="5" t="n">
        <v>3205.9</v>
      </c>
      <c r="D218" s="7" t="s">
        <v>42</v>
      </c>
      <c r="E218" s="6" t="s">
        <v>3972</v>
      </c>
      <c r="F218" s="6" t="s">
        <v>1497</v>
      </c>
    </row>
    <row r="219" customFormat="false" ht="91" hidden="false" customHeight="false" outlineLevel="0" collapsed="false">
      <c r="A219" s="5" t="s">
        <v>1498</v>
      </c>
      <c r="B219" s="6" t="s">
        <v>1493</v>
      </c>
      <c r="C219" s="5" t="n">
        <v>2814.3</v>
      </c>
      <c r="D219" s="7" t="s">
        <v>42</v>
      </c>
      <c r="E219" s="6" t="s">
        <v>3968</v>
      </c>
      <c r="F219" s="6" t="s">
        <v>1497</v>
      </c>
    </row>
    <row r="220" customFormat="false" ht="79.85" hidden="false" customHeight="false" outlineLevel="0" collapsed="false">
      <c r="A220" s="5" t="s">
        <v>1498</v>
      </c>
      <c r="B220" s="6" t="s">
        <v>1510</v>
      </c>
      <c r="C220" s="5" t="n">
        <v>3097.4</v>
      </c>
      <c r="D220" s="7" t="s">
        <v>42</v>
      </c>
      <c r="E220" s="6" t="s">
        <v>3969</v>
      </c>
      <c r="F220" s="6" t="s">
        <v>1497</v>
      </c>
    </row>
    <row r="221" customFormat="false" ht="57.45" hidden="false" customHeight="false" outlineLevel="0" collapsed="false">
      <c r="A221" s="5" t="s">
        <v>1498</v>
      </c>
      <c r="B221" s="6" t="s">
        <v>1521</v>
      </c>
      <c r="C221" s="5" t="n">
        <v>3378.3</v>
      </c>
      <c r="D221" s="7" t="s">
        <v>42</v>
      </c>
      <c r="E221" s="6" t="s">
        <v>3970</v>
      </c>
      <c r="F221" s="6" t="s">
        <v>1497</v>
      </c>
    </row>
    <row r="222" customFormat="false" ht="46.25" hidden="false" customHeight="false" outlineLevel="0" collapsed="false">
      <c r="A222" s="5" t="s">
        <v>1498</v>
      </c>
      <c r="B222" s="6" t="s">
        <v>1532</v>
      </c>
      <c r="C222" s="5" t="n">
        <v>3863.7</v>
      </c>
      <c r="D222" s="7" t="s">
        <v>42</v>
      </c>
      <c r="E222" s="6" t="s">
        <v>3971</v>
      </c>
      <c r="F222" s="6" t="s">
        <v>1497</v>
      </c>
    </row>
    <row r="223" customFormat="false" ht="46.25" hidden="false" customHeight="false" outlineLevel="0" collapsed="false">
      <c r="A223" s="5" t="s">
        <v>1498</v>
      </c>
      <c r="B223" s="6" t="s">
        <v>1543</v>
      </c>
      <c r="C223" s="5" t="n">
        <v>3953.6</v>
      </c>
      <c r="D223" s="7" t="s">
        <v>42</v>
      </c>
      <c r="E223" s="6" t="s">
        <v>3972</v>
      </c>
      <c r="F223" s="6" t="s">
        <v>1497</v>
      </c>
    </row>
    <row r="224" customFormat="false" ht="113.4" hidden="false" customHeight="false" outlineLevel="0" collapsed="false">
      <c r="A224" s="5" t="s">
        <v>2859</v>
      </c>
      <c r="B224" s="6" t="s">
        <v>2878</v>
      </c>
      <c r="C224" s="5"/>
      <c r="D224" s="7" t="s">
        <v>42</v>
      </c>
      <c r="E224" s="6" t="s">
        <v>3973</v>
      </c>
      <c r="F224" s="6" t="s">
        <v>2880</v>
      </c>
    </row>
    <row r="225" customFormat="false" ht="113.4" hidden="false" customHeight="false" outlineLevel="0" collapsed="false">
      <c r="A225" s="5" t="s">
        <v>2859</v>
      </c>
      <c r="B225" s="6" t="s">
        <v>2872</v>
      </c>
      <c r="C225" s="5"/>
      <c r="D225" s="7" t="s">
        <v>42</v>
      </c>
      <c r="E225" s="6" t="s">
        <v>3974</v>
      </c>
      <c r="F225" s="6" t="s">
        <v>2876</v>
      </c>
    </row>
    <row r="226" customFormat="false" ht="91" hidden="false" customHeight="false" outlineLevel="0" collapsed="false">
      <c r="A226" s="5" t="s">
        <v>1498</v>
      </c>
      <c r="B226" s="6" t="s">
        <v>1502</v>
      </c>
      <c r="C226" s="5" t="n">
        <v>362</v>
      </c>
      <c r="D226" s="7" t="s">
        <v>42</v>
      </c>
      <c r="E226" s="6" t="s">
        <v>3975</v>
      </c>
      <c r="F226" s="6" t="s">
        <v>1504</v>
      </c>
    </row>
    <row r="227" customFormat="false" ht="79.85" hidden="false" customHeight="false" outlineLevel="0" collapsed="false">
      <c r="A227" s="5" t="s">
        <v>1498</v>
      </c>
      <c r="B227" s="6" t="s">
        <v>1516</v>
      </c>
      <c r="C227" s="5" t="n">
        <v>254</v>
      </c>
      <c r="D227" s="7" t="s">
        <v>42</v>
      </c>
      <c r="E227" s="6" t="s">
        <v>3976</v>
      </c>
      <c r="F227" s="6" t="s">
        <v>1504</v>
      </c>
    </row>
    <row r="228" customFormat="false" ht="46.25" hidden="false" customHeight="false" outlineLevel="0" collapsed="false">
      <c r="A228" s="5" t="s">
        <v>1498</v>
      </c>
      <c r="B228" s="6" t="s">
        <v>1528</v>
      </c>
      <c r="C228" s="5" t="n">
        <v>201</v>
      </c>
      <c r="D228" s="7" t="s">
        <v>42</v>
      </c>
      <c r="E228" s="6" t="s">
        <v>3977</v>
      </c>
      <c r="F228" s="6" t="s">
        <v>1504</v>
      </c>
    </row>
    <row r="229" customFormat="false" ht="46.25" hidden="false" customHeight="false" outlineLevel="0" collapsed="false">
      <c r="A229" s="5" t="s">
        <v>1498</v>
      </c>
      <c r="B229" s="6" t="s">
        <v>1538</v>
      </c>
      <c r="C229" s="5" t="n">
        <v>1422</v>
      </c>
      <c r="D229" s="7" t="s">
        <v>42</v>
      </c>
      <c r="E229" s="6" t="s">
        <v>3978</v>
      </c>
      <c r="F229" s="6" t="s">
        <v>1504</v>
      </c>
    </row>
    <row r="230" customFormat="false" ht="46.25" hidden="false" customHeight="false" outlineLevel="0" collapsed="false">
      <c r="A230" s="5" t="s">
        <v>1498</v>
      </c>
      <c r="B230" s="6" t="s">
        <v>1550</v>
      </c>
      <c r="C230" s="5" t="n">
        <v>2846</v>
      </c>
      <c r="D230" s="7" t="s">
        <v>42</v>
      </c>
      <c r="E230" s="6" t="s">
        <v>3979</v>
      </c>
      <c r="F230" s="6" t="s">
        <v>1552</v>
      </c>
    </row>
    <row r="231" customFormat="false" ht="46.25" hidden="false" customHeight="false" outlineLevel="0" collapsed="false">
      <c r="A231" s="5" t="s">
        <v>1498</v>
      </c>
      <c r="B231" s="6" t="s">
        <v>1591</v>
      </c>
      <c r="C231" s="5" t="n">
        <v>3269</v>
      </c>
      <c r="D231" s="7" t="s">
        <v>42</v>
      </c>
      <c r="E231" s="6" t="s">
        <v>3979</v>
      </c>
      <c r="F231" s="6" t="s">
        <v>1592</v>
      </c>
    </row>
    <row r="232" customFormat="false" ht="91" hidden="false" customHeight="false" outlineLevel="0" collapsed="false">
      <c r="A232" s="5" t="s">
        <v>1498</v>
      </c>
      <c r="B232" s="6" t="s">
        <v>1506</v>
      </c>
      <c r="C232" s="5" t="n">
        <v>283</v>
      </c>
      <c r="D232" s="7" t="s">
        <v>42</v>
      </c>
      <c r="E232" s="6" t="s">
        <v>3975</v>
      </c>
      <c r="F232" s="6" t="s">
        <v>1508</v>
      </c>
    </row>
    <row r="233" customFormat="false" ht="79.85" hidden="false" customHeight="false" outlineLevel="0" collapsed="false">
      <c r="A233" s="5" t="s">
        <v>1498</v>
      </c>
      <c r="B233" s="6" t="s">
        <v>1519</v>
      </c>
      <c r="C233" s="5" t="n">
        <v>296</v>
      </c>
      <c r="D233" s="7" t="s">
        <v>42</v>
      </c>
      <c r="E233" s="6" t="s">
        <v>3976</v>
      </c>
      <c r="F233" s="6" t="s">
        <v>1508</v>
      </c>
    </row>
    <row r="234" customFormat="false" ht="46.25" hidden="false" customHeight="false" outlineLevel="0" collapsed="false">
      <c r="A234" s="5" t="s">
        <v>1498</v>
      </c>
      <c r="B234" s="6" t="s">
        <v>1541</v>
      </c>
      <c r="C234" s="5" t="n">
        <v>308</v>
      </c>
      <c r="D234" s="7" t="s">
        <v>42</v>
      </c>
      <c r="E234" s="6" t="s">
        <v>3978</v>
      </c>
      <c r="F234" s="6" t="s">
        <v>1508</v>
      </c>
    </row>
    <row r="235" customFormat="false" ht="46.25" hidden="false" customHeight="false" outlineLevel="0" collapsed="false">
      <c r="A235" s="5" t="s">
        <v>1498</v>
      </c>
      <c r="B235" s="6" t="s">
        <v>1554</v>
      </c>
      <c r="C235" s="5" t="n">
        <v>263</v>
      </c>
      <c r="D235" s="7" t="s">
        <v>42</v>
      </c>
      <c r="E235" s="6" t="s">
        <v>3979</v>
      </c>
      <c r="F235" s="6" t="s">
        <v>1508</v>
      </c>
    </row>
    <row r="236" customFormat="false" ht="113.4" hidden="false" customHeight="false" outlineLevel="0" collapsed="false">
      <c r="A236" s="5" t="s">
        <v>2859</v>
      </c>
      <c r="B236" s="6" t="s">
        <v>2854</v>
      </c>
      <c r="C236" s="5"/>
      <c r="D236" s="7" t="s">
        <v>42</v>
      </c>
      <c r="E236" s="6" t="s">
        <v>3980</v>
      </c>
      <c r="F236" s="6" t="s">
        <v>2858</v>
      </c>
    </row>
    <row r="237" customFormat="false" ht="68.65" hidden="false" customHeight="false" outlineLevel="0" collapsed="false">
      <c r="A237" s="5" t="s">
        <v>2805</v>
      </c>
      <c r="B237" s="6" t="s">
        <v>2843</v>
      </c>
      <c r="C237" s="5"/>
      <c r="D237" s="7" t="s">
        <v>42</v>
      </c>
      <c r="E237" s="6" t="s">
        <v>3981</v>
      </c>
      <c r="F237" s="6" t="s">
        <v>2846</v>
      </c>
    </row>
    <row r="238" customFormat="false" ht="57.45" hidden="false" customHeight="false" outlineLevel="0" collapsed="false">
      <c r="A238" s="5" t="s">
        <v>2200</v>
      </c>
      <c r="B238" s="6" t="s">
        <v>2230</v>
      </c>
      <c r="C238" s="5" t="n">
        <v>67.8</v>
      </c>
      <c r="D238" s="7" t="s">
        <v>42</v>
      </c>
      <c r="E238" s="6" t="s">
        <v>3982</v>
      </c>
      <c r="F238" s="6" t="s">
        <v>2231</v>
      </c>
    </row>
    <row r="239" customFormat="false" ht="46.25" hidden="false" customHeight="false" outlineLevel="0" collapsed="false">
      <c r="A239" s="5" t="s">
        <v>2805</v>
      </c>
      <c r="B239" s="6" t="s">
        <v>2835</v>
      </c>
      <c r="C239" s="5" t="n">
        <v>145.1</v>
      </c>
      <c r="D239" s="7" t="s">
        <v>42</v>
      </c>
      <c r="E239" s="6" t="s">
        <v>3983</v>
      </c>
      <c r="F239" s="6" t="s">
        <v>2837</v>
      </c>
    </row>
    <row r="240" customFormat="false" ht="57.45" hidden="false" customHeight="false" outlineLevel="0" collapsed="false">
      <c r="A240" s="5" t="s">
        <v>2200</v>
      </c>
      <c r="B240" s="6" t="s">
        <v>2215</v>
      </c>
      <c r="C240" s="5" t="n">
        <v>2110.8</v>
      </c>
      <c r="D240" s="7" t="s">
        <v>42</v>
      </c>
      <c r="E240" s="6" t="s">
        <v>3984</v>
      </c>
      <c r="F240" s="6" t="s">
        <v>2217</v>
      </c>
    </row>
    <row r="241" customFormat="false" ht="46.25" hidden="false" customHeight="false" outlineLevel="0" collapsed="false">
      <c r="A241" s="5" t="s">
        <v>2200</v>
      </c>
      <c r="B241" s="6" t="s">
        <v>2209</v>
      </c>
      <c r="C241" s="5" t="n">
        <v>119109</v>
      </c>
      <c r="D241" s="7" t="s">
        <v>42</v>
      </c>
      <c r="E241" s="6" t="s">
        <v>3985</v>
      </c>
      <c r="F241" s="6" t="s">
        <v>2213</v>
      </c>
    </row>
    <row r="242" customFormat="false" ht="46.25" hidden="false" customHeight="false" outlineLevel="0" collapsed="false">
      <c r="A242" s="5" t="s">
        <v>2200</v>
      </c>
      <c r="B242" s="6" t="s">
        <v>2225</v>
      </c>
      <c r="C242" s="5" t="n">
        <v>2359</v>
      </c>
      <c r="D242" s="7" t="s">
        <v>42</v>
      </c>
      <c r="E242" s="6" t="s">
        <v>3982</v>
      </c>
      <c r="F242" s="6" t="s">
        <v>2228</v>
      </c>
    </row>
    <row r="243" customFormat="false" ht="46.25" hidden="false" customHeight="false" outlineLevel="0" collapsed="false">
      <c r="A243" s="5" t="s">
        <v>2200</v>
      </c>
      <c r="B243" s="6" t="s">
        <v>2219</v>
      </c>
      <c r="C243" s="5" t="n">
        <v>414.4</v>
      </c>
      <c r="D243" s="7" t="s">
        <v>42</v>
      </c>
      <c r="E243" s="6" t="s">
        <v>3986</v>
      </c>
      <c r="F243" s="6" t="s">
        <v>2213</v>
      </c>
    </row>
    <row r="244" customFormat="false" ht="46.25" hidden="false" customHeight="false" outlineLevel="0" collapsed="false">
      <c r="A244" s="5" t="s">
        <v>2805</v>
      </c>
      <c r="B244" s="6" t="s">
        <v>2826</v>
      </c>
      <c r="C244" s="5" t="n">
        <v>2379.6</v>
      </c>
      <c r="D244" s="7" t="s">
        <v>42</v>
      </c>
      <c r="E244" s="6" t="s">
        <v>3987</v>
      </c>
      <c r="F244" s="6" t="s">
        <v>2829</v>
      </c>
    </row>
    <row r="245" customFormat="false" ht="57.45" hidden="false" customHeight="false" outlineLevel="0" collapsed="false">
      <c r="A245" s="5" t="s">
        <v>2805</v>
      </c>
      <c r="B245" s="6" t="s">
        <v>2831</v>
      </c>
      <c r="C245" s="5" t="n">
        <v>123.7</v>
      </c>
      <c r="D245" s="7" t="s">
        <v>42</v>
      </c>
      <c r="E245" s="6" t="s">
        <v>3988</v>
      </c>
      <c r="F245" s="6" t="s">
        <v>2833</v>
      </c>
    </row>
    <row r="246" customFormat="false" ht="46.25" hidden="false" customHeight="false" outlineLevel="0" collapsed="false">
      <c r="A246" s="5" t="s">
        <v>2200</v>
      </c>
      <c r="B246" s="6" t="s">
        <v>2222</v>
      </c>
      <c r="C246" s="5" t="n">
        <v>133.4</v>
      </c>
      <c r="D246" s="7" t="s">
        <v>42</v>
      </c>
      <c r="E246" s="6" t="s">
        <v>3989</v>
      </c>
      <c r="F246" s="6" t="s">
        <v>2213</v>
      </c>
    </row>
    <row r="247" customFormat="false" ht="68.65" hidden="false" customHeight="false" outlineLevel="0" collapsed="false">
      <c r="A247" s="5" t="s">
        <v>2805</v>
      </c>
      <c r="B247" s="6" t="s">
        <v>2839</v>
      </c>
      <c r="C247" s="5"/>
      <c r="D247" s="7" t="s">
        <v>42</v>
      </c>
      <c r="E247" s="6" t="s">
        <v>3990</v>
      </c>
      <c r="F247" s="6" t="s">
        <v>2841</v>
      </c>
    </row>
    <row r="248" customFormat="false" ht="46.25" hidden="false" customHeight="false" outlineLevel="0" collapsed="false">
      <c r="A248" s="5" t="s">
        <v>2058</v>
      </c>
      <c r="B248" s="6" t="s">
        <v>2188</v>
      </c>
      <c r="C248" s="5" t="n">
        <v>74.2</v>
      </c>
      <c r="D248" s="7" t="s">
        <v>42</v>
      </c>
      <c r="E248" s="6" t="s">
        <v>3991</v>
      </c>
      <c r="F248" s="6" t="s">
        <v>2192</v>
      </c>
    </row>
    <row r="249" customFormat="false" ht="79.85" hidden="false" customHeight="false" outlineLevel="0" collapsed="false">
      <c r="A249" s="5" t="s">
        <v>2805</v>
      </c>
      <c r="B249" s="6" t="s">
        <v>2882</v>
      </c>
      <c r="C249" s="5" t="n">
        <v>957</v>
      </c>
      <c r="D249" s="7" t="s">
        <v>42</v>
      </c>
      <c r="E249" s="6" t="s">
        <v>3992</v>
      </c>
      <c r="F249" s="6" t="s">
        <v>2886</v>
      </c>
    </row>
    <row r="250" customFormat="false" ht="46.25" hidden="false" customHeight="false" outlineLevel="0" collapsed="false">
      <c r="A250" s="5" t="s">
        <v>1598</v>
      </c>
      <c r="B250" s="6" t="s">
        <v>1594</v>
      </c>
      <c r="C250" s="5" t="n">
        <v>13</v>
      </c>
      <c r="D250" s="7" t="s">
        <v>42</v>
      </c>
      <c r="E250" s="6" t="s">
        <v>3993</v>
      </c>
      <c r="F250" s="6" t="s">
        <v>1597</v>
      </c>
    </row>
    <row r="251" customFormat="false" ht="57.45" hidden="false" customHeight="false" outlineLevel="0" collapsed="false">
      <c r="A251" s="5" t="s">
        <v>1498</v>
      </c>
      <c r="B251" s="6" t="s">
        <v>1562</v>
      </c>
      <c r="C251" s="5" t="n">
        <v>5380.3</v>
      </c>
      <c r="D251" s="7" t="s">
        <v>42</v>
      </c>
      <c r="E251" s="6" t="s">
        <v>3994</v>
      </c>
      <c r="F251" s="6" t="s">
        <v>1563</v>
      </c>
    </row>
    <row r="252" customFormat="false" ht="57.45" hidden="false" customHeight="false" outlineLevel="0" collapsed="false">
      <c r="A252" s="5" t="s">
        <v>1498</v>
      </c>
      <c r="B252" s="6" t="s">
        <v>1574</v>
      </c>
      <c r="C252" s="5" t="n">
        <v>7975.4</v>
      </c>
      <c r="D252" s="7" t="s">
        <v>42</v>
      </c>
      <c r="E252" s="6" t="s">
        <v>3995</v>
      </c>
      <c r="F252" s="6" t="s">
        <v>1560</v>
      </c>
    </row>
    <row r="253" customFormat="false" ht="46.25" hidden="false" customHeight="false" outlineLevel="0" collapsed="false">
      <c r="A253" s="5" t="s">
        <v>1498</v>
      </c>
      <c r="B253" s="6" t="s">
        <v>1584</v>
      </c>
      <c r="C253" s="5" t="n">
        <v>8062.2</v>
      </c>
      <c r="D253" s="7" t="s">
        <v>42</v>
      </c>
      <c r="E253" s="6" t="s">
        <v>3996</v>
      </c>
      <c r="F253" s="6" t="s">
        <v>1560</v>
      </c>
    </row>
    <row r="254" customFormat="false" ht="57.45" hidden="false" customHeight="false" outlineLevel="0" collapsed="false">
      <c r="A254" s="5" t="s">
        <v>1498</v>
      </c>
      <c r="B254" s="6" t="s">
        <v>1556</v>
      </c>
      <c r="C254" s="5" t="n">
        <v>6458.8</v>
      </c>
      <c r="D254" s="7" t="s">
        <v>42</v>
      </c>
      <c r="E254" s="6" t="s">
        <v>3994</v>
      </c>
      <c r="F254" s="6" t="s">
        <v>1560</v>
      </c>
    </row>
    <row r="255" customFormat="false" ht="57.45" hidden="false" customHeight="false" outlineLevel="0" collapsed="false">
      <c r="A255" s="5" t="s">
        <v>1498</v>
      </c>
      <c r="B255" s="6" t="s">
        <v>1570</v>
      </c>
      <c r="C255" s="5" t="n">
        <v>8883.3</v>
      </c>
      <c r="D255" s="7" t="s">
        <v>42</v>
      </c>
      <c r="E255" s="6" t="s">
        <v>3995</v>
      </c>
      <c r="F255" s="6" t="s">
        <v>1560</v>
      </c>
    </row>
    <row r="256" customFormat="false" ht="46.25" hidden="false" customHeight="false" outlineLevel="0" collapsed="false">
      <c r="A256" s="5" t="s">
        <v>1498</v>
      </c>
      <c r="B256" s="6" t="s">
        <v>1581</v>
      </c>
      <c r="C256" s="5" t="n">
        <v>8690.3</v>
      </c>
      <c r="D256" s="7" t="s">
        <v>42</v>
      </c>
      <c r="E256" s="6" t="s">
        <v>3996</v>
      </c>
      <c r="F256" s="6" t="s">
        <v>1560</v>
      </c>
    </row>
    <row r="257" customFormat="false" ht="68.65" hidden="false" customHeight="false" outlineLevel="0" collapsed="false">
      <c r="A257" s="5" t="s">
        <v>460</v>
      </c>
      <c r="B257" s="6" t="s">
        <v>455</v>
      </c>
      <c r="C257" s="5" t="n">
        <v>525</v>
      </c>
      <c r="D257" s="7" t="s">
        <v>42</v>
      </c>
      <c r="E257" s="6" t="s">
        <v>3997</v>
      </c>
      <c r="F257" s="6" t="s">
        <v>459</v>
      </c>
    </row>
    <row r="258" customFormat="false" ht="79.85" hidden="false" customHeight="false" outlineLevel="0" collapsed="false">
      <c r="A258" s="5" t="s">
        <v>476</v>
      </c>
      <c r="B258" s="6" t="s">
        <v>472</v>
      </c>
      <c r="C258" s="5" t="n">
        <v>600</v>
      </c>
      <c r="D258" s="7" t="s">
        <v>42</v>
      </c>
      <c r="E258" s="6" t="s">
        <v>3998</v>
      </c>
      <c r="F258" s="6" t="s">
        <v>475</v>
      </c>
    </row>
    <row r="259" customFormat="false" ht="57.45" hidden="false" customHeight="false" outlineLevel="0" collapsed="false">
      <c r="A259" s="5" t="s">
        <v>460</v>
      </c>
      <c r="B259" s="6" t="s">
        <v>467</v>
      </c>
      <c r="C259" s="5" t="n">
        <v>121</v>
      </c>
      <c r="D259" s="7" t="s">
        <v>42</v>
      </c>
      <c r="E259" s="6" t="s">
        <v>3999</v>
      </c>
      <c r="F259" s="6" t="s">
        <v>470</v>
      </c>
    </row>
    <row r="260" customFormat="false" ht="79.85" hidden="false" customHeight="false" outlineLevel="0" collapsed="false">
      <c r="A260" s="5" t="s">
        <v>460</v>
      </c>
      <c r="B260" s="6" t="s">
        <v>462</v>
      </c>
      <c r="C260" s="5" t="n">
        <v>440</v>
      </c>
      <c r="D260" s="7" t="s">
        <v>42</v>
      </c>
      <c r="E260" s="6" t="s">
        <v>4000</v>
      </c>
      <c r="F260" s="6" t="s">
        <v>465</v>
      </c>
    </row>
    <row r="261" customFormat="false" ht="57.45" hidden="false" customHeight="false" outlineLevel="0" collapsed="false">
      <c r="A261" s="5" t="s">
        <v>1498</v>
      </c>
      <c r="B261" s="6" t="s">
        <v>1565</v>
      </c>
      <c r="C261" s="5" t="n">
        <v>2401</v>
      </c>
      <c r="D261" s="7" t="s">
        <v>42</v>
      </c>
      <c r="E261" s="6" t="s">
        <v>4001</v>
      </c>
      <c r="F261" s="6" t="s">
        <v>1504</v>
      </c>
    </row>
    <row r="262" customFormat="false" ht="57.45" hidden="false" customHeight="false" outlineLevel="0" collapsed="false">
      <c r="A262" s="5" t="s">
        <v>1498</v>
      </c>
      <c r="B262" s="6" t="s">
        <v>1576</v>
      </c>
      <c r="C262" s="5" t="n">
        <v>1455</v>
      </c>
      <c r="D262" s="7" t="s">
        <v>42</v>
      </c>
      <c r="E262" s="6" t="s">
        <v>4002</v>
      </c>
      <c r="F262" s="6" t="s">
        <v>1504</v>
      </c>
    </row>
    <row r="263" customFormat="false" ht="57.45" hidden="false" customHeight="false" outlineLevel="0" collapsed="false">
      <c r="A263" s="5" t="s">
        <v>1498</v>
      </c>
      <c r="B263" s="6" t="s">
        <v>1586</v>
      </c>
      <c r="C263" s="5" t="n">
        <v>1075</v>
      </c>
      <c r="D263" s="7" t="s">
        <v>42</v>
      </c>
      <c r="E263" s="6" t="s">
        <v>4003</v>
      </c>
      <c r="F263" s="6" t="s">
        <v>1504</v>
      </c>
    </row>
    <row r="264" customFormat="false" ht="57.45" hidden="false" customHeight="false" outlineLevel="0" collapsed="false">
      <c r="A264" s="5" t="s">
        <v>1498</v>
      </c>
      <c r="B264" s="6" t="s">
        <v>1568</v>
      </c>
      <c r="C264" s="5" t="n">
        <v>449</v>
      </c>
      <c r="D264" s="7" t="s">
        <v>42</v>
      </c>
      <c r="E264" s="6" t="s">
        <v>4001</v>
      </c>
      <c r="F264" s="6" t="s">
        <v>1508</v>
      </c>
    </row>
    <row r="265" customFormat="false" ht="57.45" hidden="false" customHeight="false" outlineLevel="0" collapsed="false">
      <c r="A265" s="5" t="s">
        <v>1498</v>
      </c>
      <c r="B265" s="6" t="s">
        <v>1579</v>
      </c>
      <c r="C265" s="5" t="n">
        <v>624</v>
      </c>
      <c r="D265" s="7" t="s">
        <v>42</v>
      </c>
      <c r="E265" s="6" t="s">
        <v>4002</v>
      </c>
      <c r="F265" s="6" t="s">
        <v>1508</v>
      </c>
    </row>
    <row r="266" customFormat="false" ht="57.45" hidden="false" customHeight="false" outlineLevel="0" collapsed="false">
      <c r="A266" s="5" t="s">
        <v>1498</v>
      </c>
      <c r="B266" s="6" t="s">
        <v>1589</v>
      </c>
      <c r="C266" s="5" t="n">
        <v>584</v>
      </c>
      <c r="D266" s="7" t="s">
        <v>42</v>
      </c>
      <c r="E266" s="6" t="s">
        <v>4003</v>
      </c>
      <c r="F266" s="6" t="s">
        <v>1508</v>
      </c>
    </row>
    <row r="267" customFormat="false" ht="35.05" hidden="false" customHeight="false" outlineLevel="0" collapsed="false">
      <c r="A267" s="5" t="s">
        <v>2058</v>
      </c>
      <c r="B267" s="6" t="s">
        <v>2150</v>
      </c>
      <c r="C267" s="5" t="n">
        <v>39</v>
      </c>
      <c r="D267" s="7" t="s">
        <v>42</v>
      </c>
      <c r="E267" s="6" t="s">
        <v>4004</v>
      </c>
      <c r="F267" s="6" t="s">
        <v>2154</v>
      </c>
    </row>
    <row r="268" customFormat="false" ht="35.05" hidden="false" customHeight="false" outlineLevel="0" collapsed="false">
      <c r="A268" s="5" t="s">
        <v>113</v>
      </c>
      <c r="B268" s="6" t="s">
        <v>142</v>
      </c>
      <c r="C268" s="5" t="n">
        <v>2027.13</v>
      </c>
      <c r="D268" s="7" t="s">
        <v>42</v>
      </c>
      <c r="E268" s="6" t="s">
        <v>4005</v>
      </c>
      <c r="F268" s="6" t="s">
        <v>144</v>
      </c>
    </row>
    <row r="269" customFormat="false" ht="46.25" hidden="false" customHeight="false" outlineLevel="0" collapsed="false">
      <c r="A269" s="5" t="s">
        <v>113</v>
      </c>
      <c r="B269" s="6" t="s">
        <v>135</v>
      </c>
      <c r="C269" s="5" t="n">
        <v>2024.63</v>
      </c>
      <c r="D269" s="7" t="s">
        <v>42</v>
      </c>
      <c r="E269" s="6" t="s">
        <v>4006</v>
      </c>
      <c r="F269" s="6" t="s">
        <v>140</v>
      </c>
    </row>
    <row r="270" customFormat="false" ht="79.85" hidden="false" customHeight="false" outlineLevel="0" collapsed="false">
      <c r="A270" s="5" t="s">
        <v>2323</v>
      </c>
      <c r="B270" s="6" t="s">
        <v>2325</v>
      </c>
      <c r="C270" s="5"/>
      <c r="D270" s="7" t="s">
        <v>42</v>
      </c>
      <c r="E270" s="6" t="s">
        <v>4007</v>
      </c>
      <c r="F270" s="6" t="s">
        <v>2329</v>
      </c>
    </row>
    <row r="271" customFormat="false" ht="68.65" hidden="false" customHeight="false" outlineLevel="0" collapsed="false">
      <c r="A271" s="5" t="s">
        <v>2323</v>
      </c>
      <c r="B271" s="6" t="s">
        <v>2331</v>
      </c>
      <c r="C271" s="5" t="n">
        <v>99.9</v>
      </c>
      <c r="D271" s="7" t="s">
        <v>42</v>
      </c>
      <c r="E271" s="6" t="s">
        <v>4008</v>
      </c>
      <c r="F271" s="6" t="s">
        <v>2333</v>
      </c>
    </row>
    <row r="272" customFormat="false" ht="46.25" hidden="false" customHeight="false" outlineLevel="0" collapsed="false">
      <c r="A272" s="5" t="s">
        <v>2564</v>
      </c>
      <c r="B272" s="6" t="s">
        <v>2566</v>
      </c>
      <c r="C272" s="5" t="n">
        <v>41</v>
      </c>
      <c r="D272" s="7" t="s">
        <v>42</v>
      </c>
      <c r="E272" s="6" t="s">
        <v>4009</v>
      </c>
      <c r="F272" s="6" t="s">
        <v>2568</v>
      </c>
    </row>
    <row r="273" customFormat="false" ht="57.45" hidden="false" customHeight="false" outlineLevel="0" collapsed="false">
      <c r="A273" s="5" t="s">
        <v>2564</v>
      </c>
      <c r="B273" s="6" t="s">
        <v>2560</v>
      </c>
      <c r="C273" s="5" t="n">
        <v>18</v>
      </c>
      <c r="D273" s="7" t="s">
        <v>42</v>
      </c>
      <c r="E273" s="6" t="s">
        <v>4010</v>
      </c>
      <c r="F273" s="6" t="s">
        <v>2563</v>
      </c>
    </row>
    <row r="274" customFormat="false" ht="68.65" hidden="false" customHeight="false" outlineLevel="0" collapsed="false">
      <c r="A274" s="5" t="s">
        <v>2058</v>
      </c>
      <c r="B274" s="6" t="s">
        <v>1376</v>
      </c>
      <c r="C274" s="5" t="n">
        <v>61</v>
      </c>
      <c r="D274" s="7" t="s">
        <v>42</v>
      </c>
      <c r="E274" s="6" t="s">
        <v>4011</v>
      </c>
      <c r="F274" s="6" t="s">
        <v>2140</v>
      </c>
    </row>
    <row r="275" customFormat="false" ht="68.65" hidden="false" customHeight="false" outlineLevel="0" collapsed="false">
      <c r="A275" s="5" t="s">
        <v>2058</v>
      </c>
      <c r="B275" s="6" t="s">
        <v>2134</v>
      </c>
      <c r="C275" s="5" t="n">
        <v>20</v>
      </c>
      <c r="D275" s="7" t="s">
        <v>42</v>
      </c>
      <c r="E275" s="6" t="s">
        <v>4011</v>
      </c>
      <c r="F275" s="6" t="s">
        <v>2138</v>
      </c>
    </row>
    <row r="276" customFormat="false" ht="68.65" hidden="false" customHeight="false" outlineLevel="0" collapsed="false">
      <c r="A276" s="5" t="s">
        <v>2058</v>
      </c>
      <c r="B276" s="6" t="s">
        <v>2146</v>
      </c>
      <c r="C276" s="5" t="n">
        <v>34</v>
      </c>
      <c r="D276" s="7" t="s">
        <v>42</v>
      </c>
      <c r="E276" s="6" t="s">
        <v>4012</v>
      </c>
      <c r="F276" s="6" t="s">
        <v>2148</v>
      </c>
    </row>
    <row r="277" customFormat="false" ht="68.65" hidden="false" customHeight="false" outlineLevel="0" collapsed="false">
      <c r="A277" s="5" t="s">
        <v>2058</v>
      </c>
      <c r="B277" s="6" t="s">
        <v>2142</v>
      </c>
      <c r="C277" s="5" t="n">
        <v>25</v>
      </c>
      <c r="D277" s="7" t="s">
        <v>42</v>
      </c>
      <c r="E277" s="6" t="s">
        <v>4013</v>
      </c>
      <c r="F277" s="6" t="s">
        <v>2144</v>
      </c>
    </row>
    <row r="278" customFormat="false" ht="57.45" hidden="false" customHeight="false" outlineLevel="0" collapsed="false">
      <c r="A278" s="5" t="s">
        <v>495</v>
      </c>
      <c r="B278" s="6" t="s">
        <v>539</v>
      </c>
      <c r="C278" s="5" t="n">
        <v>31.9</v>
      </c>
      <c r="D278" s="7" t="s">
        <v>42</v>
      </c>
      <c r="E278" s="6" t="s">
        <v>4014</v>
      </c>
      <c r="F278" s="6" t="s">
        <v>543</v>
      </c>
    </row>
    <row r="279" customFormat="false" ht="46.25" hidden="false" customHeight="false" outlineLevel="0" collapsed="false">
      <c r="A279" s="5" t="s">
        <v>1384</v>
      </c>
      <c r="B279" s="6" t="s">
        <v>1469</v>
      </c>
      <c r="C279" s="5" t="n">
        <v>1938</v>
      </c>
      <c r="D279" s="7" t="s">
        <v>42</v>
      </c>
      <c r="E279" s="6" t="s">
        <v>4015</v>
      </c>
      <c r="F279" s="6" t="s">
        <v>1472</v>
      </c>
    </row>
    <row r="280" customFormat="false" ht="46.25" hidden="false" customHeight="false" outlineLevel="0" collapsed="false">
      <c r="A280" s="5" t="s">
        <v>1603</v>
      </c>
      <c r="B280" s="6" t="s">
        <v>1667</v>
      </c>
      <c r="C280" s="5" t="n">
        <v>5</v>
      </c>
      <c r="D280" s="7" t="s">
        <v>42</v>
      </c>
      <c r="E280" s="6" t="s">
        <v>4016</v>
      </c>
      <c r="F280" s="6" t="s">
        <v>1671</v>
      </c>
    </row>
    <row r="281" customFormat="false" ht="46.25" hidden="false" customHeight="false" outlineLevel="0" collapsed="false">
      <c r="A281" s="5" t="s">
        <v>2379</v>
      </c>
      <c r="B281" s="6" t="s">
        <v>2402</v>
      </c>
      <c r="C281" s="5" t="n">
        <v>0.5</v>
      </c>
      <c r="D281" s="7" t="s">
        <v>42</v>
      </c>
      <c r="E281" s="6" t="s">
        <v>4017</v>
      </c>
      <c r="F281" s="6" t="s">
        <v>2404</v>
      </c>
    </row>
    <row r="282" customFormat="false" ht="68.65" hidden="false" customHeight="false" outlineLevel="0" collapsed="false">
      <c r="A282" s="5" t="s">
        <v>2379</v>
      </c>
      <c r="B282" s="6" t="s">
        <v>2397</v>
      </c>
      <c r="C282" s="5" t="n">
        <v>1</v>
      </c>
      <c r="D282" s="7" t="s">
        <v>42</v>
      </c>
      <c r="E282" s="6" t="s">
        <v>4018</v>
      </c>
      <c r="F282" s="6" t="s">
        <v>2400</v>
      </c>
    </row>
    <row r="283" customFormat="false" ht="79.85" hidden="false" customHeight="false" outlineLevel="0" collapsed="false">
      <c r="A283" s="5" t="s">
        <v>434</v>
      </c>
      <c r="B283" s="6" t="s">
        <v>429</v>
      </c>
      <c r="C283" s="5"/>
      <c r="D283" s="7" t="s">
        <v>42</v>
      </c>
      <c r="E283" s="6" t="s">
        <v>4019</v>
      </c>
      <c r="F283" s="6" t="s">
        <v>433</v>
      </c>
    </row>
    <row r="284" customFormat="false" ht="23.85" hidden="false" customHeight="false" outlineLevel="0" collapsed="false">
      <c r="A284" s="5" t="s">
        <v>2922</v>
      </c>
      <c r="B284" s="6" t="s">
        <v>3109</v>
      </c>
      <c r="C284" s="5" t="n">
        <v>1</v>
      </c>
      <c r="D284" s="7" t="s">
        <v>42</v>
      </c>
      <c r="E284" s="6" t="s">
        <v>4020</v>
      </c>
      <c r="F284" s="6" t="s">
        <v>3098</v>
      </c>
    </row>
    <row r="285" customFormat="false" ht="23.85" hidden="false" customHeight="false" outlineLevel="0" collapsed="false">
      <c r="A285" s="5" t="s">
        <v>2922</v>
      </c>
      <c r="B285" s="6" t="s">
        <v>3112</v>
      </c>
      <c r="C285" s="5" t="n">
        <v>5</v>
      </c>
      <c r="D285" s="7" t="s">
        <v>42</v>
      </c>
      <c r="E285" s="6" t="s">
        <v>4021</v>
      </c>
      <c r="F285" s="6" t="s">
        <v>3098</v>
      </c>
    </row>
    <row r="286" customFormat="false" ht="23.85" hidden="false" customHeight="false" outlineLevel="0" collapsed="false">
      <c r="A286" s="5" t="s">
        <v>2922</v>
      </c>
      <c r="B286" s="6" t="s">
        <v>3103</v>
      </c>
      <c r="C286" s="5" t="n">
        <v>4</v>
      </c>
      <c r="D286" s="7" t="s">
        <v>42</v>
      </c>
      <c r="E286" s="6" t="s">
        <v>4022</v>
      </c>
      <c r="F286" s="6" t="s">
        <v>3098</v>
      </c>
    </row>
    <row r="287" customFormat="false" ht="23.85" hidden="false" customHeight="false" outlineLevel="0" collapsed="false">
      <c r="A287" s="5" t="s">
        <v>2922</v>
      </c>
      <c r="B287" s="6" t="s">
        <v>3106</v>
      </c>
      <c r="C287" s="5" t="n">
        <v>20</v>
      </c>
      <c r="D287" s="7" t="s">
        <v>42</v>
      </c>
      <c r="E287" s="6" t="s">
        <v>4023</v>
      </c>
      <c r="F287" s="6" t="s">
        <v>3098</v>
      </c>
    </row>
    <row r="288" customFormat="false" ht="23.85" hidden="false" customHeight="false" outlineLevel="0" collapsed="false">
      <c r="A288" s="5" t="s">
        <v>2922</v>
      </c>
      <c r="B288" s="6" t="s">
        <v>3094</v>
      </c>
      <c r="C288" s="5" t="n">
        <v>2</v>
      </c>
      <c r="D288" s="7" t="s">
        <v>42</v>
      </c>
      <c r="E288" s="6" t="s">
        <v>4024</v>
      </c>
      <c r="F288" s="6" t="s">
        <v>3098</v>
      </c>
    </row>
    <row r="289" customFormat="false" ht="23.85" hidden="false" customHeight="false" outlineLevel="0" collapsed="false">
      <c r="A289" s="5" t="s">
        <v>2922</v>
      </c>
      <c r="B289" s="6" t="s">
        <v>3100</v>
      </c>
      <c r="C289" s="5" t="n">
        <v>10</v>
      </c>
      <c r="D289" s="7" t="s">
        <v>42</v>
      </c>
      <c r="E289" s="6" t="s">
        <v>4025</v>
      </c>
      <c r="F289" s="6" t="s">
        <v>3098</v>
      </c>
    </row>
    <row r="290" customFormat="false" ht="35.05" hidden="false" customHeight="false" outlineLevel="0" collapsed="false">
      <c r="A290" s="5" t="s">
        <v>2922</v>
      </c>
      <c r="B290" s="6" t="s">
        <v>3085</v>
      </c>
      <c r="C290" s="5" t="n">
        <v>100</v>
      </c>
      <c r="D290" s="7" t="s">
        <v>42</v>
      </c>
      <c r="E290" s="6" t="s">
        <v>4026</v>
      </c>
      <c r="F290" s="6" t="s">
        <v>3087</v>
      </c>
    </row>
    <row r="291" customFormat="false" ht="35.05" hidden="false" customHeight="false" outlineLevel="0" collapsed="false">
      <c r="A291" s="5" t="s">
        <v>2922</v>
      </c>
      <c r="B291" s="6" t="s">
        <v>3079</v>
      </c>
      <c r="C291" s="5" t="n">
        <v>20</v>
      </c>
      <c r="D291" s="7" t="s">
        <v>42</v>
      </c>
      <c r="E291" s="6" t="s">
        <v>4027</v>
      </c>
      <c r="F291" s="6" t="s">
        <v>3083</v>
      </c>
    </row>
    <row r="292" customFormat="false" ht="68.65" hidden="false" customHeight="false" outlineLevel="0" collapsed="false">
      <c r="A292" s="5" t="s">
        <v>2454</v>
      </c>
      <c r="B292" s="6" t="s">
        <v>2510</v>
      </c>
      <c r="C292" s="5" t="n">
        <v>175000</v>
      </c>
      <c r="D292" s="7" t="s">
        <v>42</v>
      </c>
      <c r="E292" s="6" t="s">
        <v>4028</v>
      </c>
      <c r="F292" s="6" t="s">
        <v>2514</v>
      </c>
    </row>
    <row r="293" customFormat="false" ht="57.45" hidden="false" customHeight="false" outlineLevel="0" collapsed="false">
      <c r="A293" s="5" t="s">
        <v>2922</v>
      </c>
      <c r="B293" s="6" t="s">
        <v>2917</v>
      </c>
      <c r="C293" s="5" t="n">
        <v>2.94</v>
      </c>
      <c r="D293" s="7" t="s">
        <v>42</v>
      </c>
      <c r="E293" s="6" t="s">
        <v>4029</v>
      </c>
      <c r="F293" s="6" t="s">
        <v>2921</v>
      </c>
    </row>
    <row r="294" customFormat="false" ht="46.25" hidden="false" customHeight="false" outlineLevel="0" collapsed="false">
      <c r="A294" s="5" t="s">
        <v>2922</v>
      </c>
      <c r="B294" s="6" t="s">
        <v>2924</v>
      </c>
      <c r="C294" s="5" t="n">
        <v>0.91</v>
      </c>
      <c r="D294" s="7" t="s">
        <v>42</v>
      </c>
      <c r="E294" s="6" t="s">
        <v>4030</v>
      </c>
      <c r="F294" s="6" t="s">
        <v>2921</v>
      </c>
    </row>
    <row r="295" customFormat="false" ht="46.25" hidden="false" customHeight="false" outlineLevel="0" collapsed="false">
      <c r="A295" s="5" t="s">
        <v>2922</v>
      </c>
      <c r="B295" s="6" t="s">
        <v>2927</v>
      </c>
      <c r="C295" s="5" t="n">
        <v>3.67</v>
      </c>
      <c r="D295" s="7" t="s">
        <v>42</v>
      </c>
      <c r="E295" s="6" t="s">
        <v>4030</v>
      </c>
      <c r="F295" s="6" t="s">
        <v>2921</v>
      </c>
    </row>
    <row r="296" customFormat="false" ht="46.25" hidden="false" customHeight="false" outlineLevel="0" collapsed="false">
      <c r="A296" s="5" t="s">
        <v>2922</v>
      </c>
      <c r="B296" s="6" t="s">
        <v>2929</v>
      </c>
      <c r="C296" s="5" t="n">
        <v>0.28</v>
      </c>
      <c r="D296" s="7" t="s">
        <v>42</v>
      </c>
      <c r="E296" s="6" t="s">
        <v>4030</v>
      </c>
      <c r="F296" s="6" t="s">
        <v>2921</v>
      </c>
    </row>
    <row r="297" customFormat="false" ht="57.45" hidden="false" customHeight="false" outlineLevel="0" collapsed="false">
      <c r="A297" s="5" t="s">
        <v>2922</v>
      </c>
      <c r="B297" s="6" t="s">
        <v>2944</v>
      </c>
      <c r="C297" s="5" t="n">
        <v>152</v>
      </c>
      <c r="D297" s="7" t="s">
        <v>42</v>
      </c>
      <c r="E297" s="6" t="s">
        <v>4031</v>
      </c>
      <c r="F297" s="6" t="s">
        <v>2947</v>
      </c>
    </row>
    <row r="298" customFormat="false" ht="46.25" hidden="false" customHeight="false" outlineLevel="0" collapsed="false">
      <c r="A298" s="5" t="s">
        <v>2922</v>
      </c>
      <c r="B298" s="6" t="s">
        <v>2941</v>
      </c>
      <c r="C298" s="5" t="n">
        <v>1.43</v>
      </c>
      <c r="D298" s="7" t="s">
        <v>42</v>
      </c>
      <c r="E298" s="6" t="s">
        <v>4032</v>
      </c>
      <c r="F298" s="6" t="s">
        <v>2942</v>
      </c>
    </row>
    <row r="299" customFormat="false" ht="57.45" hidden="false" customHeight="false" outlineLevel="0" collapsed="false">
      <c r="A299" s="5" t="s">
        <v>2922</v>
      </c>
      <c r="B299" s="6" t="s">
        <v>2936</v>
      </c>
      <c r="C299" s="5" t="n">
        <v>1.14</v>
      </c>
      <c r="D299" s="7" t="s">
        <v>42</v>
      </c>
      <c r="E299" s="6" t="s">
        <v>4032</v>
      </c>
      <c r="F299" s="6" t="s">
        <v>2939</v>
      </c>
    </row>
    <row r="300" customFormat="false" ht="68.65" hidden="false" customHeight="false" outlineLevel="0" collapsed="false">
      <c r="A300" s="5" t="s">
        <v>2922</v>
      </c>
      <c r="B300" s="6" t="s">
        <v>2931</v>
      </c>
      <c r="C300" s="5" t="n">
        <v>18.97</v>
      </c>
      <c r="D300" s="7" t="s">
        <v>42</v>
      </c>
      <c r="E300" s="6" t="s">
        <v>4033</v>
      </c>
      <c r="F300" s="6" t="s">
        <v>2934</v>
      </c>
    </row>
    <row r="301" customFormat="false" ht="68.65" hidden="false" customHeight="false" outlineLevel="0" collapsed="false">
      <c r="A301" s="5" t="s">
        <v>2922</v>
      </c>
      <c r="B301" s="6" t="s">
        <v>3065</v>
      </c>
      <c r="C301" s="5" t="n">
        <v>2000</v>
      </c>
      <c r="D301" s="7" t="s">
        <v>42</v>
      </c>
      <c r="E301" s="6" t="s">
        <v>4034</v>
      </c>
      <c r="F301" s="6" t="s">
        <v>3068</v>
      </c>
    </row>
    <row r="302" customFormat="false" ht="68.65" hidden="false" customHeight="false" outlineLevel="0" collapsed="false">
      <c r="A302" s="5" t="s">
        <v>2922</v>
      </c>
      <c r="B302" s="6" t="s">
        <v>3062</v>
      </c>
      <c r="C302" s="5" t="n">
        <v>160</v>
      </c>
      <c r="D302" s="7" t="s">
        <v>42</v>
      </c>
      <c r="E302" s="6" t="s">
        <v>4035</v>
      </c>
      <c r="F302" s="6" t="s">
        <v>3060</v>
      </c>
    </row>
    <row r="303" customFormat="false" ht="68.65" hidden="false" customHeight="false" outlineLevel="0" collapsed="false">
      <c r="A303" s="5" t="s">
        <v>2922</v>
      </c>
      <c r="B303" s="6" t="s">
        <v>3056</v>
      </c>
      <c r="C303" s="5" t="n">
        <v>165</v>
      </c>
      <c r="D303" s="7" t="s">
        <v>42</v>
      </c>
      <c r="E303" s="6" t="s">
        <v>4036</v>
      </c>
      <c r="F303" s="6" t="s">
        <v>3060</v>
      </c>
    </row>
    <row r="304" customFormat="false" ht="35.05" hidden="false" customHeight="false" outlineLevel="0" collapsed="false">
      <c r="A304" s="5" t="s">
        <v>1804</v>
      </c>
      <c r="B304" s="6" t="s">
        <v>1856</v>
      </c>
      <c r="C304" s="5" t="n">
        <v>0.05</v>
      </c>
      <c r="D304" s="7" t="s">
        <v>42</v>
      </c>
      <c r="E304" s="6" t="s">
        <v>4037</v>
      </c>
      <c r="F304" s="6" t="s">
        <v>1861</v>
      </c>
    </row>
    <row r="305" customFormat="false" ht="35.05" hidden="false" customHeight="false" outlineLevel="0" collapsed="false">
      <c r="A305" s="5" t="s">
        <v>1384</v>
      </c>
      <c r="B305" s="6" t="s">
        <v>1419</v>
      </c>
      <c r="C305" s="5" t="n">
        <v>2.5</v>
      </c>
      <c r="D305" s="7" t="s">
        <v>42</v>
      </c>
      <c r="E305" s="6" t="s">
        <v>4038</v>
      </c>
      <c r="F305" s="6" t="s">
        <v>1422</v>
      </c>
    </row>
    <row r="306" customFormat="false" ht="46.25" hidden="false" customHeight="false" outlineLevel="0" collapsed="false">
      <c r="A306" s="5" t="s">
        <v>1384</v>
      </c>
      <c r="B306" s="6" t="s">
        <v>1424</v>
      </c>
      <c r="C306" s="5"/>
      <c r="D306" s="7" t="s">
        <v>42</v>
      </c>
      <c r="E306" s="6" t="s">
        <v>4039</v>
      </c>
      <c r="F306" s="6" t="s">
        <v>1428</v>
      </c>
    </row>
    <row r="307" customFormat="false" ht="35.05" hidden="false" customHeight="false" outlineLevel="0" collapsed="false">
      <c r="A307" s="5" t="s">
        <v>1384</v>
      </c>
      <c r="B307" s="6" t="s">
        <v>1412</v>
      </c>
      <c r="C307" s="5" t="n">
        <v>8</v>
      </c>
      <c r="D307" s="7" t="s">
        <v>42</v>
      </c>
      <c r="E307" s="6" t="s">
        <v>4040</v>
      </c>
      <c r="F307" s="6" t="s">
        <v>1417</v>
      </c>
    </row>
    <row r="308" customFormat="false" ht="23.85" hidden="false" customHeight="false" outlineLevel="0" collapsed="false">
      <c r="A308" s="5" t="s">
        <v>2922</v>
      </c>
      <c r="B308" s="6" t="s">
        <v>3089</v>
      </c>
      <c r="C308" s="5" t="n">
        <v>40</v>
      </c>
      <c r="D308" s="7" t="s">
        <v>42</v>
      </c>
      <c r="E308" s="6" t="s">
        <v>4041</v>
      </c>
      <c r="F308" s="6" t="s">
        <v>3092</v>
      </c>
    </row>
    <row r="309" customFormat="false" ht="46.25" hidden="false" customHeight="false" outlineLevel="0" collapsed="false">
      <c r="A309" s="5" t="s">
        <v>1932</v>
      </c>
      <c r="B309" s="6" t="s">
        <v>1966</v>
      </c>
      <c r="C309" s="5" t="n">
        <v>11430</v>
      </c>
      <c r="D309" s="7" t="s">
        <v>42</v>
      </c>
      <c r="E309" s="6" t="s">
        <v>4042</v>
      </c>
      <c r="F309" s="6" t="s">
        <v>1970</v>
      </c>
    </row>
    <row r="310" customFormat="false" ht="46.25" hidden="false" customHeight="false" outlineLevel="0" collapsed="false">
      <c r="A310" s="5" t="s">
        <v>1932</v>
      </c>
      <c r="B310" s="6" t="s">
        <v>1972</v>
      </c>
      <c r="C310" s="5" t="n">
        <v>11250</v>
      </c>
      <c r="D310" s="7" t="s">
        <v>42</v>
      </c>
      <c r="E310" s="6" t="s">
        <v>4042</v>
      </c>
      <c r="F310" s="6" t="s">
        <v>1970</v>
      </c>
    </row>
    <row r="311" customFormat="false" ht="46.25" hidden="false" customHeight="false" outlineLevel="0" collapsed="false">
      <c r="A311" s="5" t="s">
        <v>1932</v>
      </c>
      <c r="B311" s="6" t="s">
        <v>1975</v>
      </c>
      <c r="C311" s="5" t="n">
        <v>11780</v>
      </c>
      <c r="D311" s="7" t="s">
        <v>42</v>
      </c>
      <c r="E311" s="6" t="s">
        <v>4042</v>
      </c>
      <c r="F311" s="6" t="s">
        <v>1970</v>
      </c>
    </row>
    <row r="312" customFormat="false" ht="46.25" hidden="false" customHeight="false" outlineLevel="0" collapsed="false">
      <c r="A312" s="5" t="s">
        <v>1932</v>
      </c>
      <c r="B312" s="6" t="s">
        <v>1977</v>
      </c>
      <c r="C312" s="5" t="n">
        <v>12470</v>
      </c>
      <c r="D312" s="7" t="s">
        <v>42</v>
      </c>
      <c r="E312" s="6" t="s">
        <v>4042</v>
      </c>
      <c r="F312" s="6" t="s">
        <v>1970</v>
      </c>
    </row>
    <row r="313" customFormat="false" ht="46.25" hidden="false" customHeight="false" outlineLevel="0" collapsed="false">
      <c r="A313" s="5" t="s">
        <v>1932</v>
      </c>
      <c r="B313" s="6" t="s">
        <v>1979</v>
      </c>
      <c r="C313" s="5" t="n">
        <v>14730</v>
      </c>
      <c r="D313" s="7" t="s">
        <v>42</v>
      </c>
      <c r="E313" s="6" t="s">
        <v>4042</v>
      </c>
      <c r="F313" s="6" t="s">
        <v>1970</v>
      </c>
    </row>
    <row r="314" customFormat="false" ht="46.25" hidden="false" customHeight="false" outlineLevel="0" collapsed="false">
      <c r="A314" s="5" t="s">
        <v>1932</v>
      </c>
      <c r="B314" s="6" t="s">
        <v>1981</v>
      </c>
      <c r="C314" s="5" t="n">
        <v>15740</v>
      </c>
      <c r="D314" s="7" t="s">
        <v>42</v>
      </c>
      <c r="E314" s="6" t="s">
        <v>4042</v>
      </c>
      <c r="F314" s="6" t="s">
        <v>1970</v>
      </c>
    </row>
    <row r="315" customFormat="false" ht="46.25" hidden="false" customHeight="false" outlineLevel="0" collapsed="false">
      <c r="A315" s="5" t="s">
        <v>1932</v>
      </c>
      <c r="B315" s="6" t="s">
        <v>1983</v>
      </c>
      <c r="C315" s="5" t="n">
        <v>18800</v>
      </c>
      <c r="D315" s="7" t="s">
        <v>42</v>
      </c>
      <c r="E315" s="6" t="s">
        <v>4042</v>
      </c>
      <c r="F315" s="6" t="s">
        <v>1970</v>
      </c>
    </row>
    <row r="316" customFormat="false" ht="46.25" hidden="false" customHeight="false" outlineLevel="0" collapsed="false">
      <c r="A316" s="5" t="s">
        <v>1932</v>
      </c>
      <c r="B316" s="6" t="s">
        <v>1928</v>
      </c>
      <c r="C316" s="5" t="n">
        <v>18620</v>
      </c>
      <c r="D316" s="7" t="s">
        <v>42</v>
      </c>
      <c r="E316" s="6" t="s">
        <v>4043</v>
      </c>
      <c r="F316" s="6" t="s">
        <v>1931</v>
      </c>
    </row>
    <row r="317" customFormat="false" ht="46.25" hidden="false" customHeight="false" outlineLevel="0" collapsed="false">
      <c r="A317" s="5" t="s">
        <v>1932</v>
      </c>
      <c r="B317" s="6" t="s">
        <v>1985</v>
      </c>
      <c r="C317" s="5" t="n">
        <v>18600</v>
      </c>
      <c r="D317" s="7" t="s">
        <v>42</v>
      </c>
      <c r="E317" s="6" t="s">
        <v>4042</v>
      </c>
      <c r="F317" s="6" t="s">
        <v>1970</v>
      </c>
    </row>
    <row r="318" customFormat="false" ht="46.25" hidden="false" customHeight="false" outlineLevel="0" collapsed="false">
      <c r="A318" s="5" t="s">
        <v>1932</v>
      </c>
      <c r="B318" s="6" t="s">
        <v>1987</v>
      </c>
      <c r="C318" s="5" t="n">
        <v>18310</v>
      </c>
      <c r="D318" s="7" t="s">
        <v>42</v>
      </c>
      <c r="E318" s="6" t="s">
        <v>4042</v>
      </c>
      <c r="F318" s="6" t="s">
        <v>1970</v>
      </c>
    </row>
    <row r="319" customFormat="false" ht="46.25" hidden="false" customHeight="false" outlineLevel="0" collapsed="false">
      <c r="A319" s="5" t="s">
        <v>1932</v>
      </c>
      <c r="B319" s="6" t="s">
        <v>1934</v>
      </c>
      <c r="C319" s="5" t="n">
        <v>29</v>
      </c>
      <c r="D319" s="7" t="s">
        <v>42</v>
      </c>
      <c r="E319" s="6" t="s">
        <v>4044</v>
      </c>
      <c r="F319" s="6" t="s">
        <v>1931</v>
      </c>
    </row>
    <row r="320" customFormat="false" ht="46.25" hidden="false" customHeight="false" outlineLevel="0" collapsed="false">
      <c r="A320" s="5" t="s">
        <v>2200</v>
      </c>
      <c r="B320" s="6" t="s">
        <v>2194</v>
      </c>
      <c r="C320" s="5" t="n">
        <v>30</v>
      </c>
      <c r="D320" s="7" t="s">
        <v>42</v>
      </c>
      <c r="E320" s="6" t="s">
        <v>4045</v>
      </c>
      <c r="F320" s="6" t="s">
        <v>2199</v>
      </c>
    </row>
    <row r="321" customFormat="false" ht="46.25" hidden="false" customHeight="false" outlineLevel="0" collapsed="false">
      <c r="A321" s="5" t="s">
        <v>2200</v>
      </c>
      <c r="B321" s="6" t="s">
        <v>2206</v>
      </c>
      <c r="C321" s="5" t="n">
        <v>86</v>
      </c>
      <c r="D321" s="7" t="s">
        <v>42</v>
      </c>
      <c r="E321" s="6" t="s">
        <v>4045</v>
      </c>
      <c r="F321" s="6" t="s">
        <v>2207</v>
      </c>
    </row>
    <row r="322" customFormat="false" ht="46.25" hidden="false" customHeight="false" outlineLevel="0" collapsed="false">
      <c r="A322" s="5" t="s">
        <v>2200</v>
      </c>
      <c r="B322" s="6" t="s">
        <v>2202</v>
      </c>
      <c r="C322" s="5" t="n">
        <v>82</v>
      </c>
      <c r="D322" s="7" t="s">
        <v>42</v>
      </c>
      <c r="E322" s="6" t="s">
        <v>4045</v>
      </c>
      <c r="F322" s="6" t="s">
        <v>2204</v>
      </c>
    </row>
    <row r="323" customFormat="false" ht="57.45" hidden="false" customHeight="false" outlineLevel="0" collapsed="false">
      <c r="A323" s="5" t="s">
        <v>2454</v>
      </c>
      <c r="B323" s="6" t="s">
        <v>2482</v>
      </c>
      <c r="C323" s="5"/>
      <c r="D323" s="7" t="s">
        <v>42</v>
      </c>
      <c r="E323" s="6" t="s">
        <v>4046</v>
      </c>
      <c r="F323" s="6" t="s">
        <v>2484</v>
      </c>
    </row>
    <row r="324" customFormat="false" ht="79.85" hidden="false" customHeight="false" outlineLevel="0" collapsed="false">
      <c r="A324" s="5" t="s">
        <v>441</v>
      </c>
      <c r="B324" s="6" t="s">
        <v>449</v>
      </c>
      <c r="C324" s="5"/>
      <c r="D324" s="7" t="s">
        <v>42</v>
      </c>
      <c r="E324" s="6" t="s">
        <v>4047</v>
      </c>
      <c r="F324" s="6" t="s">
        <v>453</v>
      </c>
    </row>
    <row r="325" customFormat="false" ht="79.85" hidden="false" customHeight="false" outlineLevel="0" collapsed="false">
      <c r="A325" s="5" t="s">
        <v>2454</v>
      </c>
      <c r="B325" s="6" t="s">
        <v>2486</v>
      </c>
      <c r="C325" s="5"/>
      <c r="D325" s="7" t="s">
        <v>42</v>
      </c>
      <c r="E325" s="6" t="s">
        <v>4048</v>
      </c>
      <c r="F325" s="6" t="s">
        <v>2488</v>
      </c>
    </row>
    <row r="326" customFormat="false" ht="35.05" hidden="false" customHeight="false" outlineLevel="0" collapsed="false">
      <c r="A326" s="5" t="s">
        <v>1384</v>
      </c>
      <c r="B326" s="6" t="s">
        <v>1454</v>
      </c>
      <c r="C326" s="5" t="n">
        <v>26.9</v>
      </c>
      <c r="D326" s="7" t="s">
        <v>42</v>
      </c>
      <c r="E326" s="6" t="s">
        <v>4049</v>
      </c>
      <c r="F326" s="6" t="s">
        <v>1458</v>
      </c>
    </row>
    <row r="327" customFormat="false" ht="35.05" hidden="false" customHeight="false" outlineLevel="0" collapsed="false">
      <c r="A327" s="5" t="s">
        <v>1384</v>
      </c>
      <c r="B327" s="6" t="s">
        <v>1460</v>
      </c>
      <c r="C327" s="5" t="n">
        <v>15.3</v>
      </c>
      <c r="D327" s="7" t="s">
        <v>42</v>
      </c>
      <c r="E327" s="6" t="s">
        <v>4049</v>
      </c>
      <c r="F327" s="6" t="s">
        <v>1458</v>
      </c>
    </row>
    <row r="328" customFormat="false" ht="68.65" hidden="false" customHeight="false" outlineLevel="0" collapsed="false">
      <c r="A328" s="5" t="s">
        <v>2454</v>
      </c>
      <c r="B328" s="6" t="s">
        <v>2505</v>
      </c>
      <c r="C328" s="5"/>
      <c r="D328" s="7" t="s">
        <v>42</v>
      </c>
      <c r="E328" s="6" t="s">
        <v>4050</v>
      </c>
      <c r="F328" s="6" t="s">
        <v>2508</v>
      </c>
    </row>
    <row r="329" customFormat="false" ht="57.45" hidden="false" customHeight="false" outlineLevel="0" collapsed="false">
      <c r="A329" s="5" t="s">
        <v>2922</v>
      </c>
      <c r="B329" s="6" t="s">
        <v>3040</v>
      </c>
      <c r="C329" s="5" t="n">
        <v>1650</v>
      </c>
      <c r="D329" s="7" t="s">
        <v>42</v>
      </c>
      <c r="E329" s="6" t="s">
        <v>4051</v>
      </c>
      <c r="F329" s="6" t="s">
        <v>3034</v>
      </c>
    </row>
    <row r="330" customFormat="false" ht="46.25" hidden="false" customHeight="false" outlineLevel="0" collapsed="false">
      <c r="A330" s="5" t="s">
        <v>2922</v>
      </c>
      <c r="B330" s="6" t="s">
        <v>3043</v>
      </c>
      <c r="C330" s="5" t="n">
        <v>1825</v>
      </c>
      <c r="D330" s="7" t="s">
        <v>42</v>
      </c>
      <c r="E330" s="6" t="s">
        <v>4052</v>
      </c>
      <c r="F330" s="6" t="s">
        <v>3034</v>
      </c>
    </row>
    <row r="331" customFormat="false" ht="46.25" hidden="false" customHeight="false" outlineLevel="0" collapsed="false">
      <c r="A331" s="5" t="s">
        <v>2922</v>
      </c>
      <c r="B331" s="6" t="s">
        <v>3045</v>
      </c>
      <c r="C331" s="5" t="n">
        <v>2100</v>
      </c>
      <c r="D331" s="7" t="s">
        <v>42</v>
      </c>
      <c r="E331" s="6" t="s">
        <v>4052</v>
      </c>
      <c r="F331" s="6" t="s">
        <v>3034</v>
      </c>
    </row>
    <row r="332" customFormat="false" ht="46.25" hidden="false" customHeight="false" outlineLevel="0" collapsed="false">
      <c r="A332" s="5" t="s">
        <v>2922</v>
      </c>
      <c r="B332" s="6" t="s">
        <v>3029</v>
      </c>
      <c r="C332" s="5" t="n">
        <v>1090</v>
      </c>
      <c r="D332" s="7" t="s">
        <v>42</v>
      </c>
      <c r="E332" s="6" t="s">
        <v>4052</v>
      </c>
      <c r="F332" s="6" t="s">
        <v>3034</v>
      </c>
    </row>
    <row r="333" customFormat="false" ht="46.25" hidden="false" customHeight="false" outlineLevel="0" collapsed="false">
      <c r="A333" s="5" t="s">
        <v>2922</v>
      </c>
      <c r="B333" s="6" t="s">
        <v>3036</v>
      </c>
      <c r="C333" s="5" t="n">
        <v>1290</v>
      </c>
      <c r="D333" s="7" t="s">
        <v>42</v>
      </c>
      <c r="E333" s="6" t="s">
        <v>4052</v>
      </c>
      <c r="F333" s="6" t="s">
        <v>3034</v>
      </c>
    </row>
    <row r="334" customFormat="false" ht="46.25" hidden="false" customHeight="false" outlineLevel="0" collapsed="false">
      <c r="A334" s="5" t="s">
        <v>2922</v>
      </c>
      <c r="B334" s="6" t="s">
        <v>3038</v>
      </c>
      <c r="C334" s="5" t="n">
        <v>1650</v>
      </c>
      <c r="D334" s="7" t="s">
        <v>42</v>
      </c>
      <c r="E334" s="6" t="s">
        <v>4052</v>
      </c>
      <c r="F334" s="6" t="s">
        <v>3034</v>
      </c>
    </row>
    <row r="335" customFormat="false" ht="57.45" hidden="false" customHeight="false" outlineLevel="0" collapsed="false">
      <c r="A335" s="5" t="s">
        <v>2922</v>
      </c>
      <c r="B335" s="6" t="s">
        <v>3047</v>
      </c>
      <c r="C335" s="5" t="n">
        <v>480</v>
      </c>
      <c r="D335" s="7" t="s">
        <v>42</v>
      </c>
      <c r="E335" s="6" t="s">
        <v>4053</v>
      </c>
      <c r="F335" s="6" t="s">
        <v>3049</v>
      </c>
    </row>
    <row r="336" customFormat="false" ht="46.25" hidden="false" customHeight="false" outlineLevel="0" collapsed="false">
      <c r="A336" s="5" t="s">
        <v>2922</v>
      </c>
      <c r="B336" s="6" t="s">
        <v>3051</v>
      </c>
      <c r="C336" s="5" t="n">
        <v>580</v>
      </c>
      <c r="D336" s="7" t="s">
        <v>42</v>
      </c>
      <c r="E336" s="6" t="s">
        <v>4054</v>
      </c>
      <c r="F336" s="6" t="s">
        <v>3049</v>
      </c>
    </row>
    <row r="337" customFormat="false" ht="46.25" hidden="false" customHeight="false" outlineLevel="0" collapsed="false">
      <c r="A337" s="5" t="s">
        <v>2922</v>
      </c>
      <c r="B337" s="6" t="s">
        <v>3054</v>
      </c>
      <c r="C337" s="5" t="n">
        <v>990</v>
      </c>
      <c r="D337" s="7" t="s">
        <v>42</v>
      </c>
      <c r="E337" s="6" t="s">
        <v>4054</v>
      </c>
      <c r="F337" s="6" t="s">
        <v>3049</v>
      </c>
    </row>
    <row r="338" customFormat="false" ht="91" hidden="false" customHeight="false" outlineLevel="0" collapsed="false">
      <c r="A338" s="5" t="s">
        <v>2628</v>
      </c>
      <c r="B338" s="6" t="s">
        <v>2623</v>
      </c>
      <c r="C338" s="5" t="n">
        <v>8</v>
      </c>
      <c r="D338" s="7" t="s">
        <v>42</v>
      </c>
      <c r="E338" s="6" t="s">
        <v>4055</v>
      </c>
      <c r="F338" s="6" t="s">
        <v>2627</v>
      </c>
    </row>
    <row r="339" customFormat="false" ht="79.85" hidden="false" customHeight="false" outlineLevel="0" collapsed="false">
      <c r="A339" s="5" t="s">
        <v>2658</v>
      </c>
      <c r="B339" s="6" t="s">
        <v>2654</v>
      </c>
      <c r="C339" s="5" t="n">
        <v>8.7</v>
      </c>
      <c r="D339" s="7" t="s">
        <v>42</v>
      </c>
      <c r="E339" s="6" t="s">
        <v>4056</v>
      </c>
      <c r="F339" s="6" t="s">
        <v>2657</v>
      </c>
    </row>
    <row r="340" customFormat="false" ht="79.85" hidden="false" customHeight="false" outlineLevel="0" collapsed="false">
      <c r="A340" s="5" t="s">
        <v>2658</v>
      </c>
      <c r="B340" s="6" t="s">
        <v>2660</v>
      </c>
      <c r="C340" s="5" t="n">
        <v>1.4</v>
      </c>
      <c r="D340" s="7" t="s">
        <v>42</v>
      </c>
      <c r="E340" s="6" t="s">
        <v>4057</v>
      </c>
      <c r="F340" s="6" t="s">
        <v>2657</v>
      </c>
    </row>
    <row r="341" customFormat="false" ht="91" hidden="false" customHeight="false" outlineLevel="0" collapsed="false">
      <c r="A341" s="5" t="s">
        <v>2658</v>
      </c>
      <c r="B341" s="6" t="s">
        <v>2663</v>
      </c>
      <c r="C341" s="5" t="n">
        <v>70</v>
      </c>
      <c r="D341" s="7" t="s">
        <v>42</v>
      </c>
      <c r="E341" s="6" t="s">
        <v>4058</v>
      </c>
      <c r="F341" s="6" t="s">
        <v>2657</v>
      </c>
    </row>
    <row r="342" customFormat="false" ht="46.25" hidden="false" customHeight="false" outlineLevel="0" collapsed="false">
      <c r="A342" s="5" t="s">
        <v>1384</v>
      </c>
      <c r="B342" s="6" t="s">
        <v>1430</v>
      </c>
      <c r="C342" s="5" t="n">
        <v>10</v>
      </c>
      <c r="D342" s="7" t="s">
        <v>42</v>
      </c>
      <c r="E342" s="6" t="s">
        <v>4059</v>
      </c>
      <c r="F342" s="6" t="s">
        <v>1434</v>
      </c>
    </row>
    <row r="343" customFormat="false" ht="46.25" hidden="false" customHeight="false" outlineLevel="0" collapsed="false">
      <c r="A343" s="5" t="s">
        <v>2200</v>
      </c>
      <c r="B343" s="6" t="s">
        <v>2308</v>
      </c>
      <c r="C343" s="5" t="n">
        <v>42</v>
      </c>
      <c r="D343" s="7" t="s">
        <v>42</v>
      </c>
      <c r="E343" s="6" t="s">
        <v>4060</v>
      </c>
      <c r="F343" s="6" t="s">
        <v>2312</v>
      </c>
    </row>
    <row r="344" customFormat="false" ht="91" hidden="false" customHeight="false" outlineLevel="0" collapsed="false">
      <c r="A344" s="5" t="s">
        <v>2613</v>
      </c>
      <c r="B344" s="6" t="s">
        <v>2621</v>
      </c>
      <c r="C344" s="5" t="n">
        <v>1.4</v>
      </c>
      <c r="D344" s="7" t="s">
        <v>42</v>
      </c>
      <c r="E344" s="6" t="s">
        <v>4061</v>
      </c>
      <c r="F344" s="6" t="s">
        <v>2612</v>
      </c>
    </row>
    <row r="345" customFormat="false" ht="91" hidden="false" customHeight="false" outlineLevel="0" collapsed="false">
      <c r="A345" s="5" t="s">
        <v>2613</v>
      </c>
      <c r="B345" s="6" t="s">
        <v>2618</v>
      </c>
      <c r="C345" s="5" t="n">
        <v>0.5</v>
      </c>
      <c r="D345" s="7" t="s">
        <v>42</v>
      </c>
      <c r="E345" s="6" t="s">
        <v>4061</v>
      </c>
      <c r="F345" s="6" t="s">
        <v>2612</v>
      </c>
    </row>
    <row r="346" customFormat="false" ht="91" hidden="false" customHeight="false" outlineLevel="0" collapsed="false">
      <c r="A346" s="5" t="s">
        <v>2613</v>
      </c>
      <c r="B346" s="6" t="s">
        <v>2615</v>
      </c>
      <c r="C346" s="5" t="n">
        <v>1.8</v>
      </c>
      <c r="D346" s="7" t="s">
        <v>42</v>
      </c>
      <c r="E346" s="6" t="s">
        <v>4062</v>
      </c>
      <c r="F346" s="6" t="s">
        <v>2612</v>
      </c>
    </row>
    <row r="347" customFormat="false" ht="91" hidden="false" customHeight="false" outlineLevel="0" collapsed="false">
      <c r="A347" s="5" t="s">
        <v>2613</v>
      </c>
      <c r="B347" s="6" t="s">
        <v>2609</v>
      </c>
      <c r="C347" s="5" t="n">
        <v>2.9</v>
      </c>
      <c r="D347" s="7" t="s">
        <v>42</v>
      </c>
      <c r="E347" s="6" t="s">
        <v>4063</v>
      </c>
      <c r="F347" s="6" t="s">
        <v>2612</v>
      </c>
    </row>
    <row r="348" customFormat="false" ht="68.65" hidden="false" customHeight="false" outlineLevel="0" collapsed="false">
      <c r="A348" s="5" t="s">
        <v>505</v>
      </c>
      <c r="B348" s="6" t="s">
        <v>501</v>
      </c>
      <c r="C348" s="5" t="n">
        <v>5.2</v>
      </c>
      <c r="D348" s="7" t="s">
        <v>42</v>
      </c>
      <c r="E348" s="6" t="s">
        <v>4064</v>
      </c>
      <c r="F348" s="6" t="s">
        <v>504</v>
      </c>
    </row>
    <row r="349" customFormat="false" ht="57.45" hidden="false" customHeight="false" outlineLevel="0" collapsed="false">
      <c r="A349" s="5" t="s">
        <v>505</v>
      </c>
      <c r="B349" s="6" t="s">
        <v>507</v>
      </c>
      <c r="C349" s="5" t="n">
        <v>3.6</v>
      </c>
      <c r="D349" s="7" t="s">
        <v>42</v>
      </c>
      <c r="E349" s="6" t="s">
        <v>4065</v>
      </c>
      <c r="F349" s="6" t="s">
        <v>509</v>
      </c>
    </row>
    <row r="350" customFormat="false" ht="46.25" hidden="false" customHeight="false" outlineLevel="0" collapsed="false">
      <c r="A350" s="5" t="s">
        <v>1384</v>
      </c>
      <c r="B350" s="6" t="s">
        <v>1379</v>
      </c>
      <c r="C350" s="5" t="n">
        <v>2.5</v>
      </c>
      <c r="D350" s="7" t="s">
        <v>42</v>
      </c>
      <c r="E350" s="6" t="s">
        <v>4066</v>
      </c>
      <c r="F350" s="6" t="s">
        <v>1383</v>
      </c>
    </row>
    <row r="351" customFormat="false" ht="91" hidden="false" customHeight="false" outlineLevel="0" collapsed="false">
      <c r="A351" s="5" t="s">
        <v>2454</v>
      </c>
      <c r="B351" s="6" t="s">
        <v>2460</v>
      </c>
      <c r="C351" s="5"/>
      <c r="D351" s="7" t="s">
        <v>42</v>
      </c>
      <c r="E351" s="6" t="s">
        <v>4067</v>
      </c>
      <c r="F351" s="6" t="s">
        <v>2464</v>
      </c>
    </row>
    <row r="352" customFormat="false" ht="91" hidden="false" customHeight="false" outlineLevel="0" collapsed="false">
      <c r="A352" s="5" t="s">
        <v>2454</v>
      </c>
      <c r="B352" s="6" t="s">
        <v>2466</v>
      </c>
      <c r="C352" s="5"/>
      <c r="D352" s="7" t="s">
        <v>42</v>
      </c>
      <c r="E352" s="6" t="s">
        <v>4068</v>
      </c>
      <c r="F352" s="6" t="s">
        <v>2470</v>
      </c>
    </row>
    <row r="353" customFormat="false" ht="79.85" hidden="false" customHeight="false" outlineLevel="0" collapsed="false">
      <c r="A353" s="5" t="s">
        <v>2764</v>
      </c>
      <c r="B353" s="6" t="s">
        <v>1376</v>
      </c>
      <c r="C353" s="5" t="n">
        <v>50</v>
      </c>
      <c r="D353" s="7" t="s">
        <v>42</v>
      </c>
      <c r="E353" s="6" t="s">
        <v>4069</v>
      </c>
      <c r="F353" s="6" t="s">
        <v>2770</v>
      </c>
    </row>
    <row r="354" customFormat="false" ht="79.85" hidden="false" customHeight="false" outlineLevel="0" collapsed="false">
      <c r="A354" s="5" t="s">
        <v>2764</v>
      </c>
      <c r="B354" s="6" t="s">
        <v>2773</v>
      </c>
      <c r="C354" s="5" t="n">
        <v>30</v>
      </c>
      <c r="D354" s="7" t="s">
        <v>42</v>
      </c>
      <c r="E354" s="6" t="s">
        <v>4069</v>
      </c>
      <c r="F354" s="6" t="s">
        <v>2770</v>
      </c>
    </row>
    <row r="355" customFormat="false" ht="79.85" hidden="false" customHeight="false" outlineLevel="0" collapsed="false">
      <c r="A355" s="5" t="s">
        <v>2764</v>
      </c>
      <c r="B355" s="6" t="s">
        <v>1376</v>
      </c>
      <c r="C355" s="5" t="n">
        <v>12</v>
      </c>
      <c r="D355" s="7" t="s">
        <v>42</v>
      </c>
      <c r="E355" s="6" t="s">
        <v>4069</v>
      </c>
      <c r="F355" s="6" t="s">
        <v>2770</v>
      </c>
    </row>
    <row r="356" customFormat="false" ht="79.85" hidden="false" customHeight="false" outlineLevel="0" collapsed="false">
      <c r="A356" s="5" t="s">
        <v>2764</v>
      </c>
      <c r="B356" s="6" t="s">
        <v>2767</v>
      </c>
      <c r="C356" s="5" t="n">
        <v>5</v>
      </c>
      <c r="D356" s="7" t="s">
        <v>42</v>
      </c>
      <c r="E356" s="6" t="s">
        <v>4069</v>
      </c>
      <c r="F356" s="6" t="s">
        <v>2770</v>
      </c>
    </row>
    <row r="357" customFormat="false" ht="57.45" hidden="false" customHeight="false" outlineLevel="0" collapsed="false">
      <c r="A357" s="5" t="s">
        <v>2454</v>
      </c>
      <c r="B357" s="6" t="s">
        <v>2449</v>
      </c>
      <c r="C357" s="5"/>
      <c r="D357" s="7" t="s">
        <v>42</v>
      </c>
      <c r="E357" s="6" t="s">
        <v>4070</v>
      </c>
      <c r="F357" s="6" t="s">
        <v>2453</v>
      </c>
    </row>
    <row r="358" customFormat="false" ht="57.45" hidden="false" customHeight="false" outlineLevel="0" collapsed="false">
      <c r="A358" s="5" t="s">
        <v>2454</v>
      </c>
      <c r="B358" s="6" t="s">
        <v>2456</v>
      </c>
      <c r="C358" s="5"/>
      <c r="D358" s="7" t="s">
        <v>42</v>
      </c>
      <c r="E358" s="6" t="s">
        <v>4071</v>
      </c>
      <c r="F358" s="6" t="s">
        <v>2458</v>
      </c>
    </row>
    <row r="359" customFormat="false" ht="46.25" hidden="false" customHeight="false" outlineLevel="0" collapsed="false">
      <c r="A359" s="5" t="s">
        <v>113</v>
      </c>
      <c r="B359" s="6" t="s">
        <v>125</v>
      </c>
      <c r="C359" s="5" t="n">
        <v>80</v>
      </c>
      <c r="D359" s="7" t="s">
        <v>42</v>
      </c>
      <c r="E359" s="6" t="s">
        <v>4072</v>
      </c>
      <c r="F359" s="6" t="s">
        <v>130</v>
      </c>
    </row>
    <row r="360" customFormat="false" ht="23.85" hidden="false" customHeight="false" outlineLevel="0" collapsed="false">
      <c r="A360" s="5" t="s">
        <v>113</v>
      </c>
      <c r="B360" s="6" t="s">
        <v>132</v>
      </c>
      <c r="C360" s="5" t="n">
        <v>72</v>
      </c>
      <c r="D360" s="7" t="s">
        <v>42</v>
      </c>
      <c r="E360" s="6" t="s">
        <v>4072</v>
      </c>
      <c r="F360" s="6" t="s">
        <v>133</v>
      </c>
    </row>
    <row r="361" customFormat="false" ht="68.65" hidden="false" customHeight="false" outlineLevel="0" collapsed="false">
      <c r="A361" s="5" t="s">
        <v>2540</v>
      </c>
      <c r="B361" s="6" t="s">
        <v>2558</v>
      </c>
      <c r="C361" s="5" t="n">
        <v>50</v>
      </c>
      <c r="D361" s="7" t="s">
        <v>42</v>
      </c>
      <c r="E361" s="6" t="s">
        <v>4073</v>
      </c>
      <c r="F361" s="6" t="s">
        <v>2554</v>
      </c>
    </row>
    <row r="362" customFormat="false" ht="68.65" hidden="false" customHeight="false" outlineLevel="0" collapsed="false">
      <c r="A362" s="5" t="s">
        <v>2540</v>
      </c>
      <c r="B362" s="6" t="s">
        <v>2556</v>
      </c>
      <c r="C362" s="5" t="n">
        <v>25</v>
      </c>
      <c r="D362" s="7" t="s">
        <v>42</v>
      </c>
      <c r="E362" s="6" t="s">
        <v>4073</v>
      </c>
      <c r="F362" s="6" t="s">
        <v>2554</v>
      </c>
    </row>
    <row r="363" customFormat="false" ht="68.65" hidden="false" customHeight="false" outlineLevel="0" collapsed="false">
      <c r="A363" s="5" t="s">
        <v>2540</v>
      </c>
      <c r="B363" s="6" t="s">
        <v>2551</v>
      </c>
      <c r="C363" s="5" t="n">
        <v>400</v>
      </c>
      <c r="D363" s="7" t="s">
        <v>42</v>
      </c>
      <c r="E363" s="6" t="s">
        <v>4073</v>
      </c>
      <c r="F363" s="6" t="s">
        <v>2554</v>
      </c>
    </row>
    <row r="364" customFormat="false" ht="102.2" hidden="false" customHeight="false" outlineLevel="0" collapsed="false">
      <c r="A364" s="5" t="s">
        <v>411</v>
      </c>
      <c r="B364" s="6" t="s">
        <v>417</v>
      </c>
      <c r="C364" s="5" t="n">
        <v>12.1</v>
      </c>
      <c r="D364" s="7" t="s">
        <v>42</v>
      </c>
      <c r="E364" s="6" t="s">
        <v>4074</v>
      </c>
      <c r="F364" s="6" t="s">
        <v>410</v>
      </c>
    </row>
    <row r="365" customFormat="false" ht="102.2" hidden="false" customHeight="false" outlineLevel="0" collapsed="false">
      <c r="A365" s="5" t="s">
        <v>411</v>
      </c>
      <c r="B365" s="6" t="s">
        <v>421</v>
      </c>
      <c r="C365" s="5" t="n">
        <v>830</v>
      </c>
      <c r="D365" s="7" t="s">
        <v>42</v>
      </c>
      <c r="E365" s="6" t="s">
        <v>4075</v>
      </c>
      <c r="F365" s="6" t="s">
        <v>410</v>
      </c>
    </row>
    <row r="366" customFormat="false" ht="102.2" hidden="false" customHeight="false" outlineLevel="0" collapsed="false">
      <c r="A366" s="5" t="s">
        <v>411</v>
      </c>
      <c r="B366" s="6" t="s">
        <v>413</v>
      </c>
      <c r="C366" s="5" t="n">
        <v>9.1</v>
      </c>
      <c r="D366" s="7" t="s">
        <v>42</v>
      </c>
      <c r="E366" s="6" t="s">
        <v>4076</v>
      </c>
      <c r="F366" s="6" t="s">
        <v>410</v>
      </c>
    </row>
    <row r="367" customFormat="false" ht="102.2" hidden="false" customHeight="false" outlineLevel="0" collapsed="false">
      <c r="A367" s="5" t="s">
        <v>411</v>
      </c>
      <c r="B367" s="6" t="s">
        <v>405</v>
      </c>
      <c r="C367" s="5" t="n">
        <v>7.5</v>
      </c>
      <c r="D367" s="7" t="s">
        <v>42</v>
      </c>
      <c r="E367" s="6" t="s">
        <v>4077</v>
      </c>
      <c r="F367" s="6" t="s">
        <v>410</v>
      </c>
    </row>
    <row r="368" customFormat="false" ht="124.6" hidden="false" customHeight="false" outlineLevel="0" collapsed="false">
      <c r="A368" s="5" t="s">
        <v>532</v>
      </c>
      <c r="B368" s="6" t="s">
        <v>527</v>
      </c>
      <c r="C368" s="5" t="n">
        <v>28.9</v>
      </c>
      <c r="D368" s="7" t="s">
        <v>42</v>
      </c>
      <c r="E368" s="6" t="s">
        <v>4078</v>
      </c>
      <c r="F368" s="6" t="s">
        <v>531</v>
      </c>
    </row>
    <row r="369" customFormat="false" ht="46.25" hidden="false" customHeight="false" outlineLevel="0" collapsed="false">
      <c r="A369" s="5" t="s">
        <v>113</v>
      </c>
      <c r="B369" s="6" t="s">
        <v>118</v>
      </c>
      <c r="C369" s="5" t="n">
        <v>11</v>
      </c>
      <c r="D369" s="7" t="s">
        <v>42</v>
      </c>
      <c r="E369" s="6" t="s">
        <v>4079</v>
      </c>
      <c r="F369" s="6" t="s">
        <v>123</v>
      </c>
    </row>
    <row r="370" customFormat="false" ht="57.45" hidden="false" customHeight="false" outlineLevel="0" collapsed="false">
      <c r="A370" s="5" t="s">
        <v>495</v>
      </c>
      <c r="B370" s="6" t="s">
        <v>545</v>
      </c>
      <c r="C370" s="5" t="n">
        <v>88</v>
      </c>
      <c r="D370" s="7" t="s">
        <v>42</v>
      </c>
      <c r="E370" s="6" t="s">
        <v>4080</v>
      </c>
      <c r="F370" s="6" t="s">
        <v>549</v>
      </c>
    </row>
    <row r="371" customFormat="false" ht="46.25" hidden="false" customHeight="false" outlineLevel="0" collapsed="false">
      <c r="A371" s="5" t="s">
        <v>2634</v>
      </c>
      <c r="B371" s="6" t="s">
        <v>1376</v>
      </c>
      <c r="C371" s="5" t="n">
        <v>0.5</v>
      </c>
      <c r="D371" s="7" t="s">
        <v>42</v>
      </c>
      <c r="E371" s="6" t="s">
        <v>4081</v>
      </c>
      <c r="F371" s="6" t="s">
        <v>2637</v>
      </c>
    </row>
    <row r="372" customFormat="false" ht="68.65" hidden="false" customHeight="false" outlineLevel="0" collapsed="false">
      <c r="A372" s="5" t="s">
        <v>2634</v>
      </c>
      <c r="B372" s="6" t="s">
        <v>2630</v>
      </c>
      <c r="C372" s="5" t="n">
        <v>0.3</v>
      </c>
      <c r="D372" s="7" t="s">
        <v>42</v>
      </c>
      <c r="E372" s="6" t="s">
        <v>4082</v>
      </c>
      <c r="F372" s="6" t="s">
        <v>2633</v>
      </c>
    </row>
    <row r="373" customFormat="false" ht="158.2" hidden="false" customHeight="false" outlineLevel="0" collapsed="false">
      <c r="A373" s="5" t="s">
        <v>743</v>
      </c>
      <c r="B373" s="6" t="s">
        <v>764</v>
      </c>
      <c r="C373" s="5" t="n">
        <v>58</v>
      </c>
      <c r="D373" s="10" t="s">
        <v>740</v>
      </c>
      <c r="E373" s="6" t="s">
        <v>765</v>
      </c>
      <c r="F373" s="6" t="s">
        <v>766</v>
      </c>
    </row>
    <row r="374" customFormat="false" ht="79.85" hidden="false" customHeight="false" outlineLevel="0" collapsed="false">
      <c r="A374" s="5" t="s">
        <v>743</v>
      </c>
      <c r="B374" s="6" t="s">
        <v>3203</v>
      </c>
      <c r="C374" s="5" t="n">
        <v>2</v>
      </c>
      <c r="D374" s="10" t="s">
        <v>740</v>
      </c>
      <c r="E374" s="6" t="s">
        <v>3200</v>
      </c>
      <c r="F374" s="6" t="s">
        <v>3204</v>
      </c>
    </row>
    <row r="375" customFormat="false" ht="79.85" hidden="false" customHeight="false" outlineLevel="0" collapsed="false">
      <c r="A375" s="5" t="s">
        <v>743</v>
      </c>
      <c r="B375" s="6" t="s">
        <v>3211</v>
      </c>
      <c r="C375" s="5" t="n">
        <v>4</v>
      </c>
      <c r="D375" s="10" t="s">
        <v>740</v>
      </c>
      <c r="E375" s="6" t="s">
        <v>3200</v>
      </c>
      <c r="F375" s="6" t="s">
        <v>3204</v>
      </c>
    </row>
    <row r="376" customFormat="false" ht="79.85" hidden="false" customHeight="false" outlineLevel="0" collapsed="false">
      <c r="A376" s="5" t="s">
        <v>743</v>
      </c>
      <c r="B376" s="6" t="s">
        <v>3217</v>
      </c>
      <c r="C376" s="5" t="n">
        <v>2</v>
      </c>
      <c r="D376" s="10" t="s">
        <v>740</v>
      </c>
      <c r="E376" s="6" t="s">
        <v>3200</v>
      </c>
      <c r="F376" s="6" t="s">
        <v>3204</v>
      </c>
    </row>
    <row r="377" customFormat="false" ht="79.85" hidden="false" customHeight="false" outlineLevel="0" collapsed="false">
      <c r="A377" s="5" t="s">
        <v>743</v>
      </c>
      <c r="B377" s="6" t="s">
        <v>3223</v>
      </c>
      <c r="C377" s="5" t="n">
        <v>2</v>
      </c>
      <c r="D377" s="10" t="s">
        <v>740</v>
      </c>
      <c r="E377" s="6" t="s">
        <v>3200</v>
      </c>
      <c r="F377" s="6" t="s">
        <v>3204</v>
      </c>
    </row>
    <row r="378" customFormat="false" ht="46.25" hidden="false" customHeight="false" outlineLevel="0" collapsed="false">
      <c r="A378" s="5" t="s">
        <v>743</v>
      </c>
      <c r="B378" s="6" t="s">
        <v>2735</v>
      </c>
      <c r="C378" s="5" t="n">
        <v>5</v>
      </c>
      <c r="D378" s="10" t="s">
        <v>740</v>
      </c>
      <c r="E378" s="6" t="s">
        <v>2687</v>
      </c>
      <c r="F378" s="6" t="s">
        <v>2736</v>
      </c>
    </row>
    <row r="379" customFormat="false" ht="46.25" hidden="false" customHeight="false" outlineLevel="0" collapsed="false">
      <c r="A379" s="5" t="s">
        <v>743</v>
      </c>
      <c r="B379" s="6" t="s">
        <v>745</v>
      </c>
      <c r="C379" s="5" t="n">
        <v>95</v>
      </c>
      <c r="D379" s="10" t="s">
        <v>740</v>
      </c>
      <c r="E379" s="6" t="s">
        <v>741</v>
      </c>
      <c r="F379" s="6" t="s">
        <v>746</v>
      </c>
    </row>
    <row r="380" customFormat="false" ht="113.4" hidden="false" customHeight="false" outlineLevel="0" collapsed="false">
      <c r="A380" s="5" t="s">
        <v>743</v>
      </c>
      <c r="B380" s="6" t="s">
        <v>748</v>
      </c>
      <c r="C380" s="5" t="n">
        <v>90</v>
      </c>
      <c r="D380" s="10" t="s">
        <v>740</v>
      </c>
      <c r="E380" s="6" t="s">
        <v>741</v>
      </c>
      <c r="F380" s="6" t="s">
        <v>749</v>
      </c>
    </row>
    <row r="381" customFormat="false" ht="102.2" hidden="false" customHeight="false" outlineLevel="0" collapsed="false">
      <c r="A381" s="5" t="s">
        <v>743</v>
      </c>
      <c r="B381" s="6" t="s">
        <v>751</v>
      </c>
      <c r="C381" s="5" t="n">
        <v>70</v>
      </c>
      <c r="D381" s="10" t="s">
        <v>740</v>
      </c>
      <c r="E381" s="6" t="s">
        <v>741</v>
      </c>
      <c r="F381" s="6" t="s">
        <v>752</v>
      </c>
    </row>
    <row r="382" customFormat="false" ht="57.45" hidden="false" customHeight="false" outlineLevel="0" collapsed="false">
      <c r="A382" s="5" t="s">
        <v>743</v>
      </c>
      <c r="B382" s="6" t="s">
        <v>2693</v>
      </c>
      <c r="C382" s="5" t="n">
        <v>5</v>
      </c>
      <c r="D382" s="10" t="s">
        <v>740</v>
      </c>
      <c r="E382" s="6" t="s">
        <v>2687</v>
      </c>
      <c r="F382" s="6" t="s">
        <v>2694</v>
      </c>
    </row>
    <row r="383" customFormat="false" ht="57.45" hidden="false" customHeight="false" outlineLevel="0" collapsed="false">
      <c r="A383" s="5" t="s">
        <v>743</v>
      </c>
      <c r="B383" s="6" t="s">
        <v>2696</v>
      </c>
      <c r="C383" s="5" t="n">
        <v>1</v>
      </c>
      <c r="D383" s="10" t="s">
        <v>740</v>
      </c>
      <c r="E383" s="6" t="s">
        <v>2687</v>
      </c>
      <c r="F383" s="6" t="s">
        <v>2698</v>
      </c>
    </row>
    <row r="384" customFormat="false" ht="91" hidden="false" customHeight="false" outlineLevel="0" collapsed="false">
      <c r="A384" s="5" t="s">
        <v>743</v>
      </c>
      <c r="B384" s="6" t="s">
        <v>3206</v>
      </c>
      <c r="C384" s="5" t="n">
        <v>11</v>
      </c>
      <c r="D384" s="10" t="s">
        <v>740</v>
      </c>
      <c r="E384" s="6" t="s">
        <v>3200</v>
      </c>
      <c r="F384" s="6" t="s">
        <v>3207</v>
      </c>
    </row>
    <row r="385" customFormat="false" ht="91" hidden="false" customHeight="false" outlineLevel="0" collapsed="false">
      <c r="A385" s="5" t="s">
        <v>743</v>
      </c>
      <c r="B385" s="6" t="s">
        <v>3213</v>
      </c>
      <c r="C385" s="5" t="n">
        <v>20</v>
      </c>
      <c r="D385" s="10" t="s">
        <v>740</v>
      </c>
      <c r="E385" s="6" t="s">
        <v>3200</v>
      </c>
      <c r="F385" s="6" t="s">
        <v>3207</v>
      </c>
    </row>
    <row r="386" customFormat="false" ht="91" hidden="false" customHeight="false" outlineLevel="0" collapsed="false">
      <c r="A386" s="5" t="s">
        <v>743</v>
      </c>
      <c r="B386" s="6" t="s">
        <v>3219</v>
      </c>
      <c r="C386" s="5" t="n">
        <v>11</v>
      </c>
      <c r="D386" s="10" t="s">
        <v>740</v>
      </c>
      <c r="E386" s="6" t="s">
        <v>3200</v>
      </c>
      <c r="F386" s="6" t="s">
        <v>3207</v>
      </c>
    </row>
    <row r="387" customFormat="false" ht="91" hidden="false" customHeight="false" outlineLevel="0" collapsed="false">
      <c r="A387" s="5" t="s">
        <v>743</v>
      </c>
      <c r="B387" s="6" t="s">
        <v>3225</v>
      </c>
      <c r="C387" s="5" t="n">
        <v>11</v>
      </c>
      <c r="D387" s="10" t="s">
        <v>740</v>
      </c>
      <c r="E387" s="6" t="s">
        <v>3200</v>
      </c>
      <c r="F387" s="6" t="s">
        <v>3207</v>
      </c>
    </row>
    <row r="388" customFormat="false" ht="46.25" hidden="false" customHeight="false" outlineLevel="0" collapsed="false">
      <c r="A388" s="5" t="s">
        <v>743</v>
      </c>
      <c r="B388" s="6" t="s">
        <v>754</v>
      </c>
      <c r="C388" s="5" t="n">
        <v>0.5</v>
      </c>
      <c r="D388" s="10" t="s">
        <v>740</v>
      </c>
      <c r="E388" s="6" t="s">
        <v>741</v>
      </c>
      <c r="F388" s="6" t="s">
        <v>756</v>
      </c>
    </row>
    <row r="389" customFormat="false" ht="102.2" hidden="false" customHeight="false" outlineLevel="0" collapsed="false">
      <c r="A389" s="5" t="s">
        <v>743</v>
      </c>
      <c r="B389" s="6" t="s">
        <v>3198</v>
      </c>
      <c r="C389" s="5" t="n">
        <v>0.61</v>
      </c>
      <c r="D389" s="10" t="s">
        <v>740</v>
      </c>
      <c r="E389" s="6" t="s">
        <v>3200</v>
      </c>
      <c r="F389" s="6" t="s">
        <v>3201</v>
      </c>
    </row>
    <row r="390" customFormat="false" ht="102.2" hidden="false" customHeight="false" outlineLevel="0" collapsed="false">
      <c r="A390" s="5" t="s">
        <v>743</v>
      </c>
      <c r="B390" s="6" t="s">
        <v>3209</v>
      </c>
      <c r="C390" s="5" t="n">
        <v>1.22</v>
      </c>
      <c r="D390" s="10" t="s">
        <v>740</v>
      </c>
      <c r="E390" s="6" t="s">
        <v>3200</v>
      </c>
      <c r="F390" s="6" t="s">
        <v>3201</v>
      </c>
    </row>
    <row r="391" customFormat="false" ht="102.2" hidden="false" customHeight="false" outlineLevel="0" collapsed="false">
      <c r="A391" s="5" t="s">
        <v>743</v>
      </c>
      <c r="B391" s="6" t="s">
        <v>3215</v>
      </c>
      <c r="C391" s="5" t="n">
        <v>0.6</v>
      </c>
      <c r="D391" s="10" t="s">
        <v>740</v>
      </c>
      <c r="E391" s="6" t="s">
        <v>3200</v>
      </c>
      <c r="F391" s="6" t="s">
        <v>3201</v>
      </c>
    </row>
    <row r="392" customFormat="false" ht="102.2" hidden="false" customHeight="false" outlineLevel="0" collapsed="false">
      <c r="A392" s="5" t="s">
        <v>743</v>
      </c>
      <c r="B392" s="6" t="s">
        <v>3221</v>
      </c>
      <c r="C392" s="5" t="n">
        <v>0.6</v>
      </c>
      <c r="D392" s="10" t="s">
        <v>740</v>
      </c>
      <c r="E392" s="6" t="s">
        <v>3200</v>
      </c>
      <c r="F392" s="6" t="s">
        <v>3201</v>
      </c>
    </row>
    <row r="393" customFormat="false" ht="57.45" hidden="false" customHeight="false" outlineLevel="0" collapsed="false">
      <c r="A393" s="5" t="s">
        <v>743</v>
      </c>
      <c r="B393" s="6" t="s">
        <v>2686</v>
      </c>
      <c r="C393" s="5" t="n">
        <v>95</v>
      </c>
      <c r="D393" s="10" t="s">
        <v>740</v>
      </c>
      <c r="E393" s="6" t="s">
        <v>2687</v>
      </c>
      <c r="F393" s="6" t="s">
        <v>2688</v>
      </c>
    </row>
    <row r="394" customFormat="false" ht="57.45" hidden="false" customHeight="false" outlineLevel="0" collapsed="false">
      <c r="A394" s="5" t="s">
        <v>743</v>
      </c>
      <c r="B394" s="6" t="s">
        <v>2690</v>
      </c>
      <c r="C394" s="5" t="n">
        <v>80</v>
      </c>
      <c r="D394" s="10" t="s">
        <v>740</v>
      </c>
      <c r="E394" s="6" t="s">
        <v>2687</v>
      </c>
      <c r="F394" s="6" t="s">
        <v>2691</v>
      </c>
    </row>
    <row r="395" customFormat="false" ht="57.45" hidden="false" customHeight="false" outlineLevel="0" collapsed="false">
      <c r="A395" s="5" t="s">
        <v>743</v>
      </c>
      <c r="B395" s="6" t="s">
        <v>2738</v>
      </c>
      <c r="C395" s="5" t="n">
        <v>0</v>
      </c>
      <c r="D395" s="10" t="s">
        <v>740</v>
      </c>
      <c r="E395" s="6" t="s">
        <v>2687</v>
      </c>
      <c r="F395" s="6" t="s">
        <v>2740</v>
      </c>
    </row>
    <row r="396" customFormat="false" ht="158.2" hidden="false" customHeight="false" outlineLevel="0" collapsed="false">
      <c r="A396" s="5" t="s">
        <v>743</v>
      </c>
      <c r="B396" s="6" t="s">
        <v>758</v>
      </c>
      <c r="C396" s="5" t="n">
        <v>2</v>
      </c>
      <c r="D396" s="10" t="s">
        <v>740</v>
      </c>
      <c r="E396" s="6" t="s">
        <v>741</v>
      </c>
      <c r="F396" s="6" t="s">
        <v>759</v>
      </c>
    </row>
    <row r="397" customFormat="false" ht="35.05" hidden="false" customHeight="false" outlineLevel="0" collapsed="false">
      <c r="A397" s="5" t="s">
        <v>743</v>
      </c>
      <c r="B397" s="6" t="s">
        <v>761</v>
      </c>
      <c r="C397" s="5" t="n">
        <v>95</v>
      </c>
      <c r="D397" s="10" t="s">
        <v>740</v>
      </c>
      <c r="E397" s="6" t="s">
        <v>741</v>
      </c>
      <c r="F397" s="6" t="s">
        <v>762</v>
      </c>
    </row>
    <row r="398" customFormat="false" ht="68.65" hidden="false" customHeight="false" outlineLevel="0" collapsed="false">
      <c r="A398" s="5" t="s">
        <v>743</v>
      </c>
      <c r="B398" s="6" t="s">
        <v>738</v>
      </c>
      <c r="C398" s="5" t="n">
        <v>95</v>
      </c>
      <c r="D398" s="10" t="s">
        <v>740</v>
      </c>
      <c r="E398" s="6" t="s">
        <v>741</v>
      </c>
      <c r="F398" s="6" t="s">
        <v>742</v>
      </c>
    </row>
    <row r="399" customFormat="false" ht="46.25" hidden="false" customHeight="false" outlineLevel="0" collapsed="false">
      <c r="A399" s="5" t="s">
        <v>2540</v>
      </c>
      <c r="B399" s="6" t="s">
        <v>2580</v>
      </c>
      <c r="C399" s="5" t="n">
        <v>10</v>
      </c>
      <c r="D399" s="7" t="s">
        <v>42</v>
      </c>
      <c r="E399" s="6" t="s">
        <v>4083</v>
      </c>
      <c r="F399" s="6" t="s">
        <v>2584</v>
      </c>
    </row>
    <row r="400" customFormat="false" ht="57.45" hidden="false" customHeight="false" outlineLevel="0" collapsed="false">
      <c r="A400" s="5" t="s">
        <v>2540</v>
      </c>
      <c r="B400" s="6" t="s">
        <v>2586</v>
      </c>
      <c r="C400" s="5" t="n">
        <v>5</v>
      </c>
      <c r="D400" s="7" t="s">
        <v>42</v>
      </c>
      <c r="E400" s="6" t="s">
        <v>4084</v>
      </c>
      <c r="F400" s="6" t="s">
        <v>2588</v>
      </c>
    </row>
    <row r="401" customFormat="false" ht="91" hidden="false" customHeight="false" outlineLevel="0" collapsed="false">
      <c r="A401" s="5" t="s">
        <v>2540</v>
      </c>
      <c r="B401" s="6" t="s">
        <v>2575</v>
      </c>
      <c r="C401" s="5" t="n">
        <v>10</v>
      </c>
      <c r="D401" s="7" t="s">
        <v>42</v>
      </c>
      <c r="E401" s="6" t="s">
        <v>4085</v>
      </c>
      <c r="F401" s="6" t="s">
        <v>2573</v>
      </c>
    </row>
    <row r="402" customFormat="false" ht="91" hidden="false" customHeight="false" outlineLevel="0" collapsed="false">
      <c r="A402" s="5" t="s">
        <v>2540</v>
      </c>
      <c r="B402" s="6" t="s">
        <v>2570</v>
      </c>
      <c r="C402" s="5" t="n">
        <v>200</v>
      </c>
      <c r="D402" s="7" t="s">
        <v>42</v>
      </c>
      <c r="E402" s="6" t="s">
        <v>4085</v>
      </c>
      <c r="F402" s="6" t="s">
        <v>2573</v>
      </c>
    </row>
    <row r="403" customFormat="false" ht="91" hidden="false" customHeight="false" outlineLevel="0" collapsed="false">
      <c r="A403" s="5" t="s">
        <v>2578</v>
      </c>
      <c r="B403" s="6" t="s">
        <v>2577</v>
      </c>
      <c r="C403" s="5" t="n">
        <v>54</v>
      </c>
      <c r="D403" s="7" t="s">
        <v>42</v>
      </c>
      <c r="E403" s="6" t="s">
        <v>4085</v>
      </c>
      <c r="F403" s="6" t="s">
        <v>2573</v>
      </c>
    </row>
    <row r="404" customFormat="false" ht="68.65" hidden="false" customHeight="false" outlineLevel="0" collapsed="false">
      <c r="A404" s="5" t="s">
        <v>2658</v>
      </c>
      <c r="B404" s="6" t="s">
        <v>2675</v>
      </c>
      <c r="C404" s="5" t="n">
        <v>1.12</v>
      </c>
      <c r="D404" s="7" t="s">
        <v>42</v>
      </c>
      <c r="E404" s="6" t="s">
        <v>4086</v>
      </c>
      <c r="F404" s="6" t="s">
        <v>2678</v>
      </c>
    </row>
    <row r="405" customFormat="false" ht="46.25" hidden="false" customHeight="false" outlineLevel="0" collapsed="false">
      <c r="A405" s="5" t="s">
        <v>2454</v>
      </c>
      <c r="B405" s="6" t="s">
        <v>2472</v>
      </c>
      <c r="C405" s="5"/>
      <c r="D405" s="7" t="s">
        <v>42</v>
      </c>
      <c r="E405" s="6" t="s">
        <v>4087</v>
      </c>
      <c r="F405" s="6" t="s">
        <v>2476</v>
      </c>
    </row>
    <row r="406" customFormat="false" ht="68.65" hidden="false" customHeight="false" outlineLevel="0" collapsed="false">
      <c r="A406" s="5" t="s">
        <v>2454</v>
      </c>
      <c r="B406" s="6" t="s">
        <v>2478</v>
      </c>
      <c r="C406" s="5"/>
      <c r="D406" s="7" t="s">
        <v>42</v>
      </c>
      <c r="E406" s="6" t="s">
        <v>4088</v>
      </c>
      <c r="F406" s="6" t="s">
        <v>2480</v>
      </c>
    </row>
    <row r="407" customFormat="false" ht="35.05" hidden="false" customHeight="false" outlineLevel="0" collapsed="false">
      <c r="A407" s="5" t="s">
        <v>113</v>
      </c>
      <c r="B407" s="6" t="s">
        <v>146</v>
      </c>
      <c r="C407" s="5" t="n">
        <v>2.3</v>
      </c>
      <c r="D407" s="7" t="s">
        <v>42</v>
      </c>
      <c r="E407" s="6" t="s">
        <v>4089</v>
      </c>
      <c r="F407" s="6" t="s">
        <v>151</v>
      </c>
    </row>
    <row r="408" customFormat="false" ht="46.25" hidden="false" customHeight="false" outlineLevel="0" collapsed="false">
      <c r="A408" s="5" t="s">
        <v>2922</v>
      </c>
      <c r="B408" s="6" t="s">
        <v>3070</v>
      </c>
      <c r="C408" s="5" t="n">
        <v>19</v>
      </c>
      <c r="D408" s="7" t="s">
        <v>42</v>
      </c>
      <c r="E408" s="6" t="s">
        <v>4090</v>
      </c>
      <c r="F408" s="6" t="s">
        <v>3074</v>
      </c>
    </row>
    <row r="409" customFormat="false" ht="35.05" hidden="false" customHeight="false" outlineLevel="0" collapsed="false">
      <c r="A409" s="5" t="s">
        <v>2922</v>
      </c>
      <c r="B409" s="6" t="s">
        <v>3076</v>
      </c>
      <c r="C409" s="5" t="n">
        <v>39</v>
      </c>
      <c r="D409" s="7" t="s">
        <v>42</v>
      </c>
      <c r="E409" s="6" t="s">
        <v>4091</v>
      </c>
      <c r="F409" s="6" t="s">
        <v>3074</v>
      </c>
    </row>
    <row r="410" customFormat="false" ht="57.45" hidden="false" customHeight="false" outlineLevel="0" collapsed="false">
      <c r="A410" s="5" t="s">
        <v>1384</v>
      </c>
      <c r="B410" s="6" t="s">
        <v>1443</v>
      </c>
      <c r="C410" s="5" t="n">
        <v>2.5</v>
      </c>
      <c r="D410" s="7" t="s">
        <v>42</v>
      </c>
      <c r="E410" s="6" t="s">
        <v>4092</v>
      </c>
      <c r="F410" s="6" t="s">
        <v>1441</v>
      </c>
    </row>
    <row r="411" customFormat="false" ht="57.45" hidden="false" customHeight="false" outlineLevel="0" collapsed="false">
      <c r="A411" s="5" t="s">
        <v>1384</v>
      </c>
      <c r="B411" s="6" t="s">
        <v>1436</v>
      </c>
      <c r="C411" s="5" t="n">
        <v>1.6</v>
      </c>
      <c r="D411" s="7" t="s">
        <v>42</v>
      </c>
      <c r="E411" s="6" t="s">
        <v>4092</v>
      </c>
      <c r="F411" s="6" t="s">
        <v>1441</v>
      </c>
    </row>
    <row r="412" customFormat="false" ht="57.45" hidden="false" customHeight="false" outlineLevel="0" collapsed="false">
      <c r="A412" s="5" t="s">
        <v>2658</v>
      </c>
      <c r="B412" s="6" t="s">
        <v>2680</v>
      </c>
      <c r="C412" s="5" t="n">
        <v>2</v>
      </c>
      <c r="D412" s="7" t="s">
        <v>42</v>
      </c>
      <c r="E412" s="6" t="s">
        <v>4093</v>
      </c>
      <c r="F412" s="6" t="s">
        <v>2684</v>
      </c>
    </row>
    <row r="413" customFormat="false" ht="57.45" hidden="false" customHeight="false" outlineLevel="0" collapsed="false">
      <c r="A413" s="5" t="s">
        <v>481</v>
      </c>
      <c r="B413" s="6" t="s">
        <v>497</v>
      </c>
      <c r="C413" s="5" t="n">
        <v>156878</v>
      </c>
      <c r="D413" s="7" t="s">
        <v>42</v>
      </c>
      <c r="E413" s="6" t="s">
        <v>4094</v>
      </c>
      <c r="F413" s="6" t="s">
        <v>499</v>
      </c>
    </row>
    <row r="414" customFormat="false" ht="57.45" hidden="false" customHeight="false" outlineLevel="0" collapsed="false">
      <c r="A414" s="5" t="s">
        <v>2454</v>
      </c>
      <c r="B414" s="6" t="s">
        <v>2500</v>
      </c>
      <c r="C414" s="5"/>
      <c r="D414" s="7" t="s">
        <v>42</v>
      </c>
      <c r="E414" s="6" t="s">
        <v>4095</v>
      </c>
      <c r="F414" s="6" t="s">
        <v>2503</v>
      </c>
    </row>
    <row r="415" customFormat="false" ht="68.65" hidden="false" customHeight="false" outlineLevel="0" collapsed="false">
      <c r="A415" s="5" t="s">
        <v>2922</v>
      </c>
      <c r="B415" s="6" t="s">
        <v>3188</v>
      </c>
      <c r="C415" s="5" t="n">
        <v>85</v>
      </c>
      <c r="D415" s="7" t="s">
        <v>42</v>
      </c>
      <c r="E415" s="6" t="s">
        <v>4096</v>
      </c>
      <c r="F415" s="6" t="s">
        <v>3191</v>
      </c>
    </row>
    <row r="416" customFormat="false" ht="57.45" hidden="false" customHeight="false" outlineLevel="0" collapsed="false">
      <c r="A416" s="5" t="s">
        <v>2922</v>
      </c>
      <c r="B416" s="6" t="s">
        <v>3182</v>
      </c>
      <c r="C416" s="5" t="n">
        <v>3</v>
      </c>
      <c r="D416" s="7" t="s">
        <v>42</v>
      </c>
      <c r="E416" s="6" t="s">
        <v>4097</v>
      </c>
      <c r="F416" s="6" t="s">
        <v>3186</v>
      </c>
    </row>
    <row r="417" customFormat="false" ht="68.65" hidden="false" customHeight="false" outlineLevel="0" collapsed="false">
      <c r="A417" s="5" t="s">
        <v>368</v>
      </c>
      <c r="B417" s="6" t="s">
        <v>364</v>
      </c>
      <c r="C417" s="5" t="n">
        <v>8</v>
      </c>
      <c r="D417" s="9" t="s">
        <v>365</v>
      </c>
      <c r="E417" s="6" t="s">
        <v>366</v>
      </c>
      <c r="F417" s="6" t="s">
        <v>367</v>
      </c>
    </row>
    <row r="418" customFormat="false" ht="102.2" hidden="false" customHeight="false" outlineLevel="0" collapsed="false">
      <c r="A418" s="5" t="s">
        <v>733</v>
      </c>
      <c r="B418" s="6" t="s">
        <v>735</v>
      </c>
      <c r="C418" s="5" t="n">
        <v>3</v>
      </c>
      <c r="D418" s="9" t="s">
        <v>365</v>
      </c>
      <c r="E418" s="6" t="s">
        <v>731</v>
      </c>
      <c r="F418" s="6" t="s">
        <v>736</v>
      </c>
    </row>
    <row r="419" customFormat="false" ht="113.4" hidden="false" customHeight="false" outlineLevel="0" collapsed="false">
      <c r="A419" s="5" t="s">
        <v>733</v>
      </c>
      <c r="B419" s="6" t="s">
        <v>730</v>
      </c>
      <c r="C419" s="5" t="n">
        <v>4</v>
      </c>
      <c r="D419" s="9" t="s">
        <v>365</v>
      </c>
      <c r="E419" s="6" t="s">
        <v>731</v>
      </c>
      <c r="F419" s="6" t="s">
        <v>732</v>
      </c>
    </row>
    <row r="420" customFormat="false" ht="68.65" hidden="false" customHeight="false" outlineLevel="0" collapsed="false">
      <c r="A420" s="5" t="s">
        <v>2781</v>
      </c>
      <c r="B420" s="6" t="s">
        <v>2783</v>
      </c>
      <c r="C420" s="5" t="n">
        <v>5.7</v>
      </c>
      <c r="D420" s="7" t="s">
        <v>42</v>
      </c>
      <c r="E420" s="6" t="s">
        <v>4098</v>
      </c>
      <c r="F420" s="6" t="s">
        <v>2786</v>
      </c>
    </row>
    <row r="421" customFormat="false" ht="79.85" hidden="false" customHeight="false" outlineLevel="0" collapsed="false">
      <c r="A421" s="5" t="s">
        <v>2781</v>
      </c>
      <c r="B421" s="6" t="s">
        <v>2776</v>
      </c>
      <c r="C421" s="5" t="n">
        <v>1.5</v>
      </c>
      <c r="D421" s="7" t="s">
        <v>42</v>
      </c>
      <c r="E421" s="6" t="s">
        <v>4099</v>
      </c>
      <c r="F421" s="6" t="s">
        <v>2780</v>
      </c>
    </row>
    <row r="422" customFormat="false" ht="57.45" hidden="false" customHeight="false" outlineLevel="0" collapsed="false">
      <c r="A422" s="5" t="s">
        <v>2859</v>
      </c>
      <c r="B422" s="6" t="s">
        <v>2861</v>
      </c>
      <c r="C422" s="5"/>
      <c r="D422" s="7" t="s">
        <v>42</v>
      </c>
      <c r="E422" s="6" t="s">
        <v>4100</v>
      </c>
      <c r="F422" s="6" t="s">
        <v>2865</v>
      </c>
    </row>
    <row r="423" customFormat="false" ht="57.45" hidden="false" customHeight="false" outlineLevel="0" collapsed="false">
      <c r="A423" s="5" t="s">
        <v>2859</v>
      </c>
      <c r="B423" s="6" t="s">
        <v>2867</v>
      </c>
      <c r="C423" s="5"/>
      <c r="D423" s="7" t="s">
        <v>42</v>
      </c>
      <c r="E423" s="6" t="s">
        <v>4101</v>
      </c>
      <c r="F423" s="6" t="s">
        <v>2870</v>
      </c>
    </row>
    <row r="424" customFormat="false" ht="23.85" hidden="false" customHeight="false" outlineLevel="0" collapsed="false">
      <c r="A424" s="5" t="s">
        <v>1804</v>
      </c>
      <c r="B424" s="6" t="s">
        <v>1869</v>
      </c>
      <c r="C424" s="5" t="n">
        <v>0.31</v>
      </c>
      <c r="D424" s="7" t="s">
        <v>42</v>
      </c>
      <c r="E424" s="6" t="s">
        <v>4102</v>
      </c>
      <c r="F424" s="6" t="s">
        <v>1871</v>
      </c>
    </row>
    <row r="425" customFormat="false" ht="46.25" hidden="false" customHeight="false" outlineLevel="0" collapsed="false">
      <c r="A425" s="5" t="s">
        <v>1804</v>
      </c>
      <c r="B425" s="6" t="s">
        <v>1863</v>
      </c>
      <c r="C425" s="5" t="n">
        <v>0.15</v>
      </c>
      <c r="D425" s="7" t="s">
        <v>42</v>
      </c>
      <c r="E425" s="6" t="s">
        <v>4103</v>
      </c>
      <c r="F425" s="6" t="s">
        <v>1867</v>
      </c>
    </row>
    <row r="426" customFormat="false" ht="46.25" hidden="false" customHeight="false" outlineLevel="0" collapsed="false">
      <c r="A426" s="5" t="s">
        <v>1932</v>
      </c>
      <c r="B426" s="6" t="s">
        <v>1942</v>
      </c>
      <c r="C426" s="5" t="n">
        <v>10.2</v>
      </c>
      <c r="D426" s="7" t="s">
        <v>42</v>
      </c>
      <c r="E426" s="6" t="s">
        <v>4104</v>
      </c>
      <c r="F426" s="6" t="s">
        <v>1940</v>
      </c>
    </row>
    <row r="427" customFormat="false" ht="46.25" hidden="false" customHeight="false" outlineLevel="0" collapsed="false">
      <c r="A427" s="5" t="s">
        <v>1932</v>
      </c>
      <c r="B427" s="6" t="s">
        <v>1937</v>
      </c>
      <c r="C427" s="5" t="n">
        <v>6030874</v>
      </c>
      <c r="D427" s="7" t="s">
        <v>42</v>
      </c>
      <c r="E427" s="6" t="s">
        <v>4105</v>
      </c>
      <c r="F427" s="6" t="s">
        <v>1940</v>
      </c>
    </row>
    <row r="428" customFormat="false" ht="57.45" hidden="false" customHeight="false" outlineLevel="0" collapsed="false">
      <c r="A428" s="5" t="s">
        <v>1932</v>
      </c>
      <c r="B428" s="6" t="s">
        <v>1945</v>
      </c>
      <c r="C428" s="5" t="n">
        <v>466752</v>
      </c>
      <c r="D428" s="7" t="s">
        <v>42</v>
      </c>
      <c r="E428" s="6" t="s">
        <v>4106</v>
      </c>
      <c r="F428" s="6" t="s">
        <v>1940</v>
      </c>
    </row>
    <row r="429" customFormat="false" ht="57.45" hidden="false" customHeight="false" outlineLevel="0" collapsed="false">
      <c r="A429" s="5" t="s">
        <v>1932</v>
      </c>
      <c r="B429" s="6" t="s">
        <v>1948</v>
      </c>
      <c r="C429" s="5" t="n">
        <v>506166</v>
      </c>
      <c r="D429" s="7" t="s">
        <v>42</v>
      </c>
      <c r="E429" s="6" t="s">
        <v>4106</v>
      </c>
      <c r="F429" s="6" t="s">
        <v>1940</v>
      </c>
    </row>
    <row r="430" customFormat="false" ht="57.45" hidden="false" customHeight="false" outlineLevel="0" collapsed="false">
      <c r="A430" s="5" t="s">
        <v>1932</v>
      </c>
      <c r="B430" s="6" t="s">
        <v>1956</v>
      </c>
      <c r="C430" s="5" t="n">
        <v>154819</v>
      </c>
      <c r="D430" s="7" t="s">
        <v>42</v>
      </c>
      <c r="E430" s="6" t="s">
        <v>4106</v>
      </c>
      <c r="F430" s="6" t="s">
        <v>1940</v>
      </c>
    </row>
    <row r="431" customFormat="false" ht="57.45" hidden="false" customHeight="false" outlineLevel="0" collapsed="false">
      <c r="A431" s="5" t="s">
        <v>1932</v>
      </c>
      <c r="B431" s="6" t="s">
        <v>1958</v>
      </c>
      <c r="C431" s="5" t="n">
        <v>152234</v>
      </c>
      <c r="D431" s="7" t="s">
        <v>42</v>
      </c>
      <c r="E431" s="6" t="s">
        <v>4106</v>
      </c>
      <c r="F431" s="6" t="s">
        <v>1940</v>
      </c>
    </row>
    <row r="432" customFormat="false" ht="57.45" hidden="false" customHeight="false" outlineLevel="0" collapsed="false">
      <c r="A432" s="5" t="s">
        <v>1932</v>
      </c>
      <c r="B432" s="6" t="s">
        <v>1950</v>
      </c>
      <c r="C432" s="5" t="n">
        <v>635568</v>
      </c>
      <c r="D432" s="7" t="s">
        <v>42</v>
      </c>
      <c r="E432" s="6" t="s">
        <v>4106</v>
      </c>
      <c r="F432" s="6" t="s">
        <v>1940</v>
      </c>
    </row>
    <row r="433" customFormat="false" ht="57.45" hidden="false" customHeight="false" outlineLevel="0" collapsed="false">
      <c r="A433" s="5" t="s">
        <v>1932</v>
      </c>
      <c r="B433" s="6" t="s">
        <v>1952</v>
      </c>
      <c r="C433" s="5" t="n">
        <v>551135</v>
      </c>
      <c r="D433" s="7" t="s">
        <v>42</v>
      </c>
      <c r="E433" s="6" t="s">
        <v>4106</v>
      </c>
      <c r="F433" s="6" t="s">
        <v>1940</v>
      </c>
    </row>
    <row r="434" customFormat="false" ht="57.45" hidden="false" customHeight="false" outlineLevel="0" collapsed="false">
      <c r="A434" s="5" t="s">
        <v>1932</v>
      </c>
      <c r="B434" s="6" t="s">
        <v>1960</v>
      </c>
      <c r="C434" s="5" t="n">
        <v>204802</v>
      </c>
      <c r="D434" s="7" t="s">
        <v>42</v>
      </c>
      <c r="E434" s="6" t="s">
        <v>4106</v>
      </c>
      <c r="F434" s="6" t="s">
        <v>1940</v>
      </c>
    </row>
    <row r="435" customFormat="false" ht="57.45" hidden="false" customHeight="false" outlineLevel="0" collapsed="false">
      <c r="A435" s="5" t="s">
        <v>1932</v>
      </c>
      <c r="B435" s="6" t="s">
        <v>1962</v>
      </c>
      <c r="C435" s="5" t="n">
        <v>184643</v>
      </c>
      <c r="D435" s="7" t="s">
        <v>42</v>
      </c>
      <c r="E435" s="6" t="s">
        <v>4106</v>
      </c>
      <c r="F435" s="6" t="s">
        <v>1940</v>
      </c>
    </row>
    <row r="436" customFormat="false" ht="57.45" hidden="false" customHeight="false" outlineLevel="0" collapsed="false">
      <c r="A436" s="5" t="s">
        <v>1932</v>
      </c>
      <c r="B436" s="6" t="s">
        <v>1964</v>
      </c>
      <c r="C436" s="5" t="n">
        <v>247987</v>
      </c>
      <c r="D436" s="7" t="s">
        <v>42</v>
      </c>
      <c r="E436" s="6" t="s">
        <v>4106</v>
      </c>
      <c r="F436" s="6" t="s">
        <v>1940</v>
      </c>
    </row>
    <row r="437" customFormat="false" ht="57.45" hidden="false" customHeight="false" outlineLevel="0" collapsed="false">
      <c r="A437" s="5" t="s">
        <v>1932</v>
      </c>
      <c r="B437" s="6" t="s">
        <v>1954</v>
      </c>
      <c r="C437" s="5" t="n">
        <v>1260287</v>
      </c>
      <c r="D437" s="7" t="s">
        <v>42</v>
      </c>
      <c r="E437" s="6" t="s">
        <v>4106</v>
      </c>
      <c r="F437" s="6" t="s">
        <v>1940</v>
      </c>
    </row>
    <row r="438" customFormat="false" ht="79.85" hidden="false" customHeight="false" outlineLevel="0" collapsed="false">
      <c r="A438" s="5" t="s">
        <v>2454</v>
      </c>
      <c r="B438" s="6" t="s">
        <v>2495</v>
      </c>
      <c r="C438" s="5"/>
      <c r="D438" s="7" t="s">
        <v>42</v>
      </c>
      <c r="E438" s="6" t="s">
        <v>4107</v>
      </c>
      <c r="F438" s="6" t="s">
        <v>2498</v>
      </c>
    </row>
    <row r="439" customFormat="false" ht="46.25" hidden="false" customHeight="false" outlineLevel="0" collapsed="false">
      <c r="A439" s="5" t="s">
        <v>1677</v>
      </c>
      <c r="B439" s="6" t="s">
        <v>1673</v>
      </c>
      <c r="C439" s="5" t="n">
        <v>53920</v>
      </c>
      <c r="D439" s="7" t="s">
        <v>42</v>
      </c>
      <c r="E439" s="6" t="s">
        <v>4108</v>
      </c>
      <c r="F439" s="6" t="s">
        <v>1676</v>
      </c>
    </row>
    <row r="440" customFormat="false" ht="46.25" hidden="false" customHeight="false" outlineLevel="0" collapsed="false">
      <c r="A440" s="5" t="s">
        <v>1677</v>
      </c>
      <c r="B440" s="6" t="s">
        <v>1681</v>
      </c>
      <c r="C440" s="5" t="n">
        <v>7709</v>
      </c>
      <c r="D440" s="7" t="s">
        <v>42</v>
      </c>
      <c r="E440" s="6" t="s">
        <v>4108</v>
      </c>
      <c r="F440" s="6" t="s">
        <v>1676</v>
      </c>
    </row>
    <row r="441" customFormat="false" ht="46.25" hidden="false" customHeight="false" outlineLevel="0" collapsed="false">
      <c r="A441" s="5" t="s">
        <v>1677</v>
      </c>
      <c r="B441" s="6" t="s">
        <v>1679</v>
      </c>
      <c r="C441" s="5" t="n">
        <v>30327</v>
      </c>
      <c r="D441" s="7" t="s">
        <v>42</v>
      </c>
      <c r="E441" s="6" t="s">
        <v>4108</v>
      </c>
      <c r="F441" s="6" t="s">
        <v>1676</v>
      </c>
    </row>
    <row r="442" customFormat="false" ht="57.45" hidden="false" customHeight="false" outlineLevel="0" collapsed="false">
      <c r="A442" s="5" t="s">
        <v>1126</v>
      </c>
      <c r="B442" s="6" t="s">
        <v>1130</v>
      </c>
      <c r="C442" s="5" t="n">
        <v>10.75</v>
      </c>
      <c r="D442" s="8" t="s">
        <v>170</v>
      </c>
      <c r="E442" s="6" t="s">
        <v>1131</v>
      </c>
      <c r="F442" s="6" t="s">
        <v>1132</v>
      </c>
    </row>
    <row r="443" customFormat="false" ht="46.25" hidden="false" customHeight="false" outlineLevel="0" collapsed="false">
      <c r="A443" s="5" t="s">
        <v>1126</v>
      </c>
      <c r="B443" s="6" t="s">
        <v>1123</v>
      </c>
      <c r="C443" s="5" t="n">
        <v>73.15</v>
      </c>
      <c r="D443" s="8" t="s">
        <v>170</v>
      </c>
      <c r="E443" s="6" t="s">
        <v>1124</v>
      </c>
      <c r="F443" s="6" t="s">
        <v>1125</v>
      </c>
    </row>
    <row r="444" customFormat="false" ht="46.25" hidden="false" customHeight="false" outlineLevel="0" collapsed="false">
      <c r="A444" s="5" t="s">
        <v>1126</v>
      </c>
      <c r="B444" s="6" t="s">
        <v>1128</v>
      </c>
      <c r="C444" s="5" t="n">
        <v>55.96</v>
      </c>
      <c r="D444" s="8" t="s">
        <v>170</v>
      </c>
      <c r="E444" s="6" t="s">
        <v>1124</v>
      </c>
      <c r="F444" s="6" t="s">
        <v>1125</v>
      </c>
    </row>
    <row r="445" customFormat="false" ht="46.25" hidden="false" customHeight="false" outlineLevel="0" collapsed="false">
      <c r="A445" s="5" t="s">
        <v>2058</v>
      </c>
      <c r="B445" s="6" t="s">
        <v>2182</v>
      </c>
      <c r="C445" s="5" t="n">
        <v>4.92</v>
      </c>
      <c r="D445" s="7" t="s">
        <v>42</v>
      </c>
      <c r="E445" s="6" t="s">
        <v>4109</v>
      </c>
      <c r="F445" s="6" t="s">
        <v>2186</v>
      </c>
    </row>
    <row r="446" customFormat="false" ht="68.65" hidden="false" customHeight="false" outlineLevel="0" collapsed="false">
      <c r="A446" s="5" t="s">
        <v>2058</v>
      </c>
      <c r="B446" s="6" t="s">
        <v>2179</v>
      </c>
      <c r="C446" s="5" t="n">
        <v>23</v>
      </c>
      <c r="D446" s="7" t="s">
        <v>42</v>
      </c>
      <c r="E446" s="6" t="s">
        <v>4110</v>
      </c>
      <c r="F446" s="6" t="s">
        <v>2180</v>
      </c>
    </row>
    <row r="447" customFormat="false" ht="68.65" hidden="false" customHeight="false" outlineLevel="0" collapsed="false">
      <c r="A447" s="5" t="s">
        <v>2058</v>
      </c>
      <c r="B447" s="6" t="s">
        <v>2173</v>
      </c>
      <c r="C447" s="5" t="n">
        <v>5.77</v>
      </c>
      <c r="D447" s="7" t="s">
        <v>42</v>
      </c>
      <c r="E447" s="6" t="s">
        <v>4110</v>
      </c>
      <c r="F447" s="6" t="s">
        <v>2177</v>
      </c>
    </row>
    <row r="448" customFormat="false" ht="23.85" hidden="false" customHeight="false" outlineLevel="0" collapsed="false">
      <c r="A448" s="5" t="s">
        <v>2658</v>
      </c>
      <c r="B448" s="6" t="s">
        <v>1376</v>
      </c>
      <c r="C448" s="5" t="n">
        <v>40</v>
      </c>
      <c r="D448" s="7" t="s">
        <v>42</v>
      </c>
      <c r="E448" s="6" t="s">
        <v>4111</v>
      </c>
      <c r="F448" s="6" t="s">
        <v>2673</v>
      </c>
    </row>
    <row r="449" customFormat="false" ht="57.45" hidden="false" customHeight="false" outlineLevel="0" collapsed="false">
      <c r="A449" s="5" t="s">
        <v>2658</v>
      </c>
      <c r="B449" s="6" t="s">
        <v>2666</v>
      </c>
      <c r="C449" s="5" t="n">
        <v>30</v>
      </c>
      <c r="D449" s="7" t="s">
        <v>42</v>
      </c>
      <c r="E449" s="6" t="s">
        <v>4112</v>
      </c>
      <c r="F449" s="6" t="s">
        <v>2670</v>
      </c>
    </row>
    <row r="450" customFormat="false" ht="35.05" hidden="false" customHeight="false" outlineLevel="0" collapsed="false">
      <c r="A450" s="5" t="s">
        <v>771</v>
      </c>
      <c r="B450" s="6" t="s">
        <v>768</v>
      </c>
      <c r="C450" s="5" t="n">
        <v>10</v>
      </c>
      <c r="D450" s="10" t="s">
        <v>740</v>
      </c>
      <c r="E450" s="6" t="s">
        <v>741</v>
      </c>
      <c r="F450" s="6" t="s">
        <v>770</v>
      </c>
    </row>
    <row r="451" customFormat="false" ht="46.25" hidden="false" customHeight="false" outlineLevel="0" collapsed="false">
      <c r="A451" s="5" t="s">
        <v>771</v>
      </c>
      <c r="B451" s="6" t="s">
        <v>773</v>
      </c>
      <c r="C451" s="5" t="n">
        <v>5</v>
      </c>
      <c r="D451" s="10" t="s">
        <v>740</v>
      </c>
      <c r="E451" s="6" t="s">
        <v>741</v>
      </c>
      <c r="F451" s="6" t="s">
        <v>775</v>
      </c>
    </row>
    <row r="452" customFormat="false" ht="46.25" hidden="false" customHeight="false" outlineLevel="0" collapsed="false">
      <c r="A452" s="5" t="s">
        <v>771</v>
      </c>
      <c r="B452" s="6" t="s">
        <v>780</v>
      </c>
      <c r="C452" s="5" t="n">
        <v>3</v>
      </c>
      <c r="D452" s="10" t="s">
        <v>740</v>
      </c>
      <c r="E452" s="6" t="s">
        <v>741</v>
      </c>
      <c r="F452" s="6" t="s">
        <v>781</v>
      </c>
    </row>
    <row r="453" customFormat="false" ht="46.25" hidden="false" customHeight="false" outlineLevel="0" collapsed="false">
      <c r="A453" s="5" t="s">
        <v>771</v>
      </c>
      <c r="B453" s="6" t="s">
        <v>777</v>
      </c>
      <c r="C453" s="5" t="n">
        <v>1.5</v>
      </c>
      <c r="D453" s="10" t="s">
        <v>740</v>
      </c>
      <c r="E453" s="6" t="s">
        <v>741</v>
      </c>
      <c r="F453" s="6" t="s">
        <v>778</v>
      </c>
    </row>
    <row r="454" customFormat="false" ht="35.05" hidden="false" customHeight="false" outlineLevel="0" collapsed="false">
      <c r="A454" s="5" t="s">
        <v>2058</v>
      </c>
      <c r="B454" s="6" t="s">
        <v>2169</v>
      </c>
      <c r="C454" s="5" t="n">
        <v>19.48</v>
      </c>
      <c r="D454" s="7" t="s">
        <v>42</v>
      </c>
      <c r="E454" s="6" t="s">
        <v>4113</v>
      </c>
      <c r="F454" s="6" t="s">
        <v>2171</v>
      </c>
    </row>
    <row r="455" customFormat="false" ht="57.45" hidden="false" customHeight="false" outlineLevel="0" collapsed="false">
      <c r="A455" s="5" t="s">
        <v>2058</v>
      </c>
      <c r="B455" s="6" t="s">
        <v>2163</v>
      </c>
      <c r="C455" s="5" t="n">
        <v>11</v>
      </c>
      <c r="D455" s="7" t="s">
        <v>42</v>
      </c>
      <c r="E455" s="6" t="s">
        <v>4114</v>
      </c>
      <c r="F455" s="6" t="s">
        <v>2167</v>
      </c>
    </row>
    <row r="456" customFormat="false" ht="57.45" hidden="false" customHeight="false" outlineLevel="0" collapsed="false">
      <c r="A456" s="5" t="s">
        <v>2764</v>
      </c>
      <c r="B456" s="6" t="s">
        <v>1376</v>
      </c>
      <c r="C456" s="5" t="n">
        <v>8</v>
      </c>
      <c r="D456" s="7" t="s">
        <v>42</v>
      </c>
      <c r="E456" s="6" t="s">
        <v>4115</v>
      </c>
      <c r="F456" s="6" t="s">
        <v>2763</v>
      </c>
    </row>
    <row r="457" customFormat="false" ht="57.45" hidden="false" customHeight="false" outlineLevel="0" collapsed="false">
      <c r="A457" s="5" t="s">
        <v>2764</v>
      </c>
      <c r="B457" s="6" t="s">
        <v>2760</v>
      </c>
      <c r="C457" s="5" t="n">
        <v>6</v>
      </c>
      <c r="D457" s="7" t="s">
        <v>42</v>
      </c>
      <c r="E457" s="6" t="s">
        <v>4115</v>
      </c>
      <c r="F457" s="6" t="s">
        <v>2763</v>
      </c>
    </row>
    <row r="458" customFormat="false" ht="68.65" hidden="false" customHeight="false" outlineLevel="0" collapsed="false">
      <c r="A458" s="5" t="s">
        <v>266</v>
      </c>
      <c r="B458" s="6" t="s">
        <v>264</v>
      </c>
      <c r="C458" s="5" t="n">
        <v>-5.87</v>
      </c>
      <c r="D458" s="8" t="s">
        <v>170</v>
      </c>
      <c r="E458" s="6" t="s">
        <v>257</v>
      </c>
      <c r="F458" s="6" t="s">
        <v>265</v>
      </c>
    </row>
    <row r="459" customFormat="false" ht="46.25" hidden="false" customHeight="false" outlineLevel="0" collapsed="false">
      <c r="A459" s="5" t="s">
        <v>2058</v>
      </c>
      <c r="B459" s="6" t="s">
        <v>2156</v>
      </c>
      <c r="C459" s="5" t="n">
        <v>0.6</v>
      </c>
      <c r="D459" s="7" t="s">
        <v>42</v>
      </c>
      <c r="E459" s="6" t="s">
        <v>4116</v>
      </c>
      <c r="F459" s="6" t="s">
        <v>2161</v>
      </c>
    </row>
    <row r="460" customFormat="false" ht="35.05" hidden="false" customHeight="false" outlineLevel="0" collapsed="false">
      <c r="A460" s="5" t="s">
        <v>2200</v>
      </c>
      <c r="B460" s="6" t="s">
        <v>1376</v>
      </c>
      <c r="C460" s="5" t="n">
        <v>200</v>
      </c>
      <c r="D460" s="7" t="s">
        <v>42</v>
      </c>
      <c r="E460" s="6" t="s">
        <v>4117</v>
      </c>
      <c r="F460" s="6" t="s">
        <v>2306</v>
      </c>
    </row>
    <row r="461" customFormat="false" ht="46.25" hidden="false" customHeight="false" outlineLevel="0" collapsed="false">
      <c r="A461" s="5" t="s">
        <v>2200</v>
      </c>
      <c r="B461" s="6" t="s">
        <v>2298</v>
      </c>
      <c r="C461" s="5" t="n">
        <v>150</v>
      </c>
      <c r="D461" s="7" t="s">
        <v>42</v>
      </c>
      <c r="E461" s="6" t="s">
        <v>4118</v>
      </c>
      <c r="F461" s="6" t="s">
        <v>2303</v>
      </c>
    </row>
    <row r="462" customFormat="false" ht="91" hidden="false" customHeight="false" outlineLevel="0" collapsed="false">
      <c r="A462" s="5" t="s">
        <v>2805</v>
      </c>
      <c r="B462" s="6" t="s">
        <v>2848</v>
      </c>
      <c r="C462" s="5"/>
      <c r="D462" s="7" t="s">
        <v>42</v>
      </c>
      <c r="E462" s="6" t="s">
        <v>4119</v>
      </c>
      <c r="F462" s="6" t="s">
        <v>2852</v>
      </c>
    </row>
    <row r="463" customFormat="false" ht="102.2" hidden="false" customHeight="false" outlineLevel="0" collapsed="false">
      <c r="A463" s="5" t="s">
        <v>2549</v>
      </c>
      <c r="B463" s="6" t="s">
        <v>2546</v>
      </c>
      <c r="C463" s="5" t="n">
        <v>56</v>
      </c>
      <c r="D463" s="7" t="s">
        <v>42</v>
      </c>
      <c r="E463" s="6" t="s">
        <v>4120</v>
      </c>
      <c r="F463" s="6" t="s">
        <v>2548</v>
      </c>
    </row>
    <row r="464" customFormat="false" ht="79.85" hidden="false" customHeight="false" outlineLevel="0" collapsed="false">
      <c r="A464" s="5" t="s">
        <v>2540</v>
      </c>
      <c r="B464" s="6" t="s">
        <v>2544</v>
      </c>
      <c r="C464" s="5" t="n">
        <v>17</v>
      </c>
      <c r="D464" s="7" t="s">
        <v>42</v>
      </c>
      <c r="E464" s="6" t="s">
        <v>4121</v>
      </c>
      <c r="F464" s="6" t="s">
        <v>2539</v>
      </c>
    </row>
    <row r="465" customFormat="false" ht="79.85" hidden="false" customHeight="false" outlineLevel="0" collapsed="false">
      <c r="A465" s="5" t="s">
        <v>2540</v>
      </c>
      <c r="B465" s="6" t="s">
        <v>2535</v>
      </c>
      <c r="C465" s="5" t="n">
        <v>66</v>
      </c>
      <c r="D465" s="7" t="s">
        <v>42</v>
      </c>
      <c r="E465" s="6" t="s">
        <v>4121</v>
      </c>
      <c r="F465" s="6" t="s">
        <v>2539</v>
      </c>
    </row>
    <row r="466" customFormat="false" ht="79.85" hidden="false" customHeight="false" outlineLevel="0" collapsed="false">
      <c r="A466" s="5" t="s">
        <v>2540</v>
      </c>
      <c r="B466" s="6" t="s">
        <v>2542</v>
      </c>
      <c r="C466" s="5" t="n">
        <v>33</v>
      </c>
      <c r="D466" s="7" t="s">
        <v>42</v>
      </c>
      <c r="E466" s="6" t="s">
        <v>4121</v>
      </c>
      <c r="F466" s="6" t="s">
        <v>2539</v>
      </c>
    </row>
    <row r="467" customFormat="false" ht="68.65" hidden="false" customHeight="false" outlineLevel="0" collapsed="false">
      <c r="A467" s="5" t="s">
        <v>2379</v>
      </c>
      <c r="B467" s="6" t="s">
        <v>2391</v>
      </c>
      <c r="C467" s="5" t="n">
        <v>9</v>
      </c>
      <c r="D467" s="7" t="s">
        <v>42</v>
      </c>
      <c r="E467" s="6" t="s">
        <v>4122</v>
      </c>
      <c r="F467" s="6" t="s">
        <v>2395</v>
      </c>
    </row>
    <row r="468" customFormat="false" ht="46.25" hidden="false" customHeight="false" outlineLevel="0" collapsed="false">
      <c r="A468" s="5" t="s">
        <v>441</v>
      </c>
      <c r="B468" s="6" t="s">
        <v>443</v>
      </c>
      <c r="C468" s="5"/>
      <c r="D468" s="7" t="s">
        <v>42</v>
      </c>
      <c r="E468" s="6" t="s">
        <v>4123</v>
      </c>
      <c r="F468" s="6" t="s">
        <v>447</v>
      </c>
    </row>
    <row r="469" customFormat="false" ht="91" hidden="false" customHeight="false" outlineLevel="0" collapsed="false">
      <c r="A469" s="5" t="s">
        <v>441</v>
      </c>
      <c r="B469" s="6" t="s">
        <v>436</v>
      </c>
      <c r="C469" s="5"/>
      <c r="D469" s="7" t="s">
        <v>42</v>
      </c>
      <c r="E469" s="6" t="s">
        <v>4124</v>
      </c>
      <c r="F469" s="6" t="s">
        <v>440</v>
      </c>
    </row>
    <row r="470" customFormat="false" ht="79.85" hidden="false" customHeight="false" outlineLevel="0" collapsed="false">
      <c r="A470" s="5" t="s">
        <v>2805</v>
      </c>
      <c r="B470" s="6" t="s">
        <v>2807</v>
      </c>
      <c r="C470" s="5" t="n">
        <v>1042.4</v>
      </c>
      <c r="D470" s="7" t="s">
        <v>42</v>
      </c>
      <c r="E470" s="6" t="s">
        <v>4125</v>
      </c>
      <c r="F470" s="6" t="s">
        <v>2809</v>
      </c>
    </row>
    <row r="471" customFormat="false" ht="57.45" hidden="false" customHeight="false" outlineLevel="0" collapsed="false">
      <c r="A471" s="5" t="s">
        <v>2805</v>
      </c>
      <c r="B471" s="6" t="s">
        <v>2818</v>
      </c>
      <c r="C471" s="5" t="n">
        <v>1368</v>
      </c>
      <c r="D471" s="7" t="s">
        <v>42</v>
      </c>
      <c r="E471" s="6" t="s">
        <v>4126</v>
      </c>
      <c r="F471" s="6" t="s">
        <v>2804</v>
      </c>
    </row>
    <row r="472" customFormat="false" ht="57.45" hidden="false" customHeight="false" outlineLevel="0" collapsed="false">
      <c r="A472" s="5" t="s">
        <v>2805</v>
      </c>
      <c r="B472" s="6" t="s">
        <v>2799</v>
      </c>
      <c r="C472" s="5" t="n">
        <v>1130.8</v>
      </c>
      <c r="D472" s="7" t="s">
        <v>42</v>
      </c>
      <c r="E472" s="6" t="s">
        <v>4127</v>
      </c>
      <c r="F472" s="6" t="s">
        <v>2804</v>
      </c>
    </row>
    <row r="473" customFormat="false" ht="57.45" hidden="false" customHeight="false" outlineLevel="0" collapsed="false">
      <c r="A473" s="5" t="s">
        <v>2805</v>
      </c>
      <c r="B473" s="6" t="s">
        <v>2815</v>
      </c>
      <c r="C473" s="5" t="n">
        <v>64.6</v>
      </c>
      <c r="D473" s="7" t="s">
        <v>42</v>
      </c>
      <c r="E473" s="6" t="s">
        <v>4128</v>
      </c>
      <c r="F473" s="6" t="s">
        <v>2804</v>
      </c>
    </row>
    <row r="474" customFormat="false" ht="79.85" hidden="false" customHeight="false" outlineLevel="0" collapsed="false">
      <c r="A474" s="5" t="s">
        <v>2805</v>
      </c>
      <c r="B474" s="6" t="s">
        <v>2811</v>
      </c>
      <c r="C474" s="5" t="n">
        <v>59.7</v>
      </c>
      <c r="D474" s="7" t="s">
        <v>42</v>
      </c>
      <c r="E474" s="6" t="s">
        <v>4129</v>
      </c>
      <c r="F474" s="6" t="s">
        <v>2813</v>
      </c>
    </row>
    <row r="475" customFormat="false" ht="68.65" hidden="false" customHeight="false" outlineLevel="0" collapsed="false">
      <c r="A475" s="5" t="s">
        <v>2805</v>
      </c>
      <c r="B475" s="6" t="s">
        <v>2822</v>
      </c>
      <c r="C475" s="5"/>
      <c r="D475" s="7" t="s">
        <v>42</v>
      </c>
      <c r="E475" s="6" t="s">
        <v>4130</v>
      </c>
      <c r="F475" s="6" t="s">
        <v>2824</v>
      </c>
    </row>
    <row r="476" customFormat="false" ht="46.25" hidden="false" customHeight="false" outlineLevel="0" collapsed="false">
      <c r="A476" s="5" t="s">
        <v>678</v>
      </c>
      <c r="B476" s="6" t="s">
        <v>676</v>
      </c>
      <c r="C476" s="5" t="n">
        <v>11969</v>
      </c>
      <c r="D476" s="8" t="s">
        <v>170</v>
      </c>
      <c r="E476" s="6" t="s">
        <v>328</v>
      </c>
      <c r="F476" s="6" t="s">
        <v>677</v>
      </c>
    </row>
    <row r="477" customFormat="false" ht="91" hidden="false" customHeight="false" outlineLevel="0" collapsed="false">
      <c r="A477" s="5" t="s">
        <v>2745</v>
      </c>
      <c r="B477" s="6" t="s">
        <v>2742</v>
      </c>
      <c r="C477" s="5" t="n">
        <v>87.2</v>
      </c>
      <c r="D477" s="8" t="s">
        <v>170</v>
      </c>
      <c r="E477" s="6" t="s">
        <v>2743</v>
      </c>
      <c r="F477" s="6" t="s">
        <v>2744</v>
      </c>
    </row>
    <row r="478" customFormat="false" ht="57.45" hidden="false" customHeight="false" outlineLevel="0" collapsed="false">
      <c r="A478" s="5" t="s">
        <v>2745</v>
      </c>
      <c r="B478" s="6" t="s">
        <v>2747</v>
      </c>
      <c r="C478" s="5" t="n">
        <v>79.4</v>
      </c>
      <c r="D478" s="8" t="s">
        <v>170</v>
      </c>
      <c r="E478" s="6" t="s">
        <v>2743</v>
      </c>
      <c r="F478" s="6" t="s">
        <v>2748</v>
      </c>
    </row>
    <row r="479" customFormat="false" ht="57.45" hidden="false" customHeight="false" outlineLevel="0" collapsed="false">
      <c r="A479" s="5" t="s">
        <v>2781</v>
      </c>
      <c r="B479" s="6" t="s">
        <v>2795</v>
      </c>
      <c r="C479" s="5" t="n">
        <v>81</v>
      </c>
      <c r="D479" s="7" t="s">
        <v>42</v>
      </c>
      <c r="E479" s="6" t="s">
        <v>4131</v>
      </c>
      <c r="F479" s="6" t="s">
        <v>2797</v>
      </c>
    </row>
    <row r="480" customFormat="false" ht="102.2" hidden="false" customHeight="false" outlineLevel="0" collapsed="false">
      <c r="A480" s="5" t="s">
        <v>2781</v>
      </c>
      <c r="B480" s="6" t="s">
        <v>2788</v>
      </c>
      <c r="C480" s="5" t="n">
        <v>43</v>
      </c>
      <c r="D480" s="7" t="s">
        <v>42</v>
      </c>
      <c r="E480" s="6" t="s">
        <v>4132</v>
      </c>
      <c r="F480" s="6" t="s">
        <v>2793</v>
      </c>
    </row>
    <row r="481" customFormat="false" ht="68.65" hidden="false" customHeight="false" outlineLevel="0" collapsed="false">
      <c r="A481" s="5" t="s">
        <v>678</v>
      </c>
      <c r="B481" s="6" t="s">
        <v>712</v>
      </c>
      <c r="C481" s="5" t="n">
        <v>-66</v>
      </c>
      <c r="D481" s="9" t="s">
        <v>365</v>
      </c>
      <c r="E481" s="6" t="s">
        <v>4133</v>
      </c>
      <c r="F481" s="6" t="s">
        <v>714</v>
      </c>
    </row>
    <row r="482" customFormat="false" ht="79.85" hidden="false" customHeight="false" outlineLevel="0" collapsed="false">
      <c r="A482" s="5" t="s">
        <v>678</v>
      </c>
      <c r="B482" s="6" t="s">
        <v>707</v>
      </c>
      <c r="C482" s="5" t="n">
        <v>450</v>
      </c>
      <c r="D482" s="9" t="s">
        <v>365</v>
      </c>
      <c r="E482" s="6" t="s">
        <v>4134</v>
      </c>
      <c r="F482" s="6" t="s">
        <v>710</v>
      </c>
    </row>
    <row r="483" customFormat="false" ht="91" hidden="false" customHeight="false" outlineLevel="0" collapsed="false">
      <c r="A483" s="5" t="s">
        <v>678</v>
      </c>
      <c r="B483" s="6" t="s">
        <v>698</v>
      </c>
      <c r="C483" s="5" t="n">
        <v>8</v>
      </c>
      <c r="D483" s="9" t="s">
        <v>365</v>
      </c>
      <c r="E483" s="6" t="s">
        <v>699</v>
      </c>
      <c r="F483" s="6" t="s">
        <v>700</v>
      </c>
    </row>
    <row r="484" customFormat="false" ht="79.85" hidden="false" customHeight="false" outlineLevel="0" collapsed="false">
      <c r="A484" s="5" t="s">
        <v>678</v>
      </c>
      <c r="B484" s="6" t="s">
        <v>721</v>
      </c>
      <c r="C484" s="5" t="n">
        <v>-500</v>
      </c>
      <c r="D484" s="9" t="s">
        <v>365</v>
      </c>
      <c r="E484" s="6" t="s">
        <v>4135</v>
      </c>
      <c r="F484" s="6" t="s">
        <v>724</v>
      </c>
    </row>
    <row r="485" customFormat="false" ht="79.85" hidden="false" customHeight="false" outlineLevel="0" collapsed="false">
      <c r="A485" s="5" t="s">
        <v>678</v>
      </c>
      <c r="B485" s="6" t="s">
        <v>726</v>
      </c>
      <c r="C485" s="5" t="n">
        <v>300</v>
      </c>
      <c r="D485" s="9" t="s">
        <v>365</v>
      </c>
      <c r="E485" s="6" t="s">
        <v>4136</v>
      </c>
      <c r="F485" s="6" t="s">
        <v>728</v>
      </c>
    </row>
    <row r="486" customFormat="false" ht="79.85" hidden="false" customHeight="false" outlineLevel="0" collapsed="false">
      <c r="A486" s="5" t="s">
        <v>678</v>
      </c>
      <c r="B486" s="6" t="s">
        <v>693</v>
      </c>
      <c r="C486" s="5" t="n">
        <v>10</v>
      </c>
      <c r="D486" s="9" t="s">
        <v>365</v>
      </c>
      <c r="E486" s="6" t="s">
        <v>4137</v>
      </c>
      <c r="F486" s="6" t="s">
        <v>696</v>
      </c>
    </row>
    <row r="487" customFormat="false" ht="79.85" hidden="false" customHeight="false" outlineLevel="0" collapsed="false">
      <c r="A487" s="5" t="s">
        <v>678</v>
      </c>
      <c r="B487" s="6" t="s">
        <v>716</v>
      </c>
      <c r="C487" s="5" t="n">
        <v>400</v>
      </c>
      <c r="D487" s="9" t="s">
        <v>365</v>
      </c>
      <c r="E487" s="6" t="s">
        <v>4138</v>
      </c>
      <c r="F487" s="6" t="s">
        <v>719</v>
      </c>
    </row>
    <row r="488" customFormat="false" ht="91" hidden="false" customHeight="false" outlineLevel="0" collapsed="false">
      <c r="A488" s="5" t="s">
        <v>678</v>
      </c>
      <c r="B488" s="6" t="s">
        <v>702</v>
      </c>
      <c r="C488" s="5" t="n">
        <v>2.5</v>
      </c>
      <c r="D488" s="9" t="s">
        <v>365</v>
      </c>
      <c r="E488" s="6" t="s">
        <v>4139</v>
      </c>
      <c r="F488" s="6" t="s">
        <v>705</v>
      </c>
    </row>
    <row r="489" customFormat="false" ht="124.6" hidden="false" customHeight="false" outlineLevel="0" collapsed="false">
      <c r="A489" s="5" t="s">
        <v>786</v>
      </c>
      <c r="B489" s="6" t="s">
        <v>783</v>
      </c>
      <c r="C489" s="5" t="n">
        <v>5</v>
      </c>
      <c r="D489" s="10" t="s">
        <v>740</v>
      </c>
      <c r="E489" s="6" t="s">
        <v>784</v>
      </c>
      <c r="F489" s="6" t="s">
        <v>785</v>
      </c>
    </row>
    <row r="490" customFormat="false" ht="46.25" hidden="false" customHeight="false" outlineLevel="0" collapsed="false">
      <c r="A490" s="5" t="s">
        <v>1280</v>
      </c>
      <c r="B490" s="6" t="s">
        <v>1302</v>
      </c>
      <c r="C490" s="5" t="n">
        <v>70</v>
      </c>
      <c r="D490" s="7" t="s">
        <v>42</v>
      </c>
      <c r="E490" s="6" t="s">
        <v>3931</v>
      </c>
      <c r="F490" s="6" t="s">
        <v>1303</v>
      </c>
    </row>
    <row r="491" customFormat="false" ht="147" hidden="false" customHeight="false" outlineLevel="0" collapsed="false">
      <c r="A491" s="5" t="s">
        <v>2540</v>
      </c>
      <c r="B491" s="6" t="s">
        <v>2639</v>
      </c>
      <c r="C491" s="5" t="n">
        <v>5</v>
      </c>
      <c r="D491" s="9" t="s">
        <v>365</v>
      </c>
      <c r="E491" s="6" t="s">
        <v>2640</v>
      </c>
      <c r="F491" s="6" t="s">
        <v>2641</v>
      </c>
    </row>
    <row r="492" customFormat="false" ht="79.85" hidden="false" customHeight="false" outlineLevel="0" collapsed="false">
      <c r="A492" s="5" t="s">
        <v>481</v>
      </c>
      <c r="B492" s="6" t="s">
        <v>486</v>
      </c>
      <c r="C492" s="5" t="n">
        <v>10229</v>
      </c>
      <c r="D492" s="7" t="s">
        <v>42</v>
      </c>
      <c r="E492" s="6" t="s">
        <v>4140</v>
      </c>
      <c r="F492" s="6" t="s">
        <v>480</v>
      </c>
    </row>
    <row r="493" customFormat="false" ht="79.85" hidden="false" customHeight="false" outlineLevel="0" collapsed="false">
      <c r="A493" s="5" t="s">
        <v>481</v>
      </c>
      <c r="B493" s="6" t="s">
        <v>478</v>
      </c>
      <c r="C493" s="5" t="n">
        <v>10362</v>
      </c>
      <c r="D493" s="7" t="s">
        <v>42</v>
      </c>
      <c r="E493" s="6" t="s">
        <v>4141</v>
      </c>
      <c r="F493" s="6" t="s">
        <v>480</v>
      </c>
    </row>
    <row r="494" customFormat="false" ht="91" hidden="false" customHeight="false" outlineLevel="0" collapsed="false">
      <c r="A494" s="5" t="s">
        <v>495</v>
      </c>
      <c r="B494" s="6" t="s">
        <v>492</v>
      </c>
      <c r="C494" s="5" t="n">
        <v>5321</v>
      </c>
      <c r="D494" s="7" t="s">
        <v>42</v>
      </c>
      <c r="E494" s="6" t="s">
        <v>4142</v>
      </c>
      <c r="F494" s="6" t="s">
        <v>494</v>
      </c>
    </row>
    <row r="495" customFormat="false" ht="79.85" hidden="false" customHeight="false" outlineLevel="0" collapsed="false">
      <c r="A495" s="5" t="s">
        <v>481</v>
      </c>
      <c r="B495" s="6" t="s">
        <v>489</v>
      </c>
      <c r="C495" s="5" t="n">
        <v>10110</v>
      </c>
      <c r="D495" s="7" t="s">
        <v>42</v>
      </c>
      <c r="E495" s="6" t="s">
        <v>4143</v>
      </c>
      <c r="F495" s="6" t="s">
        <v>480</v>
      </c>
    </row>
    <row r="496" customFormat="false" ht="79.85" hidden="false" customHeight="false" outlineLevel="0" collapsed="false">
      <c r="A496" s="5" t="s">
        <v>481</v>
      </c>
      <c r="B496" s="6" t="s">
        <v>483</v>
      </c>
      <c r="C496" s="5" t="n">
        <v>10954</v>
      </c>
      <c r="D496" s="7" t="s">
        <v>42</v>
      </c>
      <c r="E496" s="6" t="s">
        <v>4144</v>
      </c>
      <c r="F496" s="6" t="s">
        <v>480</v>
      </c>
    </row>
    <row r="497" customFormat="false" ht="35.05" hidden="false" customHeight="false" outlineLevel="0" collapsed="false">
      <c r="A497" s="5" t="s">
        <v>113</v>
      </c>
      <c r="B497" s="6" t="s">
        <v>107</v>
      </c>
      <c r="C497" s="5" t="n">
        <v>1.16</v>
      </c>
      <c r="D497" s="7" t="s">
        <v>42</v>
      </c>
      <c r="E497" s="6" t="s">
        <v>4145</v>
      </c>
      <c r="F497" s="6" t="s">
        <v>112</v>
      </c>
    </row>
    <row r="498" customFormat="false" ht="35.05" hidden="false" customHeight="false" outlineLevel="0" collapsed="false">
      <c r="A498" s="5" t="s">
        <v>113</v>
      </c>
      <c r="B498" s="6" t="s">
        <v>115</v>
      </c>
      <c r="C498" s="5" t="n">
        <v>0.87</v>
      </c>
      <c r="D498" s="7" t="s">
        <v>42</v>
      </c>
      <c r="E498" s="6" t="s">
        <v>4145</v>
      </c>
      <c r="F498" s="6" t="s">
        <v>116</v>
      </c>
    </row>
    <row r="499" customFormat="false" ht="35.05" hidden="false" customHeight="false" outlineLevel="0" collapsed="false">
      <c r="A499" s="5" t="s">
        <v>2922</v>
      </c>
      <c r="B499" s="6" t="s">
        <v>3016</v>
      </c>
      <c r="C499" s="5" t="n">
        <v>234600</v>
      </c>
      <c r="D499" s="7" t="s">
        <v>42</v>
      </c>
      <c r="E499" s="6" t="s">
        <v>4146</v>
      </c>
      <c r="F499" s="6" t="s">
        <v>3012</v>
      </c>
    </row>
    <row r="500" customFormat="false" ht="35.05" hidden="false" customHeight="false" outlineLevel="0" collapsed="false">
      <c r="A500" s="5" t="s">
        <v>2922</v>
      </c>
      <c r="B500" s="6" t="s">
        <v>3008</v>
      </c>
      <c r="C500" s="5" t="n">
        <v>78120</v>
      </c>
      <c r="D500" s="7" t="s">
        <v>42</v>
      </c>
      <c r="E500" s="6" t="s">
        <v>4146</v>
      </c>
      <c r="F500" s="6" t="s">
        <v>3012</v>
      </c>
    </row>
    <row r="501" customFormat="false" ht="35.05" hidden="false" customHeight="false" outlineLevel="0" collapsed="false">
      <c r="A501" s="5" t="s">
        <v>2922</v>
      </c>
      <c r="B501" s="6" t="s">
        <v>3018</v>
      </c>
      <c r="C501" s="5" t="n">
        <v>483000</v>
      </c>
      <c r="D501" s="7" t="s">
        <v>42</v>
      </c>
      <c r="E501" s="6" t="s">
        <v>4146</v>
      </c>
      <c r="F501" s="6" t="s">
        <v>3012</v>
      </c>
    </row>
    <row r="502" customFormat="false" ht="35.05" hidden="false" customHeight="false" outlineLevel="0" collapsed="false">
      <c r="A502" s="5" t="s">
        <v>2922</v>
      </c>
      <c r="B502" s="6" t="s">
        <v>3014</v>
      </c>
      <c r="C502" s="5" t="n">
        <v>136800</v>
      </c>
      <c r="D502" s="7" t="s">
        <v>42</v>
      </c>
      <c r="E502" s="6" t="s">
        <v>4146</v>
      </c>
      <c r="F502" s="6" t="s">
        <v>3012</v>
      </c>
    </row>
    <row r="503" customFormat="false" ht="35.05" hidden="false" customHeight="false" outlineLevel="0" collapsed="false">
      <c r="A503" s="5" t="s">
        <v>2922</v>
      </c>
      <c r="B503" s="6" t="s">
        <v>3026</v>
      </c>
      <c r="C503" s="5" t="n">
        <v>500</v>
      </c>
      <c r="D503" s="7" t="s">
        <v>42</v>
      </c>
      <c r="E503" s="6" t="s">
        <v>4147</v>
      </c>
      <c r="F503" s="6" t="s">
        <v>3027</v>
      </c>
    </row>
    <row r="504" customFormat="false" ht="23.85" hidden="false" customHeight="false" outlineLevel="0" collapsed="false">
      <c r="A504" s="5" t="s">
        <v>2922</v>
      </c>
      <c r="B504" s="6" t="s">
        <v>3020</v>
      </c>
      <c r="C504" s="5" t="n">
        <v>300</v>
      </c>
      <c r="D504" s="7" t="s">
        <v>42</v>
      </c>
      <c r="E504" s="6" t="s">
        <v>4147</v>
      </c>
      <c r="F504" s="6" t="s">
        <v>3024</v>
      </c>
    </row>
    <row r="505" customFormat="false" ht="57.45" hidden="false" customHeight="false" outlineLevel="0" collapsed="false">
      <c r="A505" s="5" t="s">
        <v>554</v>
      </c>
      <c r="B505" s="6" t="s">
        <v>590</v>
      </c>
      <c r="C505" s="5" t="n">
        <v>22411</v>
      </c>
      <c r="D505" s="7" t="s">
        <v>42</v>
      </c>
      <c r="E505" s="6" t="s">
        <v>4148</v>
      </c>
      <c r="F505" s="6" t="s">
        <v>592</v>
      </c>
    </row>
    <row r="506" customFormat="false" ht="46.25" hidden="false" customHeight="false" outlineLevel="0" collapsed="false">
      <c r="A506" s="5" t="s">
        <v>554</v>
      </c>
      <c r="B506" s="6" t="s">
        <v>583</v>
      </c>
      <c r="C506" s="5" t="n">
        <v>22128</v>
      </c>
      <c r="D506" s="7" t="s">
        <v>42</v>
      </c>
      <c r="E506" s="6" t="s">
        <v>4149</v>
      </c>
      <c r="F506" s="6" t="s">
        <v>577</v>
      </c>
    </row>
    <row r="507" customFormat="false" ht="46.25" hidden="false" customHeight="false" outlineLevel="0" collapsed="false">
      <c r="A507" s="5" t="s">
        <v>554</v>
      </c>
      <c r="B507" s="6" t="s">
        <v>556</v>
      </c>
      <c r="C507" s="5" t="n">
        <v>154496</v>
      </c>
      <c r="D507" s="7" t="s">
        <v>42</v>
      </c>
      <c r="E507" s="6" t="s">
        <v>4150</v>
      </c>
      <c r="F507" s="6" t="s">
        <v>557</v>
      </c>
    </row>
    <row r="508" customFormat="false" ht="57.45" hidden="false" customHeight="false" outlineLevel="0" collapsed="false">
      <c r="A508" s="5" t="s">
        <v>2379</v>
      </c>
      <c r="B508" s="6" t="s">
        <v>2414</v>
      </c>
      <c r="C508" s="5" t="n">
        <v>227</v>
      </c>
      <c r="D508" s="7" t="s">
        <v>42</v>
      </c>
      <c r="E508" s="6" t="s">
        <v>4151</v>
      </c>
      <c r="F508" s="6" t="s">
        <v>2416</v>
      </c>
    </row>
    <row r="509" customFormat="false" ht="46.25" hidden="false" customHeight="false" outlineLevel="0" collapsed="false">
      <c r="A509" s="5" t="s">
        <v>2379</v>
      </c>
      <c r="B509" s="6" t="s">
        <v>2418</v>
      </c>
      <c r="C509" s="5" t="n">
        <v>0.43</v>
      </c>
      <c r="D509" s="7" t="s">
        <v>42</v>
      </c>
      <c r="E509" s="6" t="s">
        <v>4152</v>
      </c>
      <c r="F509" s="6" t="s">
        <v>2420</v>
      </c>
    </row>
    <row r="510" customFormat="false" ht="57.45" hidden="false" customHeight="false" outlineLevel="0" collapsed="false">
      <c r="A510" s="5" t="s">
        <v>2379</v>
      </c>
      <c r="B510" s="6" t="s">
        <v>2410</v>
      </c>
      <c r="C510" s="5" t="n">
        <v>708</v>
      </c>
      <c r="D510" s="7" t="s">
        <v>42</v>
      </c>
      <c r="E510" s="6" t="s">
        <v>4153</v>
      </c>
      <c r="F510" s="6" t="s">
        <v>2412</v>
      </c>
    </row>
    <row r="511" customFormat="false" ht="46.25" hidden="false" customHeight="false" outlineLevel="0" collapsed="false">
      <c r="A511" s="5" t="s">
        <v>554</v>
      </c>
      <c r="B511" s="6" t="s">
        <v>586</v>
      </c>
      <c r="C511" s="5" t="n">
        <v>56.7</v>
      </c>
      <c r="D511" s="7" t="s">
        <v>42</v>
      </c>
      <c r="E511" s="6" t="s">
        <v>4154</v>
      </c>
      <c r="F511" s="6" t="s">
        <v>588</v>
      </c>
    </row>
    <row r="512" customFormat="false" ht="46.25" hidden="false" customHeight="false" outlineLevel="0" collapsed="false">
      <c r="A512" s="5" t="s">
        <v>554</v>
      </c>
      <c r="B512" s="6" t="s">
        <v>579</v>
      </c>
      <c r="C512" s="5" t="n">
        <v>26.6</v>
      </c>
      <c r="D512" s="7" t="s">
        <v>42</v>
      </c>
      <c r="E512" s="6" t="s">
        <v>4155</v>
      </c>
      <c r="F512" s="6" t="s">
        <v>581</v>
      </c>
    </row>
    <row r="513" customFormat="false" ht="57.45" hidden="false" customHeight="false" outlineLevel="0" collapsed="false">
      <c r="A513" s="5" t="s">
        <v>554</v>
      </c>
      <c r="B513" s="6" t="s">
        <v>563</v>
      </c>
      <c r="C513" s="5" t="n">
        <v>33.8</v>
      </c>
      <c r="D513" s="7" t="s">
        <v>42</v>
      </c>
      <c r="E513" s="6" t="s">
        <v>4156</v>
      </c>
      <c r="F513" s="6" t="s">
        <v>565</v>
      </c>
    </row>
    <row r="514" customFormat="false" ht="57.45" hidden="false" customHeight="false" outlineLevel="0" collapsed="false">
      <c r="A514" s="5" t="s">
        <v>554</v>
      </c>
      <c r="B514" s="6" t="s">
        <v>571</v>
      </c>
      <c r="C514" s="5" t="n">
        <v>21.9</v>
      </c>
      <c r="D514" s="7" t="s">
        <v>42</v>
      </c>
      <c r="E514" s="6" t="s">
        <v>4157</v>
      </c>
      <c r="F514" s="6" t="s">
        <v>573</v>
      </c>
    </row>
    <row r="515" customFormat="false" ht="46.25" hidden="false" customHeight="false" outlineLevel="0" collapsed="false">
      <c r="A515" s="5" t="s">
        <v>554</v>
      </c>
      <c r="B515" s="6" t="s">
        <v>551</v>
      </c>
      <c r="C515" s="5" t="n">
        <v>27.5</v>
      </c>
      <c r="D515" s="7" t="s">
        <v>42</v>
      </c>
      <c r="E515" s="6" t="s">
        <v>4150</v>
      </c>
      <c r="F515" s="6" t="s">
        <v>553</v>
      </c>
    </row>
    <row r="516" customFormat="false" ht="46.25" hidden="false" customHeight="false" outlineLevel="0" collapsed="false">
      <c r="A516" s="5" t="s">
        <v>554</v>
      </c>
      <c r="B516" s="6" t="s">
        <v>559</v>
      </c>
      <c r="C516" s="5" t="n">
        <v>68.1</v>
      </c>
      <c r="D516" s="7" t="s">
        <v>42</v>
      </c>
      <c r="E516" s="6" t="s">
        <v>4158</v>
      </c>
      <c r="F516" s="6" t="s">
        <v>561</v>
      </c>
    </row>
    <row r="517" customFormat="false" ht="46.25" hidden="false" customHeight="false" outlineLevel="0" collapsed="false">
      <c r="A517" s="5" t="s">
        <v>554</v>
      </c>
      <c r="B517" s="6" t="s">
        <v>567</v>
      </c>
      <c r="C517" s="5" t="n">
        <v>22.8</v>
      </c>
      <c r="D517" s="7" t="s">
        <v>42</v>
      </c>
      <c r="E517" s="6" t="s">
        <v>4159</v>
      </c>
      <c r="F517" s="6" t="s">
        <v>569</v>
      </c>
    </row>
    <row r="518" customFormat="false" ht="46.25" hidden="false" customHeight="false" outlineLevel="0" collapsed="false">
      <c r="A518" s="5" t="s">
        <v>554</v>
      </c>
      <c r="B518" s="6" t="s">
        <v>575</v>
      </c>
      <c r="C518" s="5" t="n">
        <v>28.6</v>
      </c>
      <c r="D518" s="7" t="s">
        <v>42</v>
      </c>
      <c r="E518" s="6" t="s">
        <v>4160</v>
      </c>
      <c r="F518" s="6" t="s">
        <v>577</v>
      </c>
    </row>
    <row r="519" customFormat="false" ht="46.25" hidden="false" customHeight="false" outlineLevel="0" collapsed="false">
      <c r="A519" s="5" t="s">
        <v>554</v>
      </c>
      <c r="B519" s="6" t="s">
        <v>594</v>
      </c>
      <c r="C519" s="5" t="n">
        <v>48.8</v>
      </c>
      <c r="D519" s="7" t="s">
        <v>42</v>
      </c>
      <c r="E519" s="6" t="s">
        <v>4161</v>
      </c>
      <c r="F519" s="6" t="s">
        <v>577</v>
      </c>
    </row>
    <row r="520" customFormat="false" ht="57.45" hidden="false" customHeight="false" outlineLevel="0" collapsed="false">
      <c r="A520" s="5" t="s">
        <v>2379</v>
      </c>
      <c r="B520" s="6" t="s">
        <v>2406</v>
      </c>
      <c r="C520" s="5" t="n">
        <v>2125</v>
      </c>
      <c r="D520" s="7" t="s">
        <v>42</v>
      </c>
      <c r="E520" s="6" t="s">
        <v>4162</v>
      </c>
      <c r="F520" s="6" t="s">
        <v>2408</v>
      </c>
    </row>
    <row r="521" customFormat="false" ht="46.25" hidden="false" customHeight="false" outlineLevel="0" collapsed="false">
      <c r="A521" s="5" t="s">
        <v>1384</v>
      </c>
      <c r="B521" s="6" t="s">
        <v>1452</v>
      </c>
      <c r="C521" s="5" t="n">
        <v>34</v>
      </c>
      <c r="D521" s="7" t="s">
        <v>42</v>
      </c>
      <c r="E521" s="6" t="s">
        <v>4163</v>
      </c>
      <c r="F521" s="6" t="s">
        <v>1450</v>
      </c>
    </row>
    <row r="522" customFormat="false" ht="46.25" hidden="false" customHeight="false" outlineLevel="0" collapsed="false">
      <c r="A522" s="5" t="s">
        <v>1384</v>
      </c>
      <c r="B522" s="6" t="s">
        <v>1445</v>
      </c>
      <c r="C522" s="5" t="n">
        <v>17</v>
      </c>
      <c r="D522" s="7" t="s">
        <v>42</v>
      </c>
      <c r="E522" s="6" t="s">
        <v>4163</v>
      </c>
      <c r="F522" s="6" t="s">
        <v>1450</v>
      </c>
    </row>
    <row r="523" customFormat="false" ht="35.05" hidden="false" customHeight="false" outlineLevel="0" collapsed="false">
      <c r="A523" s="5" t="s">
        <v>1932</v>
      </c>
      <c r="B523" s="6" t="s">
        <v>2050</v>
      </c>
      <c r="C523" s="5" t="n">
        <v>60.54</v>
      </c>
      <c r="D523" s="7" t="s">
        <v>42</v>
      </c>
      <c r="E523" s="6" t="s">
        <v>4164</v>
      </c>
      <c r="F523" s="6" t="s">
        <v>2053</v>
      </c>
    </row>
    <row r="524" customFormat="false" ht="113.4" hidden="false" customHeight="false" outlineLevel="0" collapsed="false">
      <c r="A524" s="5" t="s">
        <v>2323</v>
      </c>
      <c r="B524" s="6" t="s">
        <v>2320</v>
      </c>
      <c r="C524" s="5"/>
      <c r="D524" s="7" t="s">
        <v>42</v>
      </c>
      <c r="E524" s="6" t="s">
        <v>4165</v>
      </c>
      <c r="F524" s="6" t="s">
        <v>2322</v>
      </c>
    </row>
    <row r="525" customFormat="false" ht="68.65" hidden="false" customHeight="false" outlineLevel="0" collapsed="false">
      <c r="A525" s="5" t="s">
        <v>2379</v>
      </c>
      <c r="B525" s="6" t="s">
        <v>2381</v>
      </c>
      <c r="C525" s="5"/>
      <c r="D525" s="7" t="s">
        <v>42</v>
      </c>
      <c r="E525" s="6" t="s">
        <v>4166</v>
      </c>
      <c r="F525" s="6" t="s">
        <v>2383</v>
      </c>
    </row>
    <row r="526" customFormat="false" ht="79.85" hidden="false" customHeight="false" outlineLevel="0" collapsed="false">
      <c r="A526" s="5" t="s">
        <v>2379</v>
      </c>
      <c r="B526" s="6" t="s">
        <v>2376</v>
      </c>
      <c r="C526" s="5"/>
      <c r="D526" s="7" t="s">
        <v>42</v>
      </c>
      <c r="E526" s="6" t="s">
        <v>4167</v>
      </c>
      <c r="F526" s="6" t="s">
        <v>2378</v>
      </c>
    </row>
    <row r="527" customFormat="false" ht="68.65" hidden="false" customHeight="false" outlineLevel="0" collapsed="false">
      <c r="A527" s="5" t="s">
        <v>2603</v>
      </c>
      <c r="B527" s="6" t="s">
        <v>2598</v>
      </c>
      <c r="C527" s="5" t="n">
        <v>8.4</v>
      </c>
      <c r="D527" s="7" t="s">
        <v>42</v>
      </c>
      <c r="E527" s="6" t="s">
        <v>4168</v>
      </c>
      <c r="F527" s="6" t="s">
        <v>2602</v>
      </c>
    </row>
    <row r="528" customFormat="false" ht="46.25" hidden="false" customHeight="false" outlineLevel="0" collapsed="false">
      <c r="A528" s="5" t="s">
        <v>2603</v>
      </c>
      <c r="B528" s="6" t="s">
        <v>2605</v>
      </c>
      <c r="C528" s="5" t="n">
        <v>5</v>
      </c>
      <c r="D528" s="7" t="s">
        <v>42</v>
      </c>
      <c r="E528" s="6" t="s">
        <v>4169</v>
      </c>
      <c r="F528" s="6" t="s">
        <v>2607</v>
      </c>
    </row>
    <row r="529" customFormat="false" ht="46.25" hidden="false" customHeight="false" outlineLevel="0" collapsed="false">
      <c r="A529" s="5" t="s">
        <v>2540</v>
      </c>
      <c r="B529" s="6" t="s">
        <v>2594</v>
      </c>
      <c r="C529" s="5" t="n">
        <v>19</v>
      </c>
      <c r="D529" s="7" t="s">
        <v>42</v>
      </c>
      <c r="E529" s="6" t="s">
        <v>4170</v>
      </c>
      <c r="F529" s="6" t="s">
        <v>2596</v>
      </c>
    </row>
    <row r="530" customFormat="false" ht="68.65" hidden="false" customHeight="false" outlineLevel="0" collapsed="false">
      <c r="A530" s="5" t="s">
        <v>2540</v>
      </c>
      <c r="B530" s="6" t="s">
        <v>2590</v>
      </c>
      <c r="C530" s="5" t="n">
        <v>9.5</v>
      </c>
      <c r="D530" s="7" t="s">
        <v>42</v>
      </c>
      <c r="E530" s="6" t="s">
        <v>4171</v>
      </c>
      <c r="F530" s="6" t="s">
        <v>2592</v>
      </c>
    </row>
    <row r="531" customFormat="false" ht="57.45" hidden="false" customHeight="false" outlineLevel="0" collapsed="false">
      <c r="A531" s="5" t="s">
        <v>522</v>
      </c>
      <c r="B531" s="6" t="s">
        <v>520</v>
      </c>
      <c r="C531" s="5" t="n">
        <v>10</v>
      </c>
      <c r="D531" s="9" t="s">
        <v>365</v>
      </c>
      <c r="E531" s="6" t="s">
        <v>512</v>
      </c>
      <c r="F531" s="6" t="s">
        <v>521</v>
      </c>
    </row>
    <row r="532" customFormat="false" ht="35.05" hidden="false" customHeight="false" outlineLevel="0" collapsed="false">
      <c r="A532" s="5" t="s">
        <v>2200</v>
      </c>
      <c r="B532" s="6" t="s">
        <v>2242</v>
      </c>
      <c r="C532" s="5" t="n">
        <v>43.1</v>
      </c>
      <c r="D532" s="7" t="s">
        <v>42</v>
      </c>
      <c r="E532" s="6" t="s">
        <v>4172</v>
      </c>
      <c r="F532" s="6" t="s">
        <v>2237</v>
      </c>
    </row>
    <row r="533" customFormat="false" ht="35.05" hidden="false" customHeight="false" outlineLevel="0" collapsed="false">
      <c r="A533" s="5" t="s">
        <v>2200</v>
      </c>
      <c r="B533" s="6" t="s">
        <v>2233</v>
      </c>
      <c r="C533" s="5" t="n">
        <v>39.2</v>
      </c>
      <c r="D533" s="7" t="s">
        <v>42</v>
      </c>
      <c r="E533" s="6" t="s">
        <v>4172</v>
      </c>
      <c r="F533" s="6" t="s">
        <v>2237</v>
      </c>
    </row>
    <row r="534" customFormat="false" ht="46.25" hidden="false" customHeight="false" outlineLevel="0" collapsed="false">
      <c r="A534" s="5" t="s">
        <v>2200</v>
      </c>
      <c r="B534" s="6" t="s">
        <v>2244</v>
      </c>
      <c r="C534" s="5" t="n">
        <v>43.6</v>
      </c>
      <c r="D534" s="7" t="s">
        <v>42</v>
      </c>
      <c r="E534" s="6" t="s">
        <v>4172</v>
      </c>
      <c r="F534" s="6" t="s">
        <v>2245</v>
      </c>
    </row>
    <row r="535" customFormat="false" ht="46.25" hidden="false" customHeight="false" outlineLevel="0" collapsed="false">
      <c r="A535" s="5" t="s">
        <v>2200</v>
      </c>
      <c r="B535" s="6" t="s">
        <v>2239</v>
      </c>
      <c r="C535" s="5" t="n">
        <v>45.5</v>
      </c>
      <c r="D535" s="7" t="s">
        <v>42</v>
      </c>
      <c r="E535" s="6" t="s">
        <v>4172</v>
      </c>
      <c r="F535" s="6" t="s">
        <v>2240</v>
      </c>
    </row>
    <row r="536" customFormat="false" ht="68.65" hidden="false" customHeight="false" outlineLevel="0" collapsed="false">
      <c r="A536" s="5" t="s">
        <v>411</v>
      </c>
      <c r="B536" s="6" t="s">
        <v>425</v>
      </c>
      <c r="C536" s="5"/>
      <c r="D536" s="7" t="s">
        <v>42</v>
      </c>
      <c r="E536" s="6" t="s">
        <v>4173</v>
      </c>
      <c r="F536" s="6" t="s">
        <v>427</v>
      </c>
    </row>
    <row r="537" customFormat="false" ht="79.85" hidden="false" customHeight="false" outlineLevel="0" collapsed="false">
      <c r="A537" s="5" t="s">
        <v>386</v>
      </c>
      <c r="B537" s="6" t="s">
        <v>388</v>
      </c>
      <c r="C537" s="5"/>
      <c r="D537" s="7" t="s">
        <v>42</v>
      </c>
      <c r="E537" s="6" t="s">
        <v>4174</v>
      </c>
      <c r="F537" s="6" t="s">
        <v>392</v>
      </c>
    </row>
    <row r="538" customFormat="false" ht="68.65" hidden="false" customHeight="false" outlineLevel="0" collapsed="false">
      <c r="A538" s="5" t="s">
        <v>2454</v>
      </c>
      <c r="B538" s="6" t="s">
        <v>2490</v>
      </c>
      <c r="C538" s="5"/>
      <c r="D538" s="7" t="s">
        <v>42</v>
      </c>
      <c r="E538" s="6" t="s">
        <v>4175</v>
      </c>
      <c r="F538" s="6" t="s">
        <v>2493</v>
      </c>
    </row>
    <row r="539" customFormat="false" ht="91" hidden="false" customHeight="false" outlineLevel="0" collapsed="false">
      <c r="A539" s="5" t="s">
        <v>2323</v>
      </c>
      <c r="B539" s="6" t="s">
        <v>2335</v>
      </c>
      <c r="C539" s="5"/>
      <c r="D539" s="7" t="s">
        <v>42</v>
      </c>
      <c r="E539" s="6" t="s">
        <v>4176</v>
      </c>
      <c r="F539" s="6" t="s">
        <v>2338</v>
      </c>
    </row>
    <row r="540" customFormat="false" ht="79.85" hidden="false" customHeight="false" outlineLevel="0" collapsed="false">
      <c r="A540" s="5" t="s">
        <v>2379</v>
      </c>
      <c r="B540" s="6" t="s">
        <v>2385</v>
      </c>
      <c r="C540" s="5"/>
      <c r="D540" s="7" t="s">
        <v>42</v>
      </c>
      <c r="E540" s="6" t="s">
        <v>4177</v>
      </c>
      <c r="F540" s="6" t="s">
        <v>2389</v>
      </c>
    </row>
    <row r="541" customFormat="false" ht="102.2" hidden="false" customHeight="false" outlineLevel="0" collapsed="false">
      <c r="A541" s="5" t="s">
        <v>2745</v>
      </c>
      <c r="B541" s="6" t="s">
        <v>2750</v>
      </c>
      <c r="C541" s="5" t="n">
        <v>18</v>
      </c>
      <c r="D541" s="8" t="s">
        <v>170</v>
      </c>
      <c r="E541" s="6" t="s">
        <v>2743</v>
      </c>
      <c r="F541" s="6" t="s">
        <v>2752</v>
      </c>
    </row>
    <row r="542" customFormat="false" ht="102.2" hidden="false" customHeight="false" outlineLevel="0" collapsed="false">
      <c r="A542" s="5" t="s">
        <v>2745</v>
      </c>
      <c r="B542" s="6" t="s">
        <v>2754</v>
      </c>
      <c r="C542" s="5" t="n">
        <v>21</v>
      </c>
      <c r="D542" s="8" t="s">
        <v>170</v>
      </c>
      <c r="E542" s="6" t="s">
        <v>2743</v>
      </c>
      <c r="F542" s="6" t="s">
        <v>2755</v>
      </c>
    </row>
    <row r="543" customFormat="false" ht="102.2" hidden="false" customHeight="false" outlineLevel="0" collapsed="false">
      <c r="A543" s="5" t="s">
        <v>2745</v>
      </c>
      <c r="B543" s="6" t="s">
        <v>2757</v>
      </c>
      <c r="C543" s="5" t="n">
        <v>33</v>
      </c>
      <c r="D543" s="8" t="s">
        <v>170</v>
      </c>
      <c r="E543" s="6" t="s">
        <v>2743</v>
      </c>
      <c r="F543" s="6" t="s">
        <v>2758</v>
      </c>
    </row>
    <row r="544" customFormat="false" ht="79.85" hidden="false" customHeight="false" outlineLevel="0" collapsed="false">
      <c r="A544" s="5" t="s">
        <v>1932</v>
      </c>
      <c r="B544" s="6" t="s">
        <v>2045</v>
      </c>
      <c r="C544" s="5" t="n">
        <v>9.3</v>
      </c>
      <c r="D544" s="8" t="s">
        <v>170</v>
      </c>
      <c r="E544" s="6" t="s">
        <v>2035</v>
      </c>
      <c r="F544" s="6" t="s">
        <v>2036</v>
      </c>
    </row>
    <row r="545" customFormat="false" ht="79.85" hidden="false" customHeight="false" outlineLevel="0" collapsed="false">
      <c r="A545" s="5" t="s">
        <v>1932</v>
      </c>
      <c r="B545" s="6" t="s">
        <v>2043</v>
      </c>
      <c r="C545" s="5" t="n">
        <v>30.3</v>
      </c>
      <c r="D545" s="8" t="s">
        <v>170</v>
      </c>
      <c r="E545" s="6" t="s">
        <v>2035</v>
      </c>
      <c r="F545" s="6" t="s">
        <v>2036</v>
      </c>
    </row>
    <row r="546" customFormat="false" ht="91" hidden="false" customHeight="false" outlineLevel="0" collapsed="false">
      <c r="A546" s="5" t="s">
        <v>1932</v>
      </c>
      <c r="B546" s="6" t="s">
        <v>2038</v>
      </c>
      <c r="C546" s="5" t="n">
        <v>0.81</v>
      </c>
      <c r="D546" s="8" t="s">
        <v>170</v>
      </c>
      <c r="E546" s="6" t="s">
        <v>2035</v>
      </c>
      <c r="F546" s="6" t="s">
        <v>2039</v>
      </c>
    </row>
    <row r="547" customFormat="false" ht="79.85" hidden="false" customHeight="false" outlineLevel="0" collapsed="false">
      <c r="A547" s="5" t="s">
        <v>1932</v>
      </c>
      <c r="B547" s="6" t="s">
        <v>2034</v>
      </c>
      <c r="C547" s="5" t="n">
        <v>0.73</v>
      </c>
      <c r="D547" s="8" t="s">
        <v>170</v>
      </c>
      <c r="E547" s="6" t="s">
        <v>2035</v>
      </c>
      <c r="F547" s="6" t="s">
        <v>2036</v>
      </c>
    </row>
    <row r="548" customFormat="false" ht="79.85" hidden="false" customHeight="false" outlineLevel="0" collapsed="false">
      <c r="A548" s="5" t="s">
        <v>1932</v>
      </c>
      <c r="B548" s="6" t="s">
        <v>2041</v>
      </c>
      <c r="C548" s="5" t="n">
        <v>0.82</v>
      </c>
      <c r="D548" s="8" t="s">
        <v>170</v>
      </c>
      <c r="E548" s="6" t="s">
        <v>2035</v>
      </c>
      <c r="F548" s="6" t="s">
        <v>2036</v>
      </c>
    </row>
    <row r="549" customFormat="false" ht="91" hidden="false" customHeight="false" outlineLevel="0" collapsed="false">
      <c r="A549" s="5" t="s">
        <v>1932</v>
      </c>
      <c r="B549" s="6" t="s">
        <v>2047</v>
      </c>
      <c r="C549" s="5" t="n">
        <v>0.1</v>
      </c>
      <c r="D549" s="8" t="s">
        <v>170</v>
      </c>
      <c r="E549" s="6" t="s">
        <v>2035</v>
      </c>
      <c r="F549" s="6" t="s">
        <v>2048</v>
      </c>
    </row>
    <row r="550" customFormat="false" ht="57.45" hidden="false" customHeight="false" outlineLevel="0" collapsed="false">
      <c r="A550" s="5" t="s">
        <v>1932</v>
      </c>
      <c r="B550" s="6" t="s">
        <v>2029</v>
      </c>
      <c r="C550" s="5" t="n">
        <v>5</v>
      </c>
      <c r="D550" s="8" t="s">
        <v>170</v>
      </c>
      <c r="E550" s="6" t="s">
        <v>2022</v>
      </c>
      <c r="F550" s="6" t="s">
        <v>2030</v>
      </c>
    </row>
    <row r="551" customFormat="false" ht="57.45" hidden="false" customHeight="false" outlineLevel="0" collapsed="false">
      <c r="A551" s="5" t="s">
        <v>1932</v>
      </c>
      <c r="B551" s="6" t="s">
        <v>2032</v>
      </c>
      <c r="C551" s="5" t="n">
        <v>-6</v>
      </c>
      <c r="D551" s="8" t="s">
        <v>170</v>
      </c>
      <c r="E551" s="6" t="s">
        <v>2022</v>
      </c>
      <c r="F551" s="6" t="s">
        <v>2030</v>
      </c>
    </row>
    <row r="552" customFormat="false" ht="57.45" hidden="false" customHeight="false" outlineLevel="0" collapsed="false">
      <c r="A552" s="5" t="s">
        <v>1932</v>
      </c>
      <c r="B552" s="6" t="s">
        <v>2021</v>
      </c>
      <c r="C552" s="5" t="n">
        <v>1.05</v>
      </c>
      <c r="D552" s="8" t="s">
        <v>170</v>
      </c>
      <c r="E552" s="6" t="s">
        <v>2022</v>
      </c>
      <c r="F552" s="6" t="s">
        <v>2023</v>
      </c>
    </row>
    <row r="553" customFormat="false" ht="57.45" hidden="false" customHeight="false" outlineLevel="0" collapsed="false">
      <c r="A553" s="5" t="s">
        <v>1932</v>
      </c>
      <c r="B553" s="6" t="s">
        <v>2027</v>
      </c>
      <c r="C553" s="5" t="n">
        <v>0.96</v>
      </c>
      <c r="D553" s="8" t="s">
        <v>170</v>
      </c>
      <c r="E553" s="6" t="s">
        <v>2022</v>
      </c>
      <c r="F553" s="6" t="s">
        <v>2023</v>
      </c>
    </row>
    <row r="554" customFormat="false" ht="57.45" hidden="false" customHeight="false" outlineLevel="0" collapsed="false">
      <c r="A554" s="5" t="s">
        <v>1932</v>
      </c>
      <c r="B554" s="6" t="s">
        <v>2025</v>
      </c>
      <c r="C554" s="5" t="n">
        <v>1.49</v>
      </c>
      <c r="D554" s="8" t="s">
        <v>170</v>
      </c>
      <c r="E554" s="6" t="s">
        <v>2022</v>
      </c>
      <c r="F554" s="6" t="s">
        <v>2023</v>
      </c>
    </row>
    <row r="555" customFormat="false" ht="102.2" hidden="false" customHeight="false" outlineLevel="0" collapsed="false">
      <c r="A555" s="5" t="s">
        <v>1892</v>
      </c>
      <c r="B555" s="6" t="s">
        <v>1897</v>
      </c>
      <c r="C555" s="5" t="n">
        <v>0.882</v>
      </c>
      <c r="D555" s="8" t="s">
        <v>170</v>
      </c>
      <c r="E555" s="6" t="s">
        <v>1890</v>
      </c>
      <c r="F555" s="6" t="s">
        <v>1891</v>
      </c>
    </row>
    <row r="556" customFormat="false" ht="102.2" hidden="false" customHeight="false" outlineLevel="0" collapsed="false">
      <c r="A556" s="5" t="s">
        <v>1892</v>
      </c>
      <c r="B556" s="6" t="s">
        <v>1909</v>
      </c>
      <c r="C556" s="5" t="n">
        <v>6.1</v>
      </c>
      <c r="D556" s="8" t="s">
        <v>170</v>
      </c>
      <c r="E556" s="6" t="s">
        <v>1890</v>
      </c>
      <c r="F556" s="6" t="s">
        <v>1891</v>
      </c>
    </row>
    <row r="557" customFormat="false" ht="102.2" hidden="false" customHeight="false" outlineLevel="0" collapsed="false">
      <c r="A557" s="5" t="s">
        <v>1892</v>
      </c>
      <c r="B557" s="6" t="s">
        <v>1889</v>
      </c>
      <c r="C557" s="5" t="n">
        <v>1.84</v>
      </c>
      <c r="D557" s="8" t="s">
        <v>170</v>
      </c>
      <c r="E557" s="6" t="s">
        <v>1890</v>
      </c>
      <c r="F557" s="6" t="s">
        <v>1891</v>
      </c>
    </row>
    <row r="558" customFormat="false" ht="124.6" hidden="false" customHeight="false" outlineLevel="0" collapsed="false">
      <c r="A558" s="5" t="s">
        <v>1892</v>
      </c>
      <c r="B558" s="6" t="s">
        <v>1917</v>
      </c>
      <c r="C558" s="5" t="n">
        <v>1.24</v>
      </c>
      <c r="D558" s="8" t="s">
        <v>170</v>
      </c>
      <c r="E558" s="6" t="s">
        <v>1890</v>
      </c>
      <c r="F558" s="6" t="s">
        <v>1915</v>
      </c>
    </row>
    <row r="559" customFormat="false" ht="124.6" hidden="false" customHeight="false" outlineLevel="0" collapsed="false">
      <c r="A559" s="5" t="s">
        <v>1892</v>
      </c>
      <c r="B559" s="6" t="s">
        <v>1906</v>
      </c>
      <c r="C559" s="5" t="n">
        <v>1.73</v>
      </c>
      <c r="D559" s="8" t="s">
        <v>170</v>
      </c>
      <c r="E559" s="6" t="s">
        <v>1890</v>
      </c>
      <c r="F559" s="6" t="s">
        <v>1907</v>
      </c>
    </row>
    <row r="560" customFormat="false" ht="124.6" hidden="false" customHeight="false" outlineLevel="0" collapsed="false">
      <c r="A560" s="5" t="s">
        <v>1892</v>
      </c>
      <c r="B560" s="6" t="s">
        <v>1914</v>
      </c>
      <c r="C560" s="5" t="n">
        <v>2.16</v>
      </c>
      <c r="D560" s="8" t="s">
        <v>170</v>
      </c>
      <c r="E560" s="6" t="s">
        <v>1890</v>
      </c>
      <c r="F560" s="6" t="s">
        <v>1915</v>
      </c>
    </row>
    <row r="561" customFormat="false" ht="113.4" hidden="false" customHeight="false" outlineLevel="0" collapsed="false">
      <c r="A561" s="5" t="s">
        <v>1892</v>
      </c>
      <c r="B561" s="6" t="s">
        <v>1911</v>
      </c>
      <c r="C561" s="5" t="n">
        <v>1.55</v>
      </c>
      <c r="D561" s="8" t="s">
        <v>170</v>
      </c>
      <c r="E561" s="6" t="s">
        <v>1890</v>
      </c>
      <c r="F561" s="6" t="s">
        <v>1912</v>
      </c>
    </row>
    <row r="562" customFormat="false" ht="46.25" hidden="false" customHeight="false" outlineLevel="0" collapsed="false">
      <c r="A562" s="5" t="s">
        <v>1892</v>
      </c>
      <c r="B562" s="6" t="s">
        <v>1925</v>
      </c>
      <c r="C562" s="5" t="n">
        <v>0.31</v>
      </c>
      <c r="D562" s="8" t="s">
        <v>170</v>
      </c>
      <c r="E562" s="6" t="s">
        <v>1922</v>
      </c>
      <c r="F562" s="6" t="s">
        <v>1926</v>
      </c>
    </row>
    <row r="563" customFormat="false" ht="35.05" hidden="false" customHeight="false" outlineLevel="0" collapsed="false">
      <c r="A563" s="5" t="s">
        <v>1892</v>
      </c>
      <c r="B563" s="6" t="s">
        <v>1921</v>
      </c>
      <c r="C563" s="5" t="n">
        <v>88.4</v>
      </c>
      <c r="D563" s="8" t="s">
        <v>170</v>
      </c>
      <c r="E563" s="6" t="s">
        <v>1922</v>
      </c>
      <c r="F563" s="6" t="s">
        <v>1923</v>
      </c>
    </row>
    <row r="564" customFormat="false" ht="124.6" hidden="false" customHeight="false" outlineLevel="0" collapsed="false">
      <c r="A564" s="5" t="s">
        <v>1892</v>
      </c>
      <c r="B564" s="6" t="s">
        <v>1919</v>
      </c>
      <c r="C564" s="5" t="n">
        <v>31.3</v>
      </c>
      <c r="D564" s="8" t="s">
        <v>170</v>
      </c>
      <c r="E564" s="6" t="s">
        <v>1890</v>
      </c>
      <c r="F564" s="6" t="s">
        <v>1915</v>
      </c>
    </row>
    <row r="565" customFormat="false" ht="113.4" hidden="false" customHeight="false" outlineLevel="0" collapsed="false">
      <c r="A565" s="5" t="s">
        <v>1892</v>
      </c>
      <c r="B565" s="6" t="s">
        <v>1902</v>
      </c>
      <c r="C565" s="5" t="n">
        <v>1.1</v>
      </c>
      <c r="D565" s="8" t="s">
        <v>170</v>
      </c>
      <c r="E565" s="6" t="s">
        <v>1890</v>
      </c>
      <c r="F565" s="6" t="s">
        <v>1904</v>
      </c>
    </row>
    <row r="566" customFormat="false" ht="57.45" hidden="false" customHeight="false" outlineLevel="0" collapsed="false">
      <c r="A566" s="5" t="s">
        <v>1892</v>
      </c>
      <c r="B566" s="6" t="s">
        <v>1900</v>
      </c>
      <c r="C566" s="5" t="n">
        <v>0.93</v>
      </c>
      <c r="D566" s="8" t="s">
        <v>170</v>
      </c>
      <c r="E566" s="6" t="s">
        <v>1890</v>
      </c>
      <c r="F566" s="6" t="s">
        <v>1895</v>
      </c>
    </row>
    <row r="567" customFormat="false" ht="57.45" hidden="false" customHeight="false" outlineLevel="0" collapsed="false">
      <c r="A567" s="5" t="s">
        <v>1892</v>
      </c>
      <c r="B567" s="6" t="s">
        <v>1894</v>
      </c>
      <c r="C567" s="5" t="n">
        <v>1.91</v>
      </c>
      <c r="D567" s="8" t="s">
        <v>170</v>
      </c>
      <c r="E567" s="6" t="s">
        <v>1890</v>
      </c>
      <c r="F567" s="6" t="s">
        <v>1895</v>
      </c>
    </row>
    <row r="568" customFormat="false" ht="46.25" hidden="false" customHeight="false" outlineLevel="0" collapsed="false">
      <c r="A568" s="5" t="s">
        <v>2058</v>
      </c>
      <c r="B568" s="6" t="s">
        <v>2096</v>
      </c>
      <c r="C568" s="5" t="n">
        <v>23</v>
      </c>
      <c r="D568" s="8" t="s">
        <v>170</v>
      </c>
      <c r="E568" s="6" t="s">
        <v>2097</v>
      </c>
      <c r="F568" s="6" t="s">
        <v>2098</v>
      </c>
    </row>
    <row r="569" customFormat="false" ht="46.25" hidden="false" customHeight="false" outlineLevel="0" collapsed="false">
      <c r="A569" s="5" t="s">
        <v>2058</v>
      </c>
      <c r="B569" s="6" t="s">
        <v>2100</v>
      </c>
      <c r="C569" s="5" t="n">
        <v>48</v>
      </c>
      <c r="D569" s="8" t="s">
        <v>170</v>
      </c>
      <c r="E569" s="6" t="s">
        <v>2097</v>
      </c>
      <c r="F569" s="6" t="s">
        <v>2098</v>
      </c>
    </row>
    <row r="570" customFormat="false" ht="91" hidden="false" customHeight="false" outlineLevel="0" collapsed="false">
      <c r="A570" s="5" t="s">
        <v>2058</v>
      </c>
      <c r="B570" s="6" t="s">
        <v>2132</v>
      </c>
      <c r="C570" s="5" t="n">
        <v>0.05</v>
      </c>
      <c r="D570" s="8" t="s">
        <v>170</v>
      </c>
      <c r="E570" s="6" t="s">
        <v>2097</v>
      </c>
      <c r="F570" s="6" t="s">
        <v>2128</v>
      </c>
    </row>
    <row r="571" customFormat="false" ht="91" hidden="false" customHeight="false" outlineLevel="0" collapsed="false">
      <c r="A571" s="5" t="s">
        <v>2058</v>
      </c>
      <c r="B571" s="6" t="s">
        <v>2127</v>
      </c>
      <c r="C571" s="5" t="n">
        <v>0.2</v>
      </c>
      <c r="D571" s="8" t="s">
        <v>170</v>
      </c>
      <c r="E571" s="6" t="s">
        <v>2097</v>
      </c>
      <c r="F571" s="6" t="s">
        <v>2128</v>
      </c>
    </row>
    <row r="572" customFormat="false" ht="91" hidden="false" customHeight="false" outlineLevel="0" collapsed="false">
      <c r="A572" s="5" t="s">
        <v>2058</v>
      </c>
      <c r="B572" s="6" t="s">
        <v>2130</v>
      </c>
      <c r="C572" s="5" t="n">
        <v>0.4</v>
      </c>
      <c r="D572" s="8" t="s">
        <v>170</v>
      </c>
      <c r="E572" s="6" t="s">
        <v>2097</v>
      </c>
      <c r="F572" s="6" t="s">
        <v>2128</v>
      </c>
    </row>
    <row r="573" customFormat="false" ht="102.2" hidden="false" customHeight="false" outlineLevel="0" collapsed="false">
      <c r="A573" s="5" t="s">
        <v>2058</v>
      </c>
      <c r="B573" s="6" t="s">
        <v>2123</v>
      </c>
      <c r="C573" s="5" t="n">
        <v>0</v>
      </c>
      <c r="D573" s="8" t="s">
        <v>170</v>
      </c>
      <c r="E573" s="6" t="s">
        <v>2097</v>
      </c>
      <c r="F573" s="6" t="s">
        <v>2125</v>
      </c>
    </row>
    <row r="574" customFormat="false" ht="46.25" hidden="false" customHeight="false" outlineLevel="0" collapsed="false">
      <c r="A574" s="5" t="s">
        <v>2058</v>
      </c>
      <c r="B574" s="6" t="s">
        <v>2064</v>
      </c>
      <c r="C574" s="5" t="n">
        <v>50</v>
      </c>
      <c r="D574" s="8" t="s">
        <v>170</v>
      </c>
      <c r="E574" s="6" t="s">
        <v>2056</v>
      </c>
      <c r="F574" s="6" t="s">
        <v>2057</v>
      </c>
    </row>
    <row r="575" customFormat="false" ht="46.25" hidden="false" customHeight="false" outlineLevel="0" collapsed="false">
      <c r="A575" s="5" t="s">
        <v>2058</v>
      </c>
      <c r="B575" s="6" t="s">
        <v>2068</v>
      </c>
      <c r="C575" s="5" t="n">
        <v>67</v>
      </c>
      <c r="D575" s="8" t="s">
        <v>170</v>
      </c>
      <c r="E575" s="6" t="s">
        <v>2056</v>
      </c>
      <c r="F575" s="6" t="s">
        <v>2057</v>
      </c>
    </row>
    <row r="576" customFormat="false" ht="46.25" hidden="false" customHeight="false" outlineLevel="0" collapsed="false">
      <c r="A576" s="5" t="s">
        <v>2058</v>
      </c>
      <c r="B576" s="6" t="s">
        <v>2066</v>
      </c>
      <c r="C576" s="5" t="n">
        <v>52</v>
      </c>
      <c r="D576" s="8" t="s">
        <v>170</v>
      </c>
      <c r="E576" s="6" t="s">
        <v>2056</v>
      </c>
      <c r="F576" s="6" t="s">
        <v>2057</v>
      </c>
    </row>
    <row r="577" customFormat="false" ht="46.25" hidden="false" customHeight="false" outlineLevel="0" collapsed="false">
      <c r="A577" s="5" t="s">
        <v>2058</v>
      </c>
      <c r="B577" s="6" t="s">
        <v>2062</v>
      </c>
      <c r="C577" s="5" t="n">
        <v>0.68</v>
      </c>
      <c r="D577" s="8" t="s">
        <v>170</v>
      </c>
      <c r="E577" s="6" t="s">
        <v>2056</v>
      </c>
      <c r="F577" s="6" t="s">
        <v>2057</v>
      </c>
    </row>
    <row r="578" customFormat="false" ht="46.25" hidden="false" customHeight="false" outlineLevel="0" collapsed="false">
      <c r="A578" s="5" t="s">
        <v>2058</v>
      </c>
      <c r="B578" s="6" t="s">
        <v>2060</v>
      </c>
      <c r="C578" s="5" t="n">
        <v>0.71</v>
      </c>
      <c r="D578" s="8" t="s">
        <v>170</v>
      </c>
      <c r="E578" s="6" t="s">
        <v>2056</v>
      </c>
      <c r="F578" s="6" t="s">
        <v>2057</v>
      </c>
    </row>
    <row r="579" customFormat="false" ht="46.25" hidden="false" customHeight="false" outlineLevel="0" collapsed="false">
      <c r="A579" s="5" t="s">
        <v>2058</v>
      </c>
      <c r="B579" s="6" t="s">
        <v>2055</v>
      </c>
      <c r="C579" s="5" t="n">
        <v>0.47</v>
      </c>
      <c r="D579" s="8" t="s">
        <v>170</v>
      </c>
      <c r="E579" s="6" t="s">
        <v>2056</v>
      </c>
      <c r="F579" s="6" t="s">
        <v>2057</v>
      </c>
    </row>
    <row r="580" customFormat="false" ht="46.25" hidden="false" customHeight="false" outlineLevel="0" collapsed="false">
      <c r="A580" s="5" t="s">
        <v>2058</v>
      </c>
      <c r="B580" s="6" t="s">
        <v>2110</v>
      </c>
      <c r="C580" s="5" t="n">
        <v>29</v>
      </c>
      <c r="D580" s="8" t="s">
        <v>170</v>
      </c>
      <c r="E580" s="6" t="s">
        <v>2097</v>
      </c>
      <c r="F580" s="6" t="s">
        <v>2111</v>
      </c>
    </row>
    <row r="581" customFormat="false" ht="46.25" hidden="false" customHeight="false" outlineLevel="0" collapsed="false">
      <c r="A581" s="5" t="s">
        <v>2058</v>
      </c>
      <c r="B581" s="6" t="s">
        <v>2113</v>
      </c>
      <c r="C581" s="5" t="n">
        <v>85</v>
      </c>
      <c r="D581" s="8" t="s">
        <v>170</v>
      </c>
      <c r="E581" s="6" t="s">
        <v>2097</v>
      </c>
      <c r="F581" s="6" t="s">
        <v>2111</v>
      </c>
    </row>
    <row r="582" customFormat="false" ht="46.25" hidden="false" customHeight="false" outlineLevel="0" collapsed="false">
      <c r="A582" s="5" t="s">
        <v>2058</v>
      </c>
      <c r="B582" s="6" t="s">
        <v>2115</v>
      </c>
      <c r="C582" s="5" t="n">
        <v>22</v>
      </c>
      <c r="D582" s="8" t="s">
        <v>170</v>
      </c>
      <c r="E582" s="6" t="s">
        <v>2097</v>
      </c>
      <c r="F582" s="6" t="s">
        <v>2111</v>
      </c>
    </row>
    <row r="583" customFormat="false" ht="46.25" hidden="false" customHeight="false" outlineLevel="0" collapsed="false">
      <c r="A583" s="5" t="s">
        <v>2058</v>
      </c>
      <c r="B583" s="6" t="s">
        <v>2117</v>
      </c>
      <c r="C583" s="5" t="n">
        <v>19</v>
      </c>
      <c r="D583" s="8" t="s">
        <v>170</v>
      </c>
      <c r="E583" s="6" t="s">
        <v>2097</v>
      </c>
      <c r="F583" s="6" t="s">
        <v>2111</v>
      </c>
    </row>
    <row r="584" customFormat="false" ht="46.25" hidden="false" customHeight="false" outlineLevel="0" collapsed="false">
      <c r="A584" s="5" t="s">
        <v>2058</v>
      </c>
      <c r="B584" s="6" t="s">
        <v>2102</v>
      </c>
      <c r="C584" s="5" t="n">
        <v>74</v>
      </c>
      <c r="D584" s="8" t="s">
        <v>170</v>
      </c>
      <c r="E584" s="6" t="s">
        <v>2097</v>
      </c>
      <c r="F584" s="6" t="s">
        <v>2098</v>
      </c>
    </row>
    <row r="585" customFormat="false" ht="46.25" hidden="false" customHeight="false" outlineLevel="0" collapsed="false">
      <c r="A585" s="5" t="s">
        <v>2058</v>
      </c>
      <c r="B585" s="6" t="s">
        <v>2087</v>
      </c>
      <c r="C585" s="5" t="n">
        <v>20.6</v>
      </c>
      <c r="D585" s="8" t="s">
        <v>170</v>
      </c>
      <c r="E585" s="6" t="s">
        <v>2056</v>
      </c>
      <c r="F585" s="6" t="s">
        <v>2078</v>
      </c>
    </row>
    <row r="586" customFormat="false" ht="46.25" hidden="false" customHeight="false" outlineLevel="0" collapsed="false">
      <c r="A586" s="5" t="s">
        <v>2058</v>
      </c>
      <c r="B586" s="6" t="s">
        <v>2087</v>
      </c>
      <c r="C586" s="5" t="n">
        <v>81.9</v>
      </c>
      <c r="D586" s="8" t="s">
        <v>170</v>
      </c>
      <c r="E586" s="6" t="s">
        <v>2056</v>
      </c>
      <c r="F586" s="6" t="s">
        <v>2078</v>
      </c>
    </row>
    <row r="587" customFormat="false" ht="46.25" hidden="false" customHeight="false" outlineLevel="0" collapsed="false">
      <c r="A587" s="5" t="s">
        <v>2058</v>
      </c>
      <c r="B587" s="6" t="s">
        <v>2085</v>
      </c>
      <c r="C587" s="5" t="n">
        <v>14.4</v>
      </c>
      <c r="D587" s="8" t="s">
        <v>170</v>
      </c>
      <c r="E587" s="6" t="s">
        <v>2056</v>
      </c>
      <c r="F587" s="6" t="s">
        <v>2078</v>
      </c>
    </row>
    <row r="588" customFormat="false" ht="46.25" hidden="false" customHeight="false" outlineLevel="0" collapsed="false">
      <c r="A588" s="5" t="s">
        <v>2058</v>
      </c>
      <c r="B588" s="6" t="s">
        <v>2089</v>
      </c>
      <c r="C588" s="5" t="n">
        <v>91.6</v>
      </c>
      <c r="D588" s="8" t="s">
        <v>170</v>
      </c>
      <c r="E588" s="6" t="s">
        <v>2056</v>
      </c>
      <c r="F588" s="6" t="s">
        <v>2078</v>
      </c>
    </row>
    <row r="589" customFormat="false" ht="46.25" hidden="false" customHeight="false" outlineLevel="0" collapsed="false">
      <c r="A589" s="5" t="s">
        <v>2058</v>
      </c>
      <c r="B589" s="6" t="s">
        <v>2077</v>
      </c>
      <c r="C589" s="5" t="n">
        <v>26</v>
      </c>
      <c r="D589" s="8" t="s">
        <v>170</v>
      </c>
      <c r="E589" s="6" t="s">
        <v>2056</v>
      </c>
      <c r="F589" s="6" t="s">
        <v>2078</v>
      </c>
    </row>
    <row r="590" customFormat="false" ht="46.25" hidden="false" customHeight="false" outlineLevel="0" collapsed="false">
      <c r="A590" s="5" t="s">
        <v>2058</v>
      </c>
      <c r="B590" s="6" t="s">
        <v>2074</v>
      </c>
      <c r="C590" s="5" t="n">
        <v>79</v>
      </c>
      <c r="D590" s="8" t="s">
        <v>170</v>
      </c>
      <c r="E590" s="6" t="s">
        <v>2056</v>
      </c>
      <c r="F590" s="6" t="s">
        <v>2078</v>
      </c>
    </row>
    <row r="591" customFormat="false" ht="57.45" hidden="false" customHeight="false" outlineLevel="0" collapsed="false">
      <c r="A591" s="5" t="s">
        <v>2058</v>
      </c>
      <c r="B591" s="6" t="s">
        <v>2081</v>
      </c>
      <c r="C591" s="5" t="n">
        <v>0.004</v>
      </c>
      <c r="D591" s="8" t="s">
        <v>170</v>
      </c>
      <c r="E591" s="6" t="s">
        <v>2056</v>
      </c>
      <c r="F591" s="6" t="s">
        <v>2083</v>
      </c>
    </row>
    <row r="592" customFormat="false" ht="68.65" hidden="false" customHeight="false" outlineLevel="0" collapsed="false">
      <c r="A592" s="5" t="s">
        <v>2058</v>
      </c>
      <c r="B592" s="6" t="s">
        <v>2092</v>
      </c>
      <c r="C592" s="5" t="n">
        <v>10</v>
      </c>
      <c r="D592" s="8" t="s">
        <v>170</v>
      </c>
      <c r="E592" s="6" t="s">
        <v>2056</v>
      </c>
      <c r="F592" s="6" t="s">
        <v>2094</v>
      </c>
    </row>
    <row r="593" customFormat="false" ht="57.45" hidden="false" customHeight="false" outlineLevel="0" collapsed="false">
      <c r="A593" s="5" t="s">
        <v>2058</v>
      </c>
      <c r="B593" s="6" t="s">
        <v>2070</v>
      </c>
      <c r="C593" s="5" t="n">
        <v>0.5</v>
      </c>
      <c r="D593" s="8" t="s">
        <v>170</v>
      </c>
      <c r="E593" s="6" t="s">
        <v>2056</v>
      </c>
      <c r="F593" s="6" t="s">
        <v>2072</v>
      </c>
    </row>
    <row r="594" customFormat="false" ht="57.45" hidden="false" customHeight="false" outlineLevel="0" collapsed="false">
      <c r="A594" s="5" t="s">
        <v>2058</v>
      </c>
      <c r="B594" s="6" t="s">
        <v>2074</v>
      </c>
      <c r="C594" s="5" t="n">
        <v>0.5</v>
      </c>
      <c r="D594" s="8" t="s">
        <v>170</v>
      </c>
      <c r="E594" s="6" t="s">
        <v>2056</v>
      </c>
      <c r="F594" s="6" t="s">
        <v>2075</v>
      </c>
    </row>
    <row r="595" customFormat="false" ht="57.45" hidden="false" customHeight="false" outlineLevel="0" collapsed="false">
      <c r="A595" s="5" t="s">
        <v>2058</v>
      </c>
      <c r="B595" s="6" t="s">
        <v>2100</v>
      </c>
      <c r="C595" s="5" t="n">
        <v>8.2</v>
      </c>
      <c r="D595" s="8" t="s">
        <v>170</v>
      </c>
      <c r="E595" s="6" t="s">
        <v>2097</v>
      </c>
      <c r="F595" s="6" t="s">
        <v>2120</v>
      </c>
    </row>
    <row r="596" customFormat="false" ht="57.45" hidden="false" customHeight="false" outlineLevel="0" collapsed="false">
      <c r="A596" s="5" t="s">
        <v>2058</v>
      </c>
      <c r="B596" s="6" t="s">
        <v>2119</v>
      </c>
      <c r="C596" s="5" t="n">
        <v>3.4</v>
      </c>
      <c r="D596" s="8" t="s">
        <v>170</v>
      </c>
      <c r="E596" s="6" t="s">
        <v>2097</v>
      </c>
      <c r="F596" s="6" t="s">
        <v>2120</v>
      </c>
    </row>
    <row r="597" customFormat="false" ht="46.25" hidden="false" customHeight="false" outlineLevel="0" collapsed="false">
      <c r="A597" s="5" t="s">
        <v>2058</v>
      </c>
      <c r="B597" s="6" t="s">
        <v>2108</v>
      </c>
      <c r="C597" s="5" t="n">
        <v>35</v>
      </c>
      <c r="D597" s="8" t="s">
        <v>170</v>
      </c>
      <c r="E597" s="6" t="s">
        <v>2097</v>
      </c>
      <c r="F597" s="6" t="s">
        <v>2098</v>
      </c>
    </row>
    <row r="598" customFormat="false" ht="57.45" hidden="false" customHeight="false" outlineLevel="0" collapsed="false">
      <c r="A598" s="5" t="s">
        <v>2058</v>
      </c>
      <c r="B598" s="6" t="s">
        <v>2104</v>
      </c>
      <c r="C598" s="5" t="n">
        <v>0.35</v>
      </c>
      <c r="D598" s="8" t="s">
        <v>170</v>
      </c>
      <c r="E598" s="6" t="s">
        <v>2097</v>
      </c>
      <c r="F598" s="6" t="s">
        <v>2106</v>
      </c>
    </row>
    <row r="599" customFormat="false" ht="57.45" hidden="false" customHeight="false" outlineLevel="0" collapsed="false">
      <c r="A599" s="5" t="s">
        <v>386</v>
      </c>
      <c r="B599" s="6" t="s">
        <v>399</v>
      </c>
      <c r="C599" s="5" t="n">
        <v>6.7</v>
      </c>
      <c r="D599" s="8" t="s">
        <v>170</v>
      </c>
      <c r="E599" s="6" t="s">
        <v>400</v>
      </c>
      <c r="F599" s="6" t="s">
        <v>401</v>
      </c>
    </row>
    <row r="600" customFormat="false" ht="57.45" hidden="false" customHeight="false" outlineLevel="0" collapsed="false">
      <c r="A600" s="5" t="s">
        <v>386</v>
      </c>
      <c r="B600" s="6" t="s">
        <v>403</v>
      </c>
      <c r="C600" s="5" t="n">
        <v>7.8</v>
      </c>
      <c r="D600" s="8" t="s">
        <v>170</v>
      </c>
      <c r="E600" s="6" t="s">
        <v>400</v>
      </c>
      <c r="F600" s="6" t="s">
        <v>401</v>
      </c>
    </row>
    <row r="601" customFormat="false" ht="102.2" hidden="false" customHeight="false" outlineLevel="0" collapsed="false">
      <c r="A601" s="5" t="s">
        <v>554</v>
      </c>
      <c r="B601" s="6" t="s">
        <v>1853</v>
      </c>
      <c r="C601" s="5" t="n">
        <v>3</v>
      </c>
      <c r="D601" s="8" t="s">
        <v>170</v>
      </c>
      <c r="E601" s="6" t="s">
        <v>1842</v>
      </c>
      <c r="F601" s="6" t="s">
        <v>1854</v>
      </c>
    </row>
    <row r="602" customFormat="false" ht="91" hidden="false" customHeight="false" outlineLevel="0" collapsed="false">
      <c r="A602" s="5" t="s">
        <v>554</v>
      </c>
      <c r="B602" s="6" t="s">
        <v>1847</v>
      </c>
      <c r="C602" s="5" t="n">
        <v>140</v>
      </c>
      <c r="D602" s="8" t="s">
        <v>170</v>
      </c>
      <c r="E602" s="6" t="s">
        <v>1842</v>
      </c>
      <c r="F602" s="6" t="s">
        <v>1848</v>
      </c>
    </row>
    <row r="603" customFormat="false" ht="79.85" hidden="false" customHeight="false" outlineLevel="0" collapsed="false">
      <c r="A603" s="5" t="s">
        <v>554</v>
      </c>
      <c r="B603" s="6" t="s">
        <v>1850</v>
      </c>
      <c r="C603" s="5" t="n">
        <v>142</v>
      </c>
      <c r="D603" s="8" t="s">
        <v>170</v>
      </c>
      <c r="E603" s="6" t="s">
        <v>1842</v>
      </c>
      <c r="F603" s="6" t="s">
        <v>1851</v>
      </c>
    </row>
    <row r="604" customFormat="false" ht="91" hidden="false" customHeight="false" outlineLevel="0" collapsed="false">
      <c r="A604" s="5" t="s">
        <v>554</v>
      </c>
      <c r="B604" s="6" t="s">
        <v>1841</v>
      </c>
      <c r="C604" s="5" t="n">
        <v>11</v>
      </c>
      <c r="D604" s="8" t="s">
        <v>170</v>
      </c>
      <c r="E604" s="6" t="s">
        <v>1842</v>
      </c>
      <c r="F604" s="6" t="s">
        <v>1843</v>
      </c>
    </row>
    <row r="605" customFormat="false" ht="91" hidden="false" customHeight="false" outlineLevel="0" collapsed="false">
      <c r="A605" s="5" t="s">
        <v>554</v>
      </c>
      <c r="B605" s="6" t="s">
        <v>1845</v>
      </c>
      <c r="C605" s="5" t="n">
        <v>20</v>
      </c>
      <c r="D605" s="8" t="s">
        <v>170</v>
      </c>
      <c r="E605" s="6" t="s">
        <v>1842</v>
      </c>
      <c r="F605" s="6" t="s">
        <v>1843</v>
      </c>
    </row>
    <row r="606" customFormat="false" ht="91" hidden="false" customHeight="false" outlineLevel="0" collapsed="false">
      <c r="A606" s="5" t="s">
        <v>1804</v>
      </c>
      <c r="B606" s="6" t="s">
        <v>1885</v>
      </c>
      <c r="C606" s="5" t="n">
        <v>0.51</v>
      </c>
      <c r="D606" s="8" t="s">
        <v>170</v>
      </c>
      <c r="E606" s="6" t="s">
        <v>1874</v>
      </c>
      <c r="F606" s="6" t="s">
        <v>1875</v>
      </c>
    </row>
    <row r="607" customFormat="false" ht="91" hidden="false" customHeight="false" outlineLevel="0" collapsed="false">
      <c r="A607" s="5" t="s">
        <v>1804</v>
      </c>
      <c r="B607" s="6" t="s">
        <v>1883</v>
      </c>
      <c r="C607" s="5" t="n">
        <v>0.498</v>
      </c>
      <c r="D607" s="8" t="s">
        <v>170</v>
      </c>
      <c r="E607" s="6" t="s">
        <v>1874</v>
      </c>
      <c r="F607" s="6" t="s">
        <v>1875</v>
      </c>
    </row>
    <row r="608" customFormat="false" ht="91" hidden="false" customHeight="false" outlineLevel="0" collapsed="false">
      <c r="A608" s="5" t="s">
        <v>1804</v>
      </c>
      <c r="B608" s="6" t="s">
        <v>1887</v>
      </c>
      <c r="C608" s="5" t="n">
        <v>0.556</v>
      </c>
      <c r="D608" s="8" t="s">
        <v>170</v>
      </c>
      <c r="E608" s="6" t="s">
        <v>1874</v>
      </c>
      <c r="F608" s="6" t="s">
        <v>1875</v>
      </c>
    </row>
    <row r="609" customFormat="false" ht="57.45" hidden="false" customHeight="false" outlineLevel="0" collapsed="false">
      <c r="A609" s="5" t="s">
        <v>1804</v>
      </c>
      <c r="B609" s="6" t="s">
        <v>1801</v>
      </c>
      <c r="C609" s="5" t="n">
        <v>79.2</v>
      </c>
      <c r="D609" s="8" t="s">
        <v>170</v>
      </c>
      <c r="E609" s="6" t="s">
        <v>1802</v>
      </c>
      <c r="F609" s="6" t="s">
        <v>1803</v>
      </c>
    </row>
    <row r="610" customFormat="false" ht="57.45" hidden="false" customHeight="false" outlineLevel="0" collapsed="false">
      <c r="A610" s="5" t="s">
        <v>1804</v>
      </c>
      <c r="B610" s="6" t="s">
        <v>1806</v>
      </c>
      <c r="C610" s="5" t="n">
        <v>70.1</v>
      </c>
      <c r="D610" s="8" t="s">
        <v>170</v>
      </c>
      <c r="E610" s="6" t="s">
        <v>1802</v>
      </c>
      <c r="F610" s="6" t="s">
        <v>1803</v>
      </c>
    </row>
    <row r="611" customFormat="false" ht="57.45" hidden="false" customHeight="false" outlineLevel="0" collapsed="false">
      <c r="A611" s="5" t="s">
        <v>1804</v>
      </c>
      <c r="B611" s="6" t="s">
        <v>1808</v>
      </c>
      <c r="C611" s="5" t="n">
        <v>79.5</v>
      </c>
      <c r="D611" s="8" t="s">
        <v>170</v>
      </c>
      <c r="E611" s="6" t="s">
        <v>1802</v>
      </c>
      <c r="F611" s="6" t="s">
        <v>1803</v>
      </c>
    </row>
    <row r="612" customFormat="false" ht="102.2" hidden="false" customHeight="false" outlineLevel="0" collapsed="false">
      <c r="A612" s="5" t="s">
        <v>1804</v>
      </c>
      <c r="B612" s="6" t="s">
        <v>1833</v>
      </c>
      <c r="C612" s="5" t="n">
        <v>8822</v>
      </c>
      <c r="D612" s="8" t="s">
        <v>170</v>
      </c>
      <c r="E612" s="6" t="s">
        <v>1817</v>
      </c>
      <c r="F612" s="6" t="s">
        <v>1834</v>
      </c>
    </row>
    <row r="613" customFormat="false" ht="124.6" hidden="false" customHeight="false" outlineLevel="0" collapsed="false">
      <c r="A613" s="5" t="s">
        <v>1804</v>
      </c>
      <c r="B613" s="6" t="s">
        <v>1838</v>
      </c>
      <c r="C613" s="5" t="n">
        <v>2.7</v>
      </c>
      <c r="D613" s="8" t="s">
        <v>170</v>
      </c>
      <c r="E613" s="6" t="s">
        <v>1817</v>
      </c>
      <c r="F613" s="6" t="s">
        <v>1839</v>
      </c>
    </row>
    <row r="614" customFormat="false" ht="102.2" hidden="false" customHeight="false" outlineLevel="0" collapsed="false">
      <c r="A614" s="5" t="s">
        <v>1804</v>
      </c>
      <c r="B614" s="6" t="s">
        <v>1836</v>
      </c>
      <c r="C614" s="5" t="n">
        <v>15683</v>
      </c>
      <c r="D614" s="8" t="s">
        <v>170</v>
      </c>
      <c r="E614" s="6" t="s">
        <v>1817</v>
      </c>
      <c r="F614" s="6" t="s">
        <v>1834</v>
      </c>
    </row>
    <row r="615" customFormat="false" ht="68.65" hidden="false" customHeight="false" outlineLevel="0" collapsed="false">
      <c r="A615" s="5" t="s">
        <v>1804</v>
      </c>
      <c r="B615" s="6" t="s">
        <v>1815</v>
      </c>
      <c r="C615" s="5" t="n">
        <v>9803</v>
      </c>
      <c r="D615" s="8" t="s">
        <v>170</v>
      </c>
      <c r="E615" s="6" t="s">
        <v>1817</v>
      </c>
      <c r="F615" s="6" t="s">
        <v>1818</v>
      </c>
    </row>
    <row r="616" customFormat="false" ht="68.65" hidden="false" customHeight="false" outlineLevel="0" collapsed="false">
      <c r="A616" s="5" t="s">
        <v>1804</v>
      </c>
      <c r="B616" s="6" t="s">
        <v>1820</v>
      </c>
      <c r="C616" s="5" t="n">
        <v>196</v>
      </c>
      <c r="D616" s="8" t="s">
        <v>170</v>
      </c>
      <c r="E616" s="6" t="s">
        <v>1817</v>
      </c>
      <c r="F616" s="6" t="s">
        <v>1818</v>
      </c>
    </row>
    <row r="617" customFormat="false" ht="68.65" hidden="false" customHeight="false" outlineLevel="0" collapsed="false">
      <c r="A617" s="5" t="s">
        <v>1804</v>
      </c>
      <c r="B617" s="6" t="s">
        <v>1823</v>
      </c>
      <c r="C617" s="5" t="n">
        <v>584</v>
      </c>
      <c r="D617" s="8" t="s">
        <v>170</v>
      </c>
      <c r="E617" s="6" t="s">
        <v>1817</v>
      </c>
      <c r="F617" s="6" t="s">
        <v>1818</v>
      </c>
    </row>
    <row r="618" customFormat="false" ht="68.65" hidden="false" customHeight="false" outlineLevel="0" collapsed="false">
      <c r="A618" s="5" t="s">
        <v>1804</v>
      </c>
      <c r="B618" s="6" t="s">
        <v>1825</v>
      </c>
      <c r="C618" s="5" t="n">
        <v>1069</v>
      </c>
      <c r="D618" s="8" t="s">
        <v>170</v>
      </c>
      <c r="E618" s="6" t="s">
        <v>1817</v>
      </c>
      <c r="F618" s="6" t="s">
        <v>1818</v>
      </c>
    </row>
    <row r="619" customFormat="false" ht="68.65" hidden="false" customHeight="false" outlineLevel="0" collapsed="false">
      <c r="A619" s="5" t="s">
        <v>1804</v>
      </c>
      <c r="B619" s="6" t="s">
        <v>1827</v>
      </c>
      <c r="C619" s="5" t="n">
        <v>2.8</v>
      </c>
      <c r="D619" s="8" t="s">
        <v>170</v>
      </c>
      <c r="E619" s="6" t="s">
        <v>1817</v>
      </c>
      <c r="F619" s="6" t="s">
        <v>1818</v>
      </c>
    </row>
    <row r="620" customFormat="false" ht="68.65" hidden="false" customHeight="false" outlineLevel="0" collapsed="false">
      <c r="A620" s="5" t="s">
        <v>1804</v>
      </c>
      <c r="B620" s="6" t="s">
        <v>1829</v>
      </c>
      <c r="C620" s="5" t="n">
        <v>4.8</v>
      </c>
      <c r="D620" s="8" t="s">
        <v>170</v>
      </c>
      <c r="E620" s="6" t="s">
        <v>1817</v>
      </c>
      <c r="F620" s="6" t="s">
        <v>1818</v>
      </c>
    </row>
    <row r="621" customFormat="false" ht="68.65" hidden="false" customHeight="false" outlineLevel="0" collapsed="false">
      <c r="A621" s="5" t="s">
        <v>1804</v>
      </c>
      <c r="B621" s="6" t="s">
        <v>1831</v>
      </c>
      <c r="C621" s="5" t="n">
        <v>6.5</v>
      </c>
      <c r="D621" s="8" t="s">
        <v>170</v>
      </c>
      <c r="E621" s="6" t="s">
        <v>1817</v>
      </c>
      <c r="F621" s="6" t="s">
        <v>1818</v>
      </c>
    </row>
    <row r="622" customFormat="false" ht="57.45" hidden="false" customHeight="false" outlineLevel="0" collapsed="false">
      <c r="A622" s="5" t="s">
        <v>1804</v>
      </c>
      <c r="B622" s="6" t="s">
        <v>1810</v>
      </c>
      <c r="C622" s="5" t="n">
        <v>7</v>
      </c>
      <c r="D622" s="8" t="s">
        <v>170</v>
      </c>
      <c r="E622" s="6" t="s">
        <v>1802</v>
      </c>
      <c r="F622" s="6" t="s">
        <v>1803</v>
      </c>
    </row>
    <row r="623" customFormat="false" ht="57.45" hidden="false" customHeight="false" outlineLevel="0" collapsed="false">
      <c r="A623" s="5" t="s">
        <v>1804</v>
      </c>
      <c r="B623" s="6" t="s">
        <v>1813</v>
      </c>
      <c r="C623" s="5" t="n">
        <v>3</v>
      </c>
      <c r="D623" s="8" t="s">
        <v>170</v>
      </c>
      <c r="E623" s="6" t="s">
        <v>1802</v>
      </c>
      <c r="F623" s="6" t="s">
        <v>1803</v>
      </c>
    </row>
    <row r="624" customFormat="false" ht="91" hidden="false" customHeight="false" outlineLevel="0" collapsed="false">
      <c r="A624" s="5" t="s">
        <v>1804</v>
      </c>
      <c r="B624" s="6" t="s">
        <v>1877</v>
      </c>
      <c r="C624" s="5" t="n">
        <v>0.29</v>
      </c>
      <c r="D624" s="8" t="s">
        <v>170</v>
      </c>
      <c r="E624" s="6" t="s">
        <v>1874</v>
      </c>
      <c r="F624" s="6" t="s">
        <v>1875</v>
      </c>
    </row>
    <row r="625" customFormat="false" ht="91" hidden="false" customHeight="false" outlineLevel="0" collapsed="false">
      <c r="A625" s="5" t="s">
        <v>1804</v>
      </c>
      <c r="B625" s="6" t="s">
        <v>1742</v>
      </c>
      <c r="C625" s="5" t="n">
        <v>0.84</v>
      </c>
      <c r="D625" s="8" t="s">
        <v>170</v>
      </c>
      <c r="E625" s="6" t="s">
        <v>1874</v>
      </c>
      <c r="F625" s="6" t="s">
        <v>1875</v>
      </c>
    </row>
    <row r="626" customFormat="false" ht="91" hidden="false" customHeight="false" outlineLevel="0" collapsed="false">
      <c r="A626" s="5" t="s">
        <v>1804</v>
      </c>
      <c r="B626" s="6" t="s">
        <v>1740</v>
      </c>
      <c r="C626" s="5" t="n">
        <v>-0.24</v>
      </c>
      <c r="D626" s="8" t="s">
        <v>170</v>
      </c>
      <c r="E626" s="6" t="s">
        <v>1874</v>
      </c>
      <c r="F626" s="6" t="s">
        <v>1875</v>
      </c>
    </row>
    <row r="627" customFormat="false" ht="91" hidden="false" customHeight="false" outlineLevel="0" collapsed="false">
      <c r="A627" s="5" t="s">
        <v>1804</v>
      </c>
      <c r="B627" s="6" t="s">
        <v>1873</v>
      </c>
      <c r="C627" s="5" t="n">
        <v>-0.21</v>
      </c>
      <c r="D627" s="8" t="s">
        <v>170</v>
      </c>
      <c r="E627" s="6" t="s">
        <v>1874</v>
      </c>
      <c r="F627" s="6" t="s">
        <v>1875</v>
      </c>
    </row>
    <row r="628" customFormat="false" ht="91" hidden="false" customHeight="false" outlineLevel="0" collapsed="false">
      <c r="A628" s="5" t="s">
        <v>1804</v>
      </c>
      <c r="B628" s="6" t="s">
        <v>1881</v>
      </c>
      <c r="C628" s="5" t="n">
        <v>0.01</v>
      </c>
      <c r="D628" s="8" t="s">
        <v>170</v>
      </c>
      <c r="E628" s="6" t="s">
        <v>1874</v>
      </c>
      <c r="F628" s="6" t="s">
        <v>1875</v>
      </c>
    </row>
    <row r="629" customFormat="false" ht="68.65" hidden="false" customHeight="false" outlineLevel="0" collapsed="false">
      <c r="A629" s="5" t="s">
        <v>2200</v>
      </c>
      <c r="B629" s="6" t="s">
        <v>2256</v>
      </c>
      <c r="C629" s="5" t="n">
        <v>-8.4</v>
      </c>
      <c r="D629" s="8" t="s">
        <v>170</v>
      </c>
      <c r="E629" s="6" t="s">
        <v>2249</v>
      </c>
      <c r="F629" s="6" t="s">
        <v>2257</v>
      </c>
    </row>
    <row r="630" customFormat="false" ht="57.45" hidden="false" customHeight="false" outlineLevel="0" collapsed="false">
      <c r="A630" s="5" t="s">
        <v>2200</v>
      </c>
      <c r="B630" s="6" t="s">
        <v>2265</v>
      </c>
      <c r="C630" s="5" t="n">
        <v>105</v>
      </c>
      <c r="D630" s="8" t="s">
        <v>170</v>
      </c>
      <c r="E630" s="6" t="s">
        <v>2260</v>
      </c>
      <c r="F630" s="6" t="s">
        <v>2261</v>
      </c>
    </row>
    <row r="631" customFormat="false" ht="35.05" hidden="false" customHeight="false" outlineLevel="0" collapsed="false">
      <c r="A631" s="5" t="s">
        <v>2200</v>
      </c>
      <c r="B631" s="6" t="s">
        <v>2267</v>
      </c>
      <c r="C631" s="5" t="n">
        <v>2.5</v>
      </c>
      <c r="D631" s="8" t="s">
        <v>170</v>
      </c>
      <c r="E631" s="6" t="s">
        <v>2260</v>
      </c>
      <c r="F631" s="6" t="s">
        <v>2268</v>
      </c>
    </row>
    <row r="632" customFormat="false" ht="23.85" hidden="false" customHeight="false" outlineLevel="0" collapsed="false">
      <c r="A632" s="5" t="s">
        <v>2200</v>
      </c>
      <c r="B632" s="6" t="s">
        <v>2282</v>
      </c>
      <c r="C632" s="5" t="n">
        <v>1.69</v>
      </c>
      <c r="D632" s="8" t="s">
        <v>170</v>
      </c>
      <c r="E632" s="6" t="s">
        <v>2260</v>
      </c>
      <c r="F632" s="6" t="s">
        <v>2283</v>
      </c>
    </row>
    <row r="633" customFormat="false" ht="46.25" hidden="false" customHeight="false" outlineLevel="0" collapsed="false">
      <c r="A633" s="5" t="s">
        <v>2200</v>
      </c>
      <c r="B633" s="6" t="s">
        <v>2276</v>
      </c>
      <c r="C633" s="5" t="n">
        <v>-1.21</v>
      </c>
      <c r="D633" s="8" t="s">
        <v>170</v>
      </c>
      <c r="E633" s="6" t="s">
        <v>2260</v>
      </c>
      <c r="F633" s="6" t="s">
        <v>2277</v>
      </c>
    </row>
    <row r="634" customFormat="false" ht="15" hidden="false" customHeight="false" outlineLevel="0" collapsed="false">
      <c r="A634" s="5" t="s">
        <v>2200</v>
      </c>
      <c r="B634" s="6" t="s">
        <v>2279</v>
      </c>
      <c r="C634" s="5" t="n">
        <v>0.36</v>
      </c>
      <c r="D634" s="8" t="s">
        <v>170</v>
      </c>
      <c r="E634" s="6" t="s">
        <v>2260</v>
      </c>
      <c r="F634" s="6" t="s">
        <v>2280</v>
      </c>
    </row>
    <row r="635" customFormat="false" ht="35.05" hidden="false" customHeight="false" outlineLevel="0" collapsed="false">
      <c r="A635" s="5" t="s">
        <v>2200</v>
      </c>
      <c r="B635" s="6" t="s">
        <v>2270</v>
      </c>
      <c r="C635" s="5" t="n">
        <v>0.4</v>
      </c>
      <c r="D635" s="8" t="s">
        <v>170</v>
      </c>
      <c r="E635" s="6" t="s">
        <v>2260</v>
      </c>
      <c r="F635" s="6" t="s">
        <v>2271</v>
      </c>
    </row>
    <row r="636" customFormat="false" ht="23.85" hidden="false" customHeight="false" outlineLevel="0" collapsed="false">
      <c r="A636" s="5" t="s">
        <v>2200</v>
      </c>
      <c r="B636" s="6" t="s">
        <v>2273</v>
      </c>
      <c r="C636" s="5" t="n">
        <v>2.4</v>
      </c>
      <c r="D636" s="8" t="s">
        <v>170</v>
      </c>
      <c r="E636" s="6" t="s">
        <v>2260</v>
      </c>
      <c r="F636" s="6" t="s">
        <v>2274</v>
      </c>
    </row>
    <row r="637" customFormat="false" ht="35.05" hidden="false" customHeight="false" outlineLevel="0" collapsed="false">
      <c r="A637" s="5" t="s">
        <v>2323</v>
      </c>
      <c r="B637" s="6" t="s">
        <v>2364</v>
      </c>
      <c r="C637" s="5" t="n">
        <v>2.289</v>
      </c>
      <c r="D637" s="8" t="s">
        <v>170</v>
      </c>
      <c r="E637" s="6" t="s">
        <v>2342</v>
      </c>
      <c r="F637" s="6" t="s">
        <v>2365</v>
      </c>
    </row>
    <row r="638" customFormat="false" ht="15" hidden="false" customHeight="false" outlineLevel="0" collapsed="false">
      <c r="A638" s="5" t="s">
        <v>2323</v>
      </c>
      <c r="B638" s="6" t="s">
        <v>2367</v>
      </c>
      <c r="C638" s="5" t="n">
        <v>-0.364</v>
      </c>
      <c r="D638" s="8" t="s">
        <v>170</v>
      </c>
      <c r="E638" s="6" t="s">
        <v>2342</v>
      </c>
      <c r="F638" s="6" t="s">
        <v>2368</v>
      </c>
    </row>
    <row r="639" customFormat="false" ht="68.65" hidden="false" customHeight="false" outlineLevel="0" collapsed="false">
      <c r="A639" s="5" t="s">
        <v>2323</v>
      </c>
      <c r="B639" s="6" t="s">
        <v>2348</v>
      </c>
      <c r="C639" s="5" t="n">
        <v>1.149</v>
      </c>
      <c r="D639" s="8" t="s">
        <v>170</v>
      </c>
      <c r="E639" s="6" t="s">
        <v>2342</v>
      </c>
      <c r="F639" s="6" t="s">
        <v>2349</v>
      </c>
    </row>
    <row r="640" customFormat="false" ht="46.25" hidden="false" customHeight="false" outlineLevel="0" collapsed="false">
      <c r="A640" s="5" t="s">
        <v>2323</v>
      </c>
      <c r="B640" s="6" t="s">
        <v>2345</v>
      </c>
      <c r="C640" s="5" t="n">
        <v>0.299</v>
      </c>
      <c r="D640" s="8" t="s">
        <v>170</v>
      </c>
      <c r="E640" s="6" t="s">
        <v>2342</v>
      </c>
      <c r="F640" s="6" t="s">
        <v>2346</v>
      </c>
    </row>
    <row r="641" customFormat="false" ht="35.05" hidden="false" customHeight="false" outlineLevel="0" collapsed="false">
      <c r="A641" s="5" t="s">
        <v>2323</v>
      </c>
      <c r="B641" s="6" t="s">
        <v>2358</v>
      </c>
      <c r="C641" s="5" t="n">
        <v>1.745</v>
      </c>
      <c r="D641" s="8" t="s">
        <v>170</v>
      </c>
      <c r="E641" s="6" t="s">
        <v>2342</v>
      </c>
      <c r="F641" s="6" t="s">
        <v>2359</v>
      </c>
    </row>
    <row r="642" customFormat="false" ht="23.85" hidden="false" customHeight="false" outlineLevel="0" collapsed="false">
      <c r="A642" s="5" t="s">
        <v>2323</v>
      </c>
      <c r="B642" s="6" t="s">
        <v>2361</v>
      </c>
      <c r="C642" s="5" t="n">
        <v>4.723</v>
      </c>
      <c r="D642" s="8" t="s">
        <v>170</v>
      </c>
      <c r="E642" s="6" t="s">
        <v>2342</v>
      </c>
      <c r="F642" s="6" t="s">
        <v>2362</v>
      </c>
    </row>
    <row r="643" customFormat="false" ht="46.25" hidden="false" customHeight="false" outlineLevel="0" collapsed="false">
      <c r="A643" s="5" t="s">
        <v>2323</v>
      </c>
      <c r="B643" s="6" t="s">
        <v>2370</v>
      </c>
      <c r="C643" s="5" t="n">
        <v>-0.64</v>
      </c>
      <c r="D643" s="8" t="s">
        <v>170</v>
      </c>
      <c r="E643" s="6" t="s">
        <v>2342</v>
      </c>
      <c r="F643" s="6" t="s">
        <v>2371</v>
      </c>
    </row>
    <row r="644" customFormat="false" ht="15" hidden="false" customHeight="false" outlineLevel="0" collapsed="false">
      <c r="A644" s="5" t="s">
        <v>2323</v>
      </c>
      <c r="B644" s="6" t="s">
        <v>2373</v>
      </c>
      <c r="C644" s="5" t="n">
        <v>-0.43</v>
      </c>
      <c r="D644" s="8" t="s">
        <v>170</v>
      </c>
      <c r="E644" s="6" t="s">
        <v>2342</v>
      </c>
      <c r="F644" s="6" t="s">
        <v>2374</v>
      </c>
    </row>
    <row r="645" customFormat="false" ht="35.05" hidden="false" customHeight="false" outlineLevel="0" collapsed="false">
      <c r="A645" s="5" t="s">
        <v>2379</v>
      </c>
      <c r="B645" s="6" t="s">
        <v>2439</v>
      </c>
      <c r="C645" s="5" t="n">
        <v>3.38</v>
      </c>
      <c r="D645" s="8" t="s">
        <v>170</v>
      </c>
      <c r="E645" s="6" t="s">
        <v>2424</v>
      </c>
      <c r="F645" s="6" t="s">
        <v>2440</v>
      </c>
    </row>
    <row r="646" customFormat="false" ht="23.85" hidden="false" customHeight="false" outlineLevel="0" collapsed="false">
      <c r="A646" s="5" t="s">
        <v>2379</v>
      </c>
      <c r="B646" s="6" t="s">
        <v>2442</v>
      </c>
      <c r="C646" s="5" t="n">
        <v>2.93</v>
      </c>
      <c r="D646" s="8" t="s">
        <v>170</v>
      </c>
      <c r="E646" s="6" t="s">
        <v>2424</v>
      </c>
      <c r="F646" s="6" t="s">
        <v>2443</v>
      </c>
    </row>
    <row r="647" customFormat="false" ht="57.45" hidden="false" customHeight="false" outlineLevel="0" collapsed="false">
      <c r="A647" s="5" t="s">
        <v>2379</v>
      </c>
      <c r="B647" s="6" t="s">
        <v>2433</v>
      </c>
      <c r="C647" s="5" t="n">
        <v>1.04</v>
      </c>
      <c r="D647" s="8" t="s">
        <v>170</v>
      </c>
      <c r="E647" s="6" t="s">
        <v>2424</v>
      </c>
      <c r="F647" s="6" t="s">
        <v>2434</v>
      </c>
    </row>
    <row r="648" customFormat="false" ht="57.45" hidden="false" customHeight="false" outlineLevel="0" collapsed="false">
      <c r="A648" s="5" t="s">
        <v>2379</v>
      </c>
      <c r="B648" s="6" t="s">
        <v>2430</v>
      </c>
      <c r="C648" s="5" t="n">
        <v>-1.15</v>
      </c>
      <c r="D648" s="8" t="s">
        <v>170</v>
      </c>
      <c r="E648" s="6" t="s">
        <v>2424</v>
      </c>
      <c r="F648" s="6" t="s">
        <v>2431</v>
      </c>
    </row>
    <row r="649" customFormat="false" ht="91" hidden="false" customHeight="false" outlineLevel="0" collapsed="false">
      <c r="A649" s="5" t="s">
        <v>2379</v>
      </c>
      <c r="B649" s="6" t="s">
        <v>2422</v>
      </c>
      <c r="C649" s="5" t="n">
        <v>1.01</v>
      </c>
      <c r="D649" s="8" t="s">
        <v>170</v>
      </c>
      <c r="E649" s="6" t="s">
        <v>2424</v>
      </c>
      <c r="F649" s="6" t="s">
        <v>2425</v>
      </c>
    </row>
    <row r="650" customFormat="false" ht="35.05" hidden="false" customHeight="false" outlineLevel="0" collapsed="false">
      <c r="A650" s="5" t="s">
        <v>2379</v>
      </c>
      <c r="B650" s="6" t="s">
        <v>2427</v>
      </c>
      <c r="C650" s="5" t="n">
        <v>-0.14</v>
      </c>
      <c r="D650" s="8" t="s">
        <v>170</v>
      </c>
      <c r="E650" s="6" t="s">
        <v>2424</v>
      </c>
      <c r="F650" s="6" t="s">
        <v>2428</v>
      </c>
    </row>
    <row r="651" customFormat="false" ht="46.25" hidden="false" customHeight="false" outlineLevel="0" collapsed="false">
      <c r="A651" s="5" t="s">
        <v>2379</v>
      </c>
      <c r="B651" s="6" t="s">
        <v>2445</v>
      </c>
      <c r="C651" s="5" t="n">
        <v>12</v>
      </c>
      <c r="D651" s="9" t="s">
        <v>365</v>
      </c>
      <c r="E651" s="6" t="s">
        <v>2446</v>
      </c>
      <c r="F651" s="6" t="s">
        <v>2447</v>
      </c>
    </row>
    <row r="652" customFormat="false" ht="23.85" hidden="false" customHeight="false" outlineLevel="0" collapsed="false">
      <c r="A652" s="5" t="s">
        <v>2379</v>
      </c>
      <c r="B652" s="6" t="s">
        <v>2436</v>
      </c>
      <c r="C652" s="5" t="n">
        <v>0.93</v>
      </c>
      <c r="D652" s="8" t="s">
        <v>170</v>
      </c>
      <c r="E652" s="6" t="s">
        <v>2424</v>
      </c>
      <c r="F652" s="6" t="s">
        <v>2437</v>
      </c>
    </row>
    <row r="653" customFormat="false" ht="79.85" hidden="false" customHeight="false" outlineLevel="0" collapsed="false">
      <c r="A653" s="5" t="s">
        <v>1018</v>
      </c>
      <c r="B653" s="6" t="s">
        <v>1146</v>
      </c>
      <c r="C653" s="5" t="n">
        <v>19</v>
      </c>
      <c r="D653" s="11" t="s">
        <v>1015</v>
      </c>
      <c r="E653" s="6" t="s">
        <v>1135</v>
      </c>
      <c r="F653" s="6" t="s">
        <v>1136</v>
      </c>
    </row>
    <row r="654" customFormat="false" ht="79.85" hidden="false" customHeight="false" outlineLevel="0" collapsed="false">
      <c r="A654" s="5" t="s">
        <v>1018</v>
      </c>
      <c r="B654" s="6" t="s">
        <v>1140</v>
      </c>
      <c r="C654" s="5" t="n">
        <v>18</v>
      </c>
      <c r="D654" s="11" t="s">
        <v>1015</v>
      </c>
      <c r="E654" s="6" t="s">
        <v>1135</v>
      </c>
      <c r="F654" s="6" t="s">
        <v>1136</v>
      </c>
    </row>
    <row r="655" customFormat="false" ht="79.85" hidden="false" customHeight="false" outlineLevel="0" collapsed="false">
      <c r="A655" s="5" t="s">
        <v>1018</v>
      </c>
      <c r="B655" s="6" t="s">
        <v>1142</v>
      </c>
      <c r="C655" s="5" t="n">
        <v>16</v>
      </c>
      <c r="D655" s="11" t="s">
        <v>1015</v>
      </c>
      <c r="E655" s="6" t="s">
        <v>1135</v>
      </c>
      <c r="F655" s="6" t="s">
        <v>1136</v>
      </c>
    </row>
    <row r="656" customFormat="false" ht="79.85" hidden="false" customHeight="false" outlineLevel="0" collapsed="false">
      <c r="A656" s="5" t="s">
        <v>1018</v>
      </c>
      <c r="B656" s="6" t="s">
        <v>1144</v>
      </c>
      <c r="C656" s="5" t="n">
        <v>8</v>
      </c>
      <c r="D656" s="11" t="s">
        <v>1015</v>
      </c>
      <c r="E656" s="6" t="s">
        <v>1135</v>
      </c>
      <c r="F656" s="6" t="s">
        <v>1136</v>
      </c>
    </row>
    <row r="657" customFormat="false" ht="79.85" hidden="false" customHeight="false" outlineLevel="0" collapsed="false">
      <c r="A657" s="5" t="s">
        <v>1018</v>
      </c>
      <c r="B657" s="6" t="s">
        <v>1134</v>
      </c>
      <c r="C657" s="5" t="n">
        <v>75</v>
      </c>
      <c r="D657" s="11" t="s">
        <v>1015</v>
      </c>
      <c r="E657" s="6" t="s">
        <v>1135</v>
      </c>
      <c r="F657" s="6" t="s">
        <v>1136</v>
      </c>
    </row>
    <row r="658" customFormat="false" ht="79.85" hidden="false" customHeight="false" outlineLevel="0" collapsed="false">
      <c r="A658" s="5" t="s">
        <v>1018</v>
      </c>
      <c r="B658" s="6" t="s">
        <v>1138</v>
      </c>
      <c r="C658" s="5" t="n">
        <v>7</v>
      </c>
      <c r="D658" s="11" t="s">
        <v>1015</v>
      </c>
      <c r="E658" s="6" t="s">
        <v>1135</v>
      </c>
      <c r="F658" s="6" t="s">
        <v>1136</v>
      </c>
    </row>
    <row r="659" customFormat="false" ht="68.65" hidden="false" customHeight="false" outlineLevel="0" collapsed="false">
      <c r="A659" s="5" t="s">
        <v>1018</v>
      </c>
      <c r="B659" s="6" t="s">
        <v>1236</v>
      </c>
      <c r="C659" s="5" t="n">
        <v>244</v>
      </c>
      <c r="D659" s="11" t="s">
        <v>1015</v>
      </c>
      <c r="E659" s="6" t="s">
        <v>1233</v>
      </c>
      <c r="F659" s="6" t="s">
        <v>1237</v>
      </c>
    </row>
    <row r="660" customFormat="false" ht="46.25" hidden="false" customHeight="false" outlineLevel="0" collapsed="false">
      <c r="A660" s="5" t="s">
        <v>1018</v>
      </c>
      <c r="B660" s="6" t="s">
        <v>1231</v>
      </c>
      <c r="C660" s="5" t="n">
        <v>22.7</v>
      </c>
      <c r="D660" s="11" t="s">
        <v>1015</v>
      </c>
      <c r="E660" s="6" t="s">
        <v>1233</v>
      </c>
      <c r="F660" s="6" t="s">
        <v>1234</v>
      </c>
    </row>
    <row r="661" customFormat="false" ht="35.05" hidden="false" customHeight="false" outlineLevel="0" collapsed="false">
      <c r="A661" s="5" t="s">
        <v>1018</v>
      </c>
      <c r="B661" s="6" t="s">
        <v>1028</v>
      </c>
      <c r="C661" s="5" t="n">
        <v>108</v>
      </c>
      <c r="D661" s="11" t="s">
        <v>1015</v>
      </c>
      <c r="E661" s="6" t="s">
        <v>1025</v>
      </c>
      <c r="F661" s="6" t="s">
        <v>1030</v>
      </c>
    </row>
    <row r="662" customFormat="false" ht="46.25" hidden="false" customHeight="false" outlineLevel="0" collapsed="false">
      <c r="A662" s="5" t="s">
        <v>1018</v>
      </c>
      <c r="B662" s="6" t="s">
        <v>1032</v>
      </c>
      <c r="C662" s="5" t="n">
        <v>8</v>
      </c>
      <c r="D662" s="11" t="s">
        <v>1015</v>
      </c>
      <c r="E662" s="6" t="s">
        <v>1025</v>
      </c>
      <c r="F662" s="6" t="s">
        <v>1033</v>
      </c>
    </row>
    <row r="663" customFormat="false" ht="46.25" hidden="false" customHeight="false" outlineLevel="0" collapsed="false">
      <c r="A663" s="5" t="s">
        <v>1018</v>
      </c>
      <c r="B663" s="6" t="s">
        <v>1040</v>
      </c>
      <c r="C663" s="5" t="n">
        <v>1703</v>
      </c>
      <c r="D663" s="11" t="s">
        <v>1015</v>
      </c>
      <c r="E663" s="6" t="s">
        <v>1037</v>
      </c>
      <c r="F663" s="6" t="s">
        <v>1041</v>
      </c>
    </row>
    <row r="664" customFormat="false" ht="57.45" hidden="false" customHeight="false" outlineLevel="0" collapsed="false">
      <c r="A664" s="5" t="s">
        <v>1018</v>
      </c>
      <c r="B664" s="6" t="s">
        <v>1047</v>
      </c>
      <c r="C664" s="5" t="n">
        <v>100</v>
      </c>
      <c r="D664" s="11" t="s">
        <v>1015</v>
      </c>
      <c r="E664" s="6" t="s">
        <v>1044</v>
      </c>
      <c r="F664" s="6" t="s">
        <v>1048</v>
      </c>
    </row>
    <row r="665" customFormat="false" ht="46.25" hidden="false" customHeight="false" outlineLevel="0" collapsed="false">
      <c r="A665" s="5" t="s">
        <v>1018</v>
      </c>
      <c r="B665" s="6" t="s">
        <v>1035</v>
      </c>
      <c r="C665" s="5" t="n">
        <v>1847</v>
      </c>
      <c r="D665" s="11" t="s">
        <v>1015</v>
      </c>
      <c r="E665" s="6" t="s">
        <v>1037</v>
      </c>
      <c r="F665" s="6" t="s">
        <v>1038</v>
      </c>
    </row>
    <row r="666" customFormat="false" ht="46.25" hidden="false" customHeight="false" outlineLevel="0" collapsed="false">
      <c r="A666" s="5" t="s">
        <v>1018</v>
      </c>
      <c r="B666" s="6" t="s">
        <v>1043</v>
      </c>
      <c r="C666" s="5" t="n">
        <v>50</v>
      </c>
      <c r="D666" s="11" t="s">
        <v>1015</v>
      </c>
      <c r="E666" s="6" t="s">
        <v>1044</v>
      </c>
      <c r="F666" s="6" t="s">
        <v>1045</v>
      </c>
    </row>
    <row r="667" customFormat="false" ht="46.25" hidden="false" customHeight="false" outlineLevel="0" collapsed="false">
      <c r="A667" s="5" t="s">
        <v>1018</v>
      </c>
      <c r="B667" s="6" t="s">
        <v>1191</v>
      </c>
      <c r="C667" s="5" t="n">
        <v>32.93</v>
      </c>
      <c r="D667" s="11" t="s">
        <v>1015</v>
      </c>
      <c r="E667" s="6" t="s">
        <v>1016</v>
      </c>
      <c r="F667" s="6" t="s">
        <v>1189</v>
      </c>
    </row>
    <row r="668" customFormat="false" ht="91" hidden="false" customHeight="false" outlineLevel="0" collapsed="false">
      <c r="A668" s="5" t="s">
        <v>1018</v>
      </c>
      <c r="B668" s="6" t="s">
        <v>1223</v>
      </c>
      <c r="C668" s="5" t="n">
        <v>80</v>
      </c>
      <c r="D668" s="11" t="s">
        <v>1015</v>
      </c>
      <c r="E668" s="6" t="s">
        <v>1216</v>
      </c>
      <c r="F668" s="6" t="s">
        <v>1217</v>
      </c>
    </row>
    <row r="669" customFormat="false" ht="91" hidden="false" customHeight="false" outlineLevel="0" collapsed="false">
      <c r="A669" s="5" t="s">
        <v>1018</v>
      </c>
      <c r="B669" s="6" t="s">
        <v>1215</v>
      </c>
      <c r="C669" s="5" t="n">
        <v>176</v>
      </c>
      <c r="D669" s="11" t="s">
        <v>1015</v>
      </c>
      <c r="E669" s="6" t="s">
        <v>1216</v>
      </c>
      <c r="F669" s="6" t="s">
        <v>1217</v>
      </c>
    </row>
    <row r="670" customFormat="false" ht="91" hidden="false" customHeight="false" outlineLevel="0" collapsed="false">
      <c r="A670" s="5" t="s">
        <v>1018</v>
      </c>
      <c r="B670" s="6" t="s">
        <v>1227</v>
      </c>
      <c r="C670" s="5" t="n">
        <v>50</v>
      </c>
      <c r="D670" s="11" t="s">
        <v>1015</v>
      </c>
      <c r="E670" s="6" t="s">
        <v>1216</v>
      </c>
      <c r="F670" s="6" t="s">
        <v>1217</v>
      </c>
    </row>
    <row r="671" customFormat="false" ht="91" hidden="false" customHeight="false" outlineLevel="0" collapsed="false">
      <c r="A671" s="5" t="s">
        <v>1018</v>
      </c>
      <c r="B671" s="6" t="s">
        <v>1225</v>
      </c>
      <c r="C671" s="5" t="n">
        <v>74</v>
      </c>
      <c r="D671" s="11" t="s">
        <v>1015</v>
      </c>
      <c r="E671" s="6" t="s">
        <v>1216</v>
      </c>
      <c r="F671" s="6" t="s">
        <v>1217</v>
      </c>
    </row>
    <row r="672" customFormat="false" ht="91" hidden="false" customHeight="false" outlineLevel="0" collapsed="false">
      <c r="A672" s="5" t="s">
        <v>1018</v>
      </c>
      <c r="B672" s="6" t="s">
        <v>1219</v>
      </c>
      <c r="C672" s="5" t="n">
        <v>175</v>
      </c>
      <c r="D672" s="11" t="s">
        <v>1015</v>
      </c>
      <c r="E672" s="6" t="s">
        <v>1216</v>
      </c>
      <c r="F672" s="6" t="s">
        <v>1217</v>
      </c>
    </row>
    <row r="673" customFormat="false" ht="91" hidden="false" customHeight="false" outlineLevel="0" collapsed="false">
      <c r="A673" s="5" t="s">
        <v>1018</v>
      </c>
      <c r="B673" s="6" t="s">
        <v>1229</v>
      </c>
      <c r="C673" s="5" t="n">
        <v>25</v>
      </c>
      <c r="D673" s="11" t="s">
        <v>1015</v>
      </c>
      <c r="E673" s="6" t="s">
        <v>1216</v>
      </c>
      <c r="F673" s="6" t="s">
        <v>1217</v>
      </c>
    </row>
    <row r="674" customFormat="false" ht="91" hidden="false" customHeight="false" outlineLevel="0" collapsed="false">
      <c r="A674" s="5" t="s">
        <v>1018</v>
      </c>
      <c r="B674" s="6" t="s">
        <v>1221</v>
      </c>
      <c r="C674" s="5" t="n">
        <v>1</v>
      </c>
      <c r="D674" s="11" t="s">
        <v>1015</v>
      </c>
      <c r="E674" s="6" t="s">
        <v>1216</v>
      </c>
      <c r="F674" s="6" t="s">
        <v>1217</v>
      </c>
    </row>
    <row r="675" customFormat="false" ht="68.65" hidden="false" customHeight="false" outlineLevel="0" collapsed="false">
      <c r="A675" s="5" t="s">
        <v>1018</v>
      </c>
      <c r="B675" s="6" t="s">
        <v>1163</v>
      </c>
      <c r="C675" s="5" t="n">
        <v>229</v>
      </c>
      <c r="D675" s="11" t="s">
        <v>1015</v>
      </c>
      <c r="E675" s="6" t="s">
        <v>1159</v>
      </c>
      <c r="F675" s="6" t="s">
        <v>1150</v>
      </c>
    </row>
    <row r="676" customFormat="false" ht="68.65" hidden="false" customHeight="false" outlineLevel="0" collapsed="false">
      <c r="A676" s="5" t="s">
        <v>1018</v>
      </c>
      <c r="B676" s="6" t="s">
        <v>1152</v>
      </c>
      <c r="C676" s="5" t="n">
        <v>99.38</v>
      </c>
      <c r="D676" s="11" t="s">
        <v>1015</v>
      </c>
      <c r="E676" s="6" t="s">
        <v>1149</v>
      </c>
      <c r="F676" s="6" t="s">
        <v>1150</v>
      </c>
    </row>
    <row r="677" customFormat="false" ht="68.65" hidden="false" customHeight="false" outlineLevel="0" collapsed="false">
      <c r="A677" s="5" t="s">
        <v>1018</v>
      </c>
      <c r="B677" s="6" t="s">
        <v>1154</v>
      </c>
      <c r="C677" s="5" t="n">
        <v>99.07</v>
      </c>
      <c r="D677" s="11" t="s">
        <v>1015</v>
      </c>
      <c r="E677" s="6" t="s">
        <v>1149</v>
      </c>
      <c r="F677" s="6" t="s">
        <v>1150</v>
      </c>
    </row>
    <row r="678" customFormat="false" ht="68.65" hidden="false" customHeight="false" outlineLevel="0" collapsed="false">
      <c r="A678" s="5" t="s">
        <v>1018</v>
      </c>
      <c r="B678" s="6" t="s">
        <v>1148</v>
      </c>
      <c r="C678" s="5" t="n">
        <v>97.03</v>
      </c>
      <c r="D678" s="11" t="s">
        <v>1015</v>
      </c>
      <c r="E678" s="6" t="s">
        <v>1149</v>
      </c>
      <c r="F678" s="6" t="s">
        <v>1150</v>
      </c>
    </row>
    <row r="679" customFormat="false" ht="68.65" hidden="false" customHeight="false" outlineLevel="0" collapsed="false">
      <c r="A679" s="5" t="s">
        <v>1018</v>
      </c>
      <c r="B679" s="6" t="s">
        <v>1158</v>
      </c>
      <c r="C679" s="5" t="n">
        <v>83</v>
      </c>
      <c r="D679" s="11" t="s">
        <v>1015</v>
      </c>
      <c r="E679" s="6" t="s">
        <v>1159</v>
      </c>
      <c r="F679" s="6" t="s">
        <v>1150</v>
      </c>
    </row>
    <row r="680" customFormat="false" ht="68.65" hidden="false" customHeight="false" outlineLevel="0" collapsed="false">
      <c r="A680" s="5" t="s">
        <v>1018</v>
      </c>
      <c r="B680" s="6" t="s">
        <v>1161</v>
      </c>
      <c r="C680" s="5" t="n">
        <v>202</v>
      </c>
      <c r="D680" s="11" t="s">
        <v>1015</v>
      </c>
      <c r="E680" s="6" t="s">
        <v>1159</v>
      </c>
      <c r="F680" s="6" t="s">
        <v>1150</v>
      </c>
    </row>
    <row r="681" customFormat="false" ht="68.65" hidden="false" customHeight="false" outlineLevel="0" collapsed="false">
      <c r="A681" s="5" t="s">
        <v>1018</v>
      </c>
      <c r="B681" s="6" t="s">
        <v>1156</v>
      </c>
      <c r="C681" s="5" t="n">
        <v>31</v>
      </c>
      <c r="D681" s="11" t="s">
        <v>1015</v>
      </c>
      <c r="E681" s="6" t="s">
        <v>1149</v>
      </c>
      <c r="F681" s="6" t="s">
        <v>1150</v>
      </c>
    </row>
    <row r="682" customFormat="false" ht="57.45" hidden="false" customHeight="false" outlineLevel="0" collapsed="false">
      <c r="A682" s="5" t="s">
        <v>1018</v>
      </c>
      <c r="B682" s="6" t="s">
        <v>1020</v>
      </c>
      <c r="C682" s="5" t="n">
        <v>51.2</v>
      </c>
      <c r="D682" s="11" t="s">
        <v>1015</v>
      </c>
      <c r="E682" s="6" t="s">
        <v>1016</v>
      </c>
      <c r="F682" s="6" t="s">
        <v>1021</v>
      </c>
    </row>
    <row r="683" customFormat="false" ht="46.25" hidden="false" customHeight="false" outlineLevel="0" collapsed="false">
      <c r="A683" s="5" t="s">
        <v>1018</v>
      </c>
      <c r="B683" s="6" t="s">
        <v>1013</v>
      </c>
      <c r="C683" s="5" t="n">
        <v>20.5</v>
      </c>
      <c r="D683" s="11" t="s">
        <v>1015</v>
      </c>
      <c r="E683" s="6" t="s">
        <v>1016</v>
      </c>
      <c r="F683" s="6" t="s">
        <v>1017</v>
      </c>
    </row>
    <row r="684" customFormat="false" ht="57.45" hidden="false" customHeight="false" outlineLevel="0" collapsed="false">
      <c r="A684" s="5" t="s">
        <v>1018</v>
      </c>
      <c r="B684" s="6" t="s">
        <v>1023</v>
      </c>
      <c r="C684" s="5" t="n">
        <v>21.2</v>
      </c>
      <c r="D684" s="11" t="s">
        <v>1015</v>
      </c>
      <c r="E684" s="6" t="s">
        <v>1025</v>
      </c>
      <c r="F684" s="6" t="s">
        <v>1026</v>
      </c>
    </row>
    <row r="685" customFormat="false" ht="57.45" hidden="false" customHeight="false" outlineLevel="0" collapsed="false">
      <c r="A685" s="5" t="s">
        <v>1018</v>
      </c>
      <c r="B685" s="6" t="s">
        <v>1050</v>
      </c>
      <c r="C685" s="5" t="n">
        <v>0</v>
      </c>
      <c r="D685" s="11" t="s">
        <v>1015</v>
      </c>
      <c r="E685" s="6" t="s">
        <v>1051</v>
      </c>
      <c r="F685" s="6" t="s">
        <v>1052</v>
      </c>
    </row>
    <row r="686" customFormat="false" ht="57.45" hidden="false" customHeight="false" outlineLevel="0" collapsed="false">
      <c r="A686" s="5" t="s">
        <v>1018</v>
      </c>
      <c r="B686" s="6" t="s">
        <v>1054</v>
      </c>
      <c r="C686" s="5" t="n">
        <v>0</v>
      </c>
      <c r="D686" s="11" t="s">
        <v>1015</v>
      </c>
      <c r="E686" s="6" t="s">
        <v>1051</v>
      </c>
      <c r="F686" s="6" t="s">
        <v>1055</v>
      </c>
    </row>
    <row r="687" customFormat="false" ht="68.65" hidden="false" customHeight="false" outlineLevel="0" collapsed="false">
      <c r="A687" s="5" t="s">
        <v>1018</v>
      </c>
      <c r="B687" s="6" t="s">
        <v>1173</v>
      </c>
      <c r="C687" s="5" t="n">
        <v>4.1</v>
      </c>
      <c r="D687" s="11" t="s">
        <v>1015</v>
      </c>
      <c r="E687" s="6" t="s">
        <v>1016</v>
      </c>
      <c r="F687" s="6" t="s">
        <v>1174</v>
      </c>
    </row>
    <row r="688" customFormat="false" ht="68.65" hidden="false" customHeight="false" outlineLevel="0" collapsed="false">
      <c r="A688" s="5" t="s">
        <v>1018</v>
      </c>
      <c r="B688" s="6" t="s">
        <v>1176</v>
      </c>
      <c r="C688" s="5" t="n">
        <v>0</v>
      </c>
      <c r="D688" s="11" t="s">
        <v>1015</v>
      </c>
      <c r="E688" s="6" t="s">
        <v>1016</v>
      </c>
      <c r="F688" s="6" t="s">
        <v>1174</v>
      </c>
    </row>
    <row r="689" customFormat="false" ht="79.85" hidden="false" customHeight="false" outlineLevel="0" collapsed="false">
      <c r="A689" s="5" t="s">
        <v>1018</v>
      </c>
      <c r="B689" s="6" t="s">
        <v>1178</v>
      </c>
      <c r="C689" s="5" t="n">
        <v>0</v>
      </c>
      <c r="D689" s="11" t="s">
        <v>1015</v>
      </c>
      <c r="E689" s="6" t="s">
        <v>1016</v>
      </c>
      <c r="F689" s="6" t="s">
        <v>1179</v>
      </c>
    </row>
    <row r="690" customFormat="false" ht="46.25" hidden="false" customHeight="false" outlineLevel="0" collapsed="false">
      <c r="A690" s="5" t="s">
        <v>1018</v>
      </c>
      <c r="B690" s="6" t="s">
        <v>1187</v>
      </c>
      <c r="C690" s="5" t="n">
        <v>33.7</v>
      </c>
      <c r="D690" s="11" t="s">
        <v>1015</v>
      </c>
      <c r="E690" s="6" t="s">
        <v>1016</v>
      </c>
      <c r="F690" s="6" t="s">
        <v>1189</v>
      </c>
    </row>
    <row r="691" customFormat="false" ht="79.85" hidden="false" customHeight="false" outlineLevel="0" collapsed="false">
      <c r="A691" s="5" t="s">
        <v>1018</v>
      </c>
      <c r="B691" s="6" t="s">
        <v>1181</v>
      </c>
      <c r="C691" s="5" t="n">
        <v>0</v>
      </c>
      <c r="D691" s="11" t="s">
        <v>1015</v>
      </c>
      <c r="E691" s="6" t="s">
        <v>1016</v>
      </c>
      <c r="F691" s="6" t="s">
        <v>1179</v>
      </c>
    </row>
    <row r="692" customFormat="false" ht="79.85" hidden="false" customHeight="false" outlineLevel="0" collapsed="false">
      <c r="A692" s="5" t="s">
        <v>1018</v>
      </c>
      <c r="B692" s="6" t="s">
        <v>1183</v>
      </c>
      <c r="C692" s="5" t="n">
        <v>259</v>
      </c>
      <c r="D692" s="11" t="s">
        <v>1015</v>
      </c>
      <c r="E692" s="6" t="s">
        <v>1185</v>
      </c>
      <c r="F692" s="6" t="s">
        <v>1179</v>
      </c>
    </row>
    <row r="693" customFormat="false" ht="57.45" hidden="false" customHeight="false" outlineLevel="0" collapsed="false">
      <c r="A693" s="5" t="s">
        <v>1018</v>
      </c>
      <c r="B693" s="6" t="s">
        <v>1057</v>
      </c>
      <c r="C693" s="5" t="n">
        <v>63.7</v>
      </c>
      <c r="D693" s="11" t="s">
        <v>1015</v>
      </c>
      <c r="E693" s="6" t="s">
        <v>1059</v>
      </c>
      <c r="F693" s="6" t="s">
        <v>1060</v>
      </c>
    </row>
    <row r="694" customFormat="false" ht="68.65" hidden="false" customHeight="false" outlineLevel="0" collapsed="false">
      <c r="A694" s="5" t="s">
        <v>2454</v>
      </c>
      <c r="B694" s="6" t="s">
        <v>2529</v>
      </c>
      <c r="C694" s="5" t="n">
        <v>45.9</v>
      </c>
      <c r="D694" s="8" t="s">
        <v>170</v>
      </c>
      <c r="E694" s="6" t="s">
        <v>2523</v>
      </c>
      <c r="F694" s="6" t="s">
        <v>2530</v>
      </c>
    </row>
    <row r="695" customFormat="false" ht="46.25" hidden="false" customHeight="false" outlineLevel="0" collapsed="false">
      <c r="A695" s="5" t="s">
        <v>2454</v>
      </c>
      <c r="B695" s="6" t="s">
        <v>2532</v>
      </c>
      <c r="C695" s="5" t="n">
        <v>16.9</v>
      </c>
      <c r="D695" s="8" t="s">
        <v>170</v>
      </c>
      <c r="E695" s="6" t="s">
        <v>2523</v>
      </c>
      <c r="F695" s="6" t="s">
        <v>2533</v>
      </c>
    </row>
    <row r="696" customFormat="false" ht="68.65" hidden="false" customHeight="false" outlineLevel="0" collapsed="false">
      <c r="A696" s="5" t="s">
        <v>2454</v>
      </c>
      <c r="B696" s="6" t="s">
        <v>2521</v>
      </c>
      <c r="C696" s="5" t="n">
        <v>37.2</v>
      </c>
      <c r="D696" s="8" t="s">
        <v>170</v>
      </c>
      <c r="E696" s="6" t="s">
        <v>2523</v>
      </c>
      <c r="F696" s="6" t="s">
        <v>2524</v>
      </c>
    </row>
    <row r="697" customFormat="false" ht="46.25" hidden="false" customHeight="false" outlineLevel="0" collapsed="false">
      <c r="A697" s="5" t="s">
        <v>2454</v>
      </c>
      <c r="B697" s="6" t="s">
        <v>2526</v>
      </c>
      <c r="C697" s="5" t="n">
        <v>2.1</v>
      </c>
      <c r="D697" s="8" t="s">
        <v>170</v>
      </c>
      <c r="E697" s="6" t="s">
        <v>2523</v>
      </c>
      <c r="F697" s="6" t="s">
        <v>2527</v>
      </c>
    </row>
    <row r="698" customFormat="false" ht="46.25" hidden="false" customHeight="false" outlineLevel="0" collapsed="false">
      <c r="A698" s="5" t="s">
        <v>2540</v>
      </c>
      <c r="B698" s="6" t="s">
        <v>2651</v>
      </c>
      <c r="C698" s="5" t="n">
        <v>80.9</v>
      </c>
      <c r="D698" s="8" t="s">
        <v>170</v>
      </c>
      <c r="E698" s="6" t="s">
        <v>2648</v>
      </c>
      <c r="F698" s="6" t="s">
        <v>2652</v>
      </c>
    </row>
    <row r="699" customFormat="false" ht="46.25" hidden="false" customHeight="false" outlineLevel="0" collapsed="false">
      <c r="A699" s="5" t="s">
        <v>2540</v>
      </c>
      <c r="B699" s="6" t="s">
        <v>2647</v>
      </c>
      <c r="C699" s="5" t="n">
        <v>28.1</v>
      </c>
      <c r="D699" s="8" t="s">
        <v>170</v>
      </c>
      <c r="E699" s="6" t="s">
        <v>2648</v>
      </c>
      <c r="F699" s="6" t="s">
        <v>2649</v>
      </c>
    </row>
    <row r="700" customFormat="false" ht="46.25" hidden="false" customHeight="false" outlineLevel="0" collapsed="false">
      <c r="A700" s="5" t="s">
        <v>2540</v>
      </c>
      <c r="B700" s="6" t="s">
        <v>2643</v>
      </c>
      <c r="C700" s="5" t="n">
        <v>6</v>
      </c>
      <c r="D700" s="9" t="s">
        <v>365</v>
      </c>
      <c r="E700" s="6" t="s">
        <v>2644</v>
      </c>
      <c r="F700" s="6" t="s">
        <v>2645</v>
      </c>
    </row>
    <row r="701" customFormat="false" ht="35.05" hidden="false" customHeight="false" outlineLevel="0" collapsed="false">
      <c r="A701" s="5" t="s">
        <v>2658</v>
      </c>
      <c r="B701" s="6" t="s">
        <v>2700</v>
      </c>
      <c r="C701" s="5" t="n">
        <v>179</v>
      </c>
      <c r="D701" s="8" t="s">
        <v>170</v>
      </c>
      <c r="E701" s="6" t="s">
        <v>2701</v>
      </c>
      <c r="F701" s="6" t="s">
        <v>2702</v>
      </c>
    </row>
    <row r="702" customFormat="false" ht="35.05" hidden="false" customHeight="false" outlineLevel="0" collapsed="false">
      <c r="A702" s="5" t="s">
        <v>2658</v>
      </c>
      <c r="B702" s="6" t="s">
        <v>2729</v>
      </c>
      <c r="C702" s="5" t="n">
        <v>123</v>
      </c>
      <c r="D702" s="8" t="s">
        <v>170</v>
      </c>
      <c r="E702" s="6" t="s">
        <v>2701</v>
      </c>
      <c r="F702" s="6" t="s">
        <v>2730</v>
      </c>
    </row>
    <row r="703" customFormat="false" ht="23.85" hidden="false" customHeight="false" outlineLevel="0" collapsed="false">
      <c r="A703" s="5" t="s">
        <v>2658</v>
      </c>
      <c r="B703" s="6" t="s">
        <v>2732</v>
      </c>
      <c r="C703" s="5" t="n">
        <v>100</v>
      </c>
      <c r="D703" s="8" t="s">
        <v>170</v>
      </c>
      <c r="E703" s="6" t="s">
        <v>2701</v>
      </c>
      <c r="F703" s="6" t="s">
        <v>2733</v>
      </c>
    </row>
    <row r="704" customFormat="false" ht="35.05" hidden="false" customHeight="false" outlineLevel="0" collapsed="false">
      <c r="A704" s="5" t="s">
        <v>2658</v>
      </c>
      <c r="B704" s="6" t="s">
        <v>2720</v>
      </c>
      <c r="C704" s="5" t="n">
        <v>246</v>
      </c>
      <c r="D704" s="8" t="s">
        <v>170</v>
      </c>
      <c r="E704" s="6" t="s">
        <v>2701</v>
      </c>
      <c r="F704" s="6" t="s">
        <v>2721</v>
      </c>
    </row>
    <row r="705" customFormat="false" ht="46.25" hidden="false" customHeight="false" outlineLevel="0" collapsed="false">
      <c r="A705" s="5" t="s">
        <v>2658</v>
      </c>
      <c r="B705" s="6" t="s">
        <v>2723</v>
      </c>
      <c r="C705" s="5" t="n">
        <v>1499</v>
      </c>
      <c r="D705" s="8" t="s">
        <v>170</v>
      </c>
      <c r="E705" s="6" t="s">
        <v>2701</v>
      </c>
      <c r="F705" s="6" t="s">
        <v>2724</v>
      </c>
    </row>
    <row r="706" customFormat="false" ht="46.25" hidden="false" customHeight="false" outlineLevel="0" collapsed="false">
      <c r="A706" s="5" t="s">
        <v>2658</v>
      </c>
      <c r="B706" s="6" t="s">
        <v>2714</v>
      </c>
      <c r="C706" s="5" t="n">
        <v>1.85</v>
      </c>
      <c r="D706" s="8" t="s">
        <v>170</v>
      </c>
      <c r="E706" s="6" t="s">
        <v>2701</v>
      </c>
      <c r="F706" s="6" t="s">
        <v>2715</v>
      </c>
    </row>
    <row r="707" customFormat="false" ht="35.05" hidden="false" customHeight="false" outlineLevel="0" collapsed="false">
      <c r="A707" s="5" t="s">
        <v>2658</v>
      </c>
      <c r="B707" s="6" t="s">
        <v>2717</v>
      </c>
      <c r="C707" s="5" t="n">
        <v>0.6</v>
      </c>
      <c r="D707" s="8" t="s">
        <v>170</v>
      </c>
      <c r="E707" s="6" t="s">
        <v>2701</v>
      </c>
      <c r="F707" s="6" t="s">
        <v>2718</v>
      </c>
    </row>
    <row r="708" customFormat="false" ht="35.05" hidden="false" customHeight="false" outlineLevel="0" collapsed="false">
      <c r="A708" s="5" t="s">
        <v>2658</v>
      </c>
      <c r="B708" s="6" t="s">
        <v>2711</v>
      </c>
      <c r="C708" s="5" t="n">
        <v>0.8</v>
      </c>
      <c r="D708" s="8" t="s">
        <v>170</v>
      </c>
      <c r="E708" s="6" t="s">
        <v>2701</v>
      </c>
      <c r="F708" s="6" t="s">
        <v>2712</v>
      </c>
    </row>
    <row r="709" customFormat="false" ht="46.25" hidden="false" customHeight="false" outlineLevel="0" collapsed="false">
      <c r="A709" s="5" t="s">
        <v>2658</v>
      </c>
      <c r="B709" s="6" t="s">
        <v>2708</v>
      </c>
      <c r="C709" s="5" t="n">
        <v>46</v>
      </c>
      <c r="D709" s="8" t="s">
        <v>170</v>
      </c>
      <c r="E709" s="6" t="s">
        <v>2701</v>
      </c>
      <c r="F709" s="6" t="s">
        <v>2709</v>
      </c>
    </row>
    <row r="710" customFormat="false" ht="57.45" hidden="false" customHeight="false" outlineLevel="0" collapsed="false">
      <c r="A710" s="5" t="s">
        <v>2658</v>
      </c>
      <c r="B710" s="6" t="s">
        <v>2726</v>
      </c>
      <c r="C710" s="5" t="n">
        <v>120000</v>
      </c>
      <c r="D710" s="8" t="s">
        <v>170</v>
      </c>
      <c r="E710" s="6" t="s">
        <v>2701</v>
      </c>
      <c r="F710" s="6" t="s">
        <v>2727</v>
      </c>
    </row>
    <row r="711" customFormat="false" ht="35.05" hidden="false" customHeight="false" outlineLevel="0" collapsed="false">
      <c r="A711" s="5" t="s">
        <v>2658</v>
      </c>
      <c r="B711" s="6" t="s">
        <v>2704</v>
      </c>
      <c r="C711" s="5" t="n">
        <v>119</v>
      </c>
      <c r="D711" s="8" t="s">
        <v>170</v>
      </c>
      <c r="E711" s="6" t="s">
        <v>2701</v>
      </c>
      <c r="F711" s="6" t="s">
        <v>2706</v>
      </c>
    </row>
    <row r="712" customFormat="false" ht="79.85" hidden="false" customHeight="false" outlineLevel="0" collapsed="false">
      <c r="A712" s="5" t="s">
        <v>2805</v>
      </c>
      <c r="B712" s="6" t="s">
        <v>2893</v>
      </c>
      <c r="C712" s="5" t="n">
        <v>12.9</v>
      </c>
      <c r="D712" s="8" t="s">
        <v>170</v>
      </c>
      <c r="E712" s="6" t="s">
        <v>2890</v>
      </c>
      <c r="F712" s="6" t="s">
        <v>2891</v>
      </c>
    </row>
    <row r="713" customFormat="false" ht="79.85" hidden="false" customHeight="false" outlineLevel="0" collapsed="false">
      <c r="A713" s="5" t="s">
        <v>2805</v>
      </c>
      <c r="B713" s="6" t="s">
        <v>2895</v>
      </c>
      <c r="C713" s="5" t="n">
        <v>18.4</v>
      </c>
      <c r="D713" s="8" t="s">
        <v>170</v>
      </c>
      <c r="E713" s="6" t="s">
        <v>2890</v>
      </c>
      <c r="F713" s="6" t="s">
        <v>2891</v>
      </c>
    </row>
    <row r="714" customFormat="false" ht="79.85" hidden="false" customHeight="false" outlineLevel="0" collapsed="false">
      <c r="A714" s="5" t="s">
        <v>2805</v>
      </c>
      <c r="B714" s="6" t="s">
        <v>2888</v>
      </c>
      <c r="C714" s="5" t="n">
        <v>2.7</v>
      </c>
      <c r="D714" s="8" t="s">
        <v>170</v>
      </c>
      <c r="E714" s="6" t="s">
        <v>2890</v>
      </c>
      <c r="F714" s="6" t="s">
        <v>2891</v>
      </c>
    </row>
    <row r="715" customFormat="false" ht="46.25" hidden="false" customHeight="false" outlineLevel="0" collapsed="false">
      <c r="A715" s="5" t="s">
        <v>2805</v>
      </c>
      <c r="B715" s="6" t="s">
        <v>2907</v>
      </c>
      <c r="C715" s="5" t="n">
        <v>0.84</v>
      </c>
      <c r="D715" s="8" t="s">
        <v>170</v>
      </c>
      <c r="E715" s="6" t="s">
        <v>2890</v>
      </c>
      <c r="F715" s="6" t="s">
        <v>2898</v>
      </c>
    </row>
    <row r="716" customFormat="false" ht="57.45" hidden="false" customHeight="false" outlineLevel="0" collapsed="false">
      <c r="A716" s="5" t="s">
        <v>2805</v>
      </c>
      <c r="B716" s="6" t="s">
        <v>2904</v>
      </c>
      <c r="C716" s="5" t="n">
        <v>2</v>
      </c>
      <c r="D716" s="8" t="s">
        <v>170</v>
      </c>
      <c r="E716" s="6" t="s">
        <v>2890</v>
      </c>
      <c r="F716" s="6" t="s">
        <v>2905</v>
      </c>
    </row>
    <row r="717" customFormat="false" ht="46.25" hidden="false" customHeight="false" outlineLevel="0" collapsed="false">
      <c r="A717" s="5" t="s">
        <v>2805</v>
      </c>
      <c r="B717" s="6" t="s">
        <v>2902</v>
      </c>
      <c r="C717" s="5" t="n">
        <v>-6.6</v>
      </c>
      <c r="D717" s="8" t="s">
        <v>170</v>
      </c>
      <c r="E717" s="6" t="s">
        <v>2890</v>
      </c>
      <c r="F717" s="6" t="s">
        <v>2898</v>
      </c>
    </row>
    <row r="718" customFormat="false" ht="46.25" hidden="false" customHeight="false" outlineLevel="0" collapsed="false">
      <c r="A718" s="5" t="s">
        <v>2805</v>
      </c>
      <c r="B718" s="6" t="s">
        <v>2900</v>
      </c>
      <c r="C718" s="5" t="n">
        <v>-5.3</v>
      </c>
      <c r="D718" s="8" t="s">
        <v>170</v>
      </c>
      <c r="E718" s="6" t="s">
        <v>2890</v>
      </c>
      <c r="F718" s="6" t="s">
        <v>2898</v>
      </c>
    </row>
    <row r="719" customFormat="false" ht="46.25" hidden="false" customHeight="false" outlineLevel="0" collapsed="false">
      <c r="A719" s="5" t="s">
        <v>2805</v>
      </c>
      <c r="B719" s="6" t="s">
        <v>2897</v>
      </c>
      <c r="C719" s="5" t="n">
        <v>1.09</v>
      </c>
      <c r="D719" s="8" t="s">
        <v>170</v>
      </c>
      <c r="E719" s="6" t="s">
        <v>2890</v>
      </c>
      <c r="F719" s="6" t="s">
        <v>2898</v>
      </c>
    </row>
    <row r="720" customFormat="false" ht="57.45" hidden="false" customHeight="false" outlineLevel="0" collapsed="false">
      <c r="A720" s="5" t="s">
        <v>2805</v>
      </c>
      <c r="B720" s="6" t="s">
        <v>2909</v>
      </c>
      <c r="C720" s="5" t="n">
        <v>0.92</v>
      </c>
      <c r="D720" s="8" t="s">
        <v>170</v>
      </c>
      <c r="E720" s="6" t="s">
        <v>2890</v>
      </c>
      <c r="F720" s="6" t="s">
        <v>2910</v>
      </c>
    </row>
    <row r="721" customFormat="false" ht="57.45" hidden="false" customHeight="false" outlineLevel="0" collapsed="false">
      <c r="A721" s="5" t="s">
        <v>2805</v>
      </c>
      <c r="B721" s="6" t="s">
        <v>2912</v>
      </c>
      <c r="C721" s="5" t="n">
        <v>1.48</v>
      </c>
      <c r="D721" s="8" t="s">
        <v>170</v>
      </c>
      <c r="E721" s="6" t="s">
        <v>2890</v>
      </c>
      <c r="F721" s="6" t="s">
        <v>2913</v>
      </c>
    </row>
    <row r="722" customFormat="false" ht="57.45" hidden="false" customHeight="false" outlineLevel="0" collapsed="false">
      <c r="A722" s="5" t="s">
        <v>2805</v>
      </c>
      <c r="B722" s="6" t="s">
        <v>2915</v>
      </c>
      <c r="C722" s="5" t="n">
        <v>1.68</v>
      </c>
      <c r="D722" s="8" t="s">
        <v>170</v>
      </c>
      <c r="E722" s="6" t="s">
        <v>2890</v>
      </c>
      <c r="F722" s="6" t="s">
        <v>2913</v>
      </c>
    </row>
    <row r="723" customFormat="false" ht="79.85" hidden="false" customHeight="false" outlineLevel="0" collapsed="false">
      <c r="A723" s="5" t="s">
        <v>2922</v>
      </c>
      <c r="B723" s="6" t="s">
        <v>3172</v>
      </c>
      <c r="C723" s="5" t="n">
        <v>220</v>
      </c>
      <c r="D723" s="9" t="s">
        <v>365</v>
      </c>
      <c r="E723" s="6" t="s">
        <v>3174</v>
      </c>
      <c r="F723" s="6" t="s">
        <v>3175</v>
      </c>
    </row>
    <row r="724" customFormat="false" ht="35.05" hidden="false" customHeight="false" outlineLevel="0" collapsed="false">
      <c r="A724" s="5" t="s">
        <v>2922</v>
      </c>
      <c r="B724" s="6" t="s">
        <v>3168</v>
      </c>
      <c r="C724" s="5" t="n">
        <v>0.8674</v>
      </c>
      <c r="D724" s="8" t="s">
        <v>170</v>
      </c>
      <c r="E724" s="6" t="s">
        <v>3117</v>
      </c>
      <c r="F724" s="6" t="s">
        <v>3170</v>
      </c>
    </row>
    <row r="725" customFormat="false" ht="23.85" hidden="false" customHeight="false" outlineLevel="0" collapsed="false">
      <c r="A725" s="5" t="s">
        <v>2922</v>
      </c>
      <c r="B725" s="6" t="s">
        <v>3155</v>
      </c>
      <c r="C725" s="5" t="n">
        <v>72.7</v>
      </c>
      <c r="D725" s="8" t="s">
        <v>170</v>
      </c>
      <c r="E725" s="6" t="s">
        <v>3117</v>
      </c>
      <c r="F725" s="6" t="s">
        <v>3153</v>
      </c>
    </row>
    <row r="726" customFormat="false" ht="23.85" hidden="false" customHeight="false" outlineLevel="0" collapsed="false">
      <c r="A726" s="5" t="s">
        <v>2922</v>
      </c>
      <c r="B726" s="6" t="s">
        <v>3159</v>
      </c>
      <c r="C726" s="5" t="n">
        <v>23.1</v>
      </c>
      <c r="D726" s="8" t="s">
        <v>170</v>
      </c>
      <c r="E726" s="6" t="s">
        <v>3117</v>
      </c>
      <c r="F726" s="6" t="s">
        <v>3153</v>
      </c>
    </row>
    <row r="727" customFormat="false" ht="23.85" hidden="false" customHeight="false" outlineLevel="0" collapsed="false">
      <c r="A727" s="5" t="s">
        <v>2922</v>
      </c>
      <c r="B727" s="6" t="s">
        <v>3151</v>
      </c>
      <c r="C727" s="5" t="n">
        <v>56.1</v>
      </c>
      <c r="D727" s="8" t="s">
        <v>170</v>
      </c>
      <c r="E727" s="6" t="s">
        <v>3117</v>
      </c>
      <c r="F727" s="6" t="s">
        <v>3153</v>
      </c>
    </row>
    <row r="728" customFormat="false" ht="23.85" hidden="false" customHeight="false" outlineLevel="0" collapsed="false">
      <c r="A728" s="5" t="s">
        <v>2922</v>
      </c>
      <c r="B728" s="6" t="s">
        <v>3157</v>
      </c>
      <c r="C728" s="5" t="n">
        <v>61.5</v>
      </c>
      <c r="D728" s="8" t="s">
        <v>170</v>
      </c>
      <c r="E728" s="6" t="s">
        <v>3117</v>
      </c>
      <c r="F728" s="6" t="s">
        <v>3153</v>
      </c>
    </row>
    <row r="729" customFormat="false" ht="23.85" hidden="false" customHeight="false" outlineLevel="0" collapsed="false">
      <c r="A729" s="5" t="s">
        <v>2922</v>
      </c>
      <c r="B729" s="6" t="s">
        <v>3161</v>
      </c>
      <c r="C729" s="5" t="n">
        <v>35.4</v>
      </c>
      <c r="D729" s="8" t="s">
        <v>170</v>
      </c>
      <c r="E729" s="6" t="s">
        <v>3117</v>
      </c>
      <c r="F729" s="6" t="s">
        <v>3153</v>
      </c>
    </row>
    <row r="730" customFormat="false" ht="79.85" hidden="false" customHeight="false" outlineLevel="0" collapsed="false">
      <c r="A730" s="5" t="s">
        <v>2922</v>
      </c>
      <c r="B730" s="6" t="s">
        <v>3125</v>
      </c>
      <c r="C730" s="5" t="n">
        <v>193017</v>
      </c>
      <c r="D730" s="8" t="s">
        <v>170</v>
      </c>
      <c r="E730" s="6" t="s">
        <v>3117</v>
      </c>
      <c r="F730" s="6" t="s">
        <v>3118</v>
      </c>
    </row>
    <row r="731" customFormat="false" ht="79.85" hidden="false" customHeight="false" outlineLevel="0" collapsed="false">
      <c r="A731" s="5" t="s">
        <v>2922</v>
      </c>
      <c r="B731" s="6" t="s">
        <v>3137</v>
      </c>
      <c r="C731" s="5" t="n">
        <v>106038</v>
      </c>
      <c r="D731" s="8" t="s">
        <v>170</v>
      </c>
      <c r="E731" s="6" t="s">
        <v>3117</v>
      </c>
      <c r="F731" s="6" t="s">
        <v>3118</v>
      </c>
    </row>
    <row r="732" customFormat="false" ht="79.85" hidden="false" customHeight="false" outlineLevel="0" collapsed="false">
      <c r="A732" s="5" t="s">
        <v>2922</v>
      </c>
      <c r="B732" s="6" t="s">
        <v>3115</v>
      </c>
      <c r="C732" s="5" t="n">
        <v>146669</v>
      </c>
      <c r="D732" s="8" t="s">
        <v>170</v>
      </c>
      <c r="E732" s="6" t="s">
        <v>3117</v>
      </c>
      <c r="F732" s="6" t="s">
        <v>3118</v>
      </c>
    </row>
    <row r="733" customFormat="false" ht="79.85" hidden="false" customHeight="false" outlineLevel="0" collapsed="false">
      <c r="A733" s="5" t="s">
        <v>2922</v>
      </c>
      <c r="B733" s="6" t="s">
        <v>3131</v>
      </c>
      <c r="C733" s="5" t="n">
        <v>270174</v>
      </c>
      <c r="D733" s="8" t="s">
        <v>170</v>
      </c>
      <c r="E733" s="6" t="s">
        <v>3117</v>
      </c>
      <c r="F733" s="6" t="s">
        <v>3118</v>
      </c>
    </row>
    <row r="734" customFormat="false" ht="91" hidden="false" customHeight="false" outlineLevel="0" collapsed="false">
      <c r="A734" s="5" t="s">
        <v>2922</v>
      </c>
      <c r="B734" s="6" t="s">
        <v>3143</v>
      </c>
      <c r="C734" s="5" t="n">
        <v>59795</v>
      </c>
      <c r="D734" s="8" t="s">
        <v>170</v>
      </c>
      <c r="E734" s="6" t="s">
        <v>3117</v>
      </c>
      <c r="F734" s="6" t="s">
        <v>3144</v>
      </c>
    </row>
    <row r="735" customFormat="false" ht="57.45" hidden="false" customHeight="false" outlineLevel="0" collapsed="false">
      <c r="A735" s="5" t="s">
        <v>2922</v>
      </c>
      <c r="B735" s="6" t="s">
        <v>3127</v>
      </c>
      <c r="C735" s="5" t="n">
        <v>131752</v>
      </c>
      <c r="D735" s="8" t="s">
        <v>170</v>
      </c>
      <c r="E735" s="6" t="s">
        <v>3117</v>
      </c>
      <c r="F735" s="6" t="s">
        <v>3121</v>
      </c>
    </row>
    <row r="736" customFormat="false" ht="57.45" hidden="false" customHeight="false" outlineLevel="0" collapsed="false">
      <c r="A736" s="5" t="s">
        <v>2922</v>
      </c>
      <c r="B736" s="6" t="s">
        <v>3139</v>
      </c>
      <c r="C736" s="5" t="n">
        <v>78315</v>
      </c>
      <c r="D736" s="8" t="s">
        <v>170</v>
      </c>
      <c r="E736" s="6" t="s">
        <v>3117</v>
      </c>
      <c r="F736" s="6" t="s">
        <v>3121</v>
      </c>
    </row>
    <row r="737" customFormat="false" ht="57.45" hidden="false" customHeight="false" outlineLevel="0" collapsed="false">
      <c r="A737" s="5" t="s">
        <v>2922</v>
      </c>
      <c r="B737" s="6" t="s">
        <v>3120</v>
      </c>
      <c r="C737" s="5" t="n">
        <v>112155</v>
      </c>
      <c r="D737" s="8" t="s">
        <v>170</v>
      </c>
      <c r="E737" s="6" t="s">
        <v>3117</v>
      </c>
      <c r="F737" s="6" t="s">
        <v>3121</v>
      </c>
    </row>
    <row r="738" customFormat="false" ht="57.45" hidden="false" customHeight="false" outlineLevel="0" collapsed="false">
      <c r="A738" s="5" t="s">
        <v>2922</v>
      </c>
      <c r="B738" s="6" t="s">
        <v>3133</v>
      </c>
      <c r="C738" s="5" t="n">
        <v>84894</v>
      </c>
      <c r="D738" s="8" t="s">
        <v>170</v>
      </c>
      <c r="E738" s="6" t="s">
        <v>3117</v>
      </c>
      <c r="F738" s="6" t="s">
        <v>3121</v>
      </c>
    </row>
    <row r="739" customFormat="false" ht="68.65" hidden="false" customHeight="false" outlineLevel="0" collapsed="false">
      <c r="A739" s="5" t="s">
        <v>2922</v>
      </c>
      <c r="B739" s="6" t="s">
        <v>3146</v>
      </c>
      <c r="C739" s="5" t="n">
        <v>38475</v>
      </c>
      <c r="D739" s="8" t="s">
        <v>170</v>
      </c>
      <c r="E739" s="6" t="s">
        <v>3117</v>
      </c>
      <c r="F739" s="6" t="s">
        <v>3147</v>
      </c>
    </row>
    <row r="740" customFormat="false" ht="57.45" hidden="false" customHeight="false" outlineLevel="0" collapsed="false">
      <c r="A740" s="5" t="s">
        <v>2922</v>
      </c>
      <c r="B740" s="6" t="s">
        <v>3129</v>
      </c>
      <c r="C740" s="5" t="n">
        <v>101277</v>
      </c>
      <c r="D740" s="8" t="s">
        <v>170</v>
      </c>
      <c r="E740" s="6" t="s">
        <v>3117</v>
      </c>
      <c r="F740" s="6" t="s">
        <v>3121</v>
      </c>
    </row>
    <row r="741" customFormat="false" ht="57.45" hidden="false" customHeight="false" outlineLevel="0" collapsed="false">
      <c r="A741" s="5" t="s">
        <v>2922</v>
      </c>
      <c r="B741" s="6" t="s">
        <v>3141</v>
      </c>
      <c r="C741" s="5" t="n">
        <v>65068</v>
      </c>
      <c r="D741" s="8" t="s">
        <v>170</v>
      </c>
      <c r="E741" s="6" t="s">
        <v>3117</v>
      </c>
      <c r="F741" s="6" t="s">
        <v>3121</v>
      </c>
    </row>
    <row r="742" customFormat="false" ht="57.45" hidden="false" customHeight="false" outlineLevel="0" collapsed="false">
      <c r="A742" s="5" t="s">
        <v>2922</v>
      </c>
      <c r="B742" s="6" t="s">
        <v>3123</v>
      </c>
      <c r="C742" s="5" t="n">
        <v>69310</v>
      </c>
      <c r="D742" s="8" t="s">
        <v>170</v>
      </c>
      <c r="E742" s="6" t="s">
        <v>3117</v>
      </c>
      <c r="F742" s="6" t="s">
        <v>3121</v>
      </c>
    </row>
    <row r="743" customFormat="false" ht="57.45" hidden="false" customHeight="false" outlineLevel="0" collapsed="false">
      <c r="A743" s="5" t="s">
        <v>2922</v>
      </c>
      <c r="B743" s="6" t="s">
        <v>3135</v>
      </c>
      <c r="C743" s="5" t="n">
        <v>68279</v>
      </c>
      <c r="D743" s="8" t="s">
        <v>170</v>
      </c>
      <c r="E743" s="6" t="s">
        <v>3117</v>
      </c>
      <c r="F743" s="6" t="s">
        <v>3121</v>
      </c>
    </row>
    <row r="744" customFormat="false" ht="68.65" hidden="false" customHeight="false" outlineLevel="0" collapsed="false">
      <c r="A744" s="5" t="s">
        <v>2922</v>
      </c>
      <c r="B744" s="6" t="s">
        <v>3149</v>
      </c>
      <c r="C744" s="5" t="n">
        <v>31619</v>
      </c>
      <c r="D744" s="8" t="s">
        <v>170</v>
      </c>
      <c r="E744" s="6" t="s">
        <v>3117</v>
      </c>
      <c r="F744" s="6" t="s">
        <v>3147</v>
      </c>
    </row>
    <row r="745" customFormat="false" ht="68.65" hidden="false" customHeight="false" outlineLevel="0" collapsed="false">
      <c r="A745" s="5" t="s">
        <v>2922</v>
      </c>
      <c r="B745" s="6" t="s">
        <v>3193</v>
      </c>
      <c r="C745" s="5" t="n">
        <v>60</v>
      </c>
      <c r="D745" s="9" t="s">
        <v>365</v>
      </c>
      <c r="E745" s="6" t="s">
        <v>3195</v>
      </c>
      <c r="F745" s="6" t="s">
        <v>3196</v>
      </c>
    </row>
    <row r="746" customFormat="false" ht="57.45" hidden="false" customHeight="false" outlineLevel="0" collapsed="false">
      <c r="A746" s="5" t="s">
        <v>2922</v>
      </c>
      <c r="B746" s="6" t="s">
        <v>3177</v>
      </c>
      <c r="C746" s="5" t="n">
        <v>20</v>
      </c>
      <c r="D746" s="9" t="s">
        <v>365</v>
      </c>
      <c r="E746" s="6" t="s">
        <v>3179</v>
      </c>
      <c r="F746" s="6" t="s">
        <v>3180</v>
      </c>
    </row>
    <row r="747" customFormat="false" ht="35.05" hidden="false" customHeight="false" outlineLevel="0" collapsed="false">
      <c r="A747" s="5" t="s">
        <v>2922</v>
      </c>
      <c r="B747" s="6" t="s">
        <v>3163</v>
      </c>
      <c r="C747" s="5" t="n">
        <v>1.1638</v>
      </c>
      <c r="D747" s="8" t="s">
        <v>170</v>
      </c>
      <c r="E747" s="6" t="s">
        <v>3117</v>
      </c>
      <c r="F747" s="6" t="s">
        <v>3166</v>
      </c>
    </row>
    <row r="748" customFormat="false" ht="46.25" hidden="false" customHeight="false" outlineLevel="0" collapsed="false">
      <c r="A748" s="5" t="s">
        <v>1065</v>
      </c>
      <c r="B748" s="6" t="s">
        <v>1084</v>
      </c>
      <c r="C748" s="5" t="n">
        <v>19.24</v>
      </c>
      <c r="D748" s="8" t="s">
        <v>170</v>
      </c>
      <c r="E748" s="6" t="s">
        <v>4178</v>
      </c>
      <c r="F748" s="6" t="s">
        <v>1087</v>
      </c>
    </row>
    <row r="749" customFormat="false" ht="46.25" hidden="false" customHeight="false" outlineLevel="0" collapsed="false">
      <c r="A749" s="5" t="s">
        <v>1065</v>
      </c>
      <c r="B749" s="6" t="s">
        <v>1089</v>
      </c>
      <c r="C749" s="5" t="n">
        <v>3.33</v>
      </c>
      <c r="D749" s="8" t="s">
        <v>170</v>
      </c>
      <c r="E749" s="6" t="s">
        <v>4178</v>
      </c>
      <c r="F749" s="6" t="s">
        <v>1087</v>
      </c>
    </row>
    <row r="750" customFormat="false" ht="46.25" hidden="false" customHeight="false" outlineLevel="0" collapsed="false">
      <c r="A750" s="5" t="s">
        <v>1065</v>
      </c>
      <c r="B750" s="6" t="s">
        <v>1091</v>
      </c>
      <c r="C750" s="5" t="n">
        <v>2.23</v>
      </c>
      <c r="D750" s="8" t="s">
        <v>170</v>
      </c>
      <c r="E750" s="6" t="s">
        <v>4178</v>
      </c>
      <c r="F750" s="6" t="s">
        <v>1087</v>
      </c>
    </row>
    <row r="751" customFormat="false" ht="68.65" hidden="false" customHeight="false" outlineLevel="0" collapsed="false">
      <c r="A751" s="5" t="s">
        <v>1065</v>
      </c>
      <c r="B751" s="6" t="s">
        <v>1093</v>
      </c>
      <c r="C751" s="5" t="n">
        <v>8.42</v>
      </c>
      <c r="D751" s="8" t="s">
        <v>170</v>
      </c>
      <c r="E751" s="6" t="s">
        <v>4178</v>
      </c>
      <c r="F751" s="6" t="s">
        <v>1094</v>
      </c>
    </row>
    <row r="752" customFormat="false" ht="79.85" hidden="false" customHeight="false" outlineLevel="0" collapsed="false">
      <c r="A752" s="5" t="s">
        <v>1065</v>
      </c>
      <c r="B752" s="6" t="s">
        <v>1211</v>
      </c>
      <c r="C752" s="5" t="n">
        <v>41.8</v>
      </c>
      <c r="D752" s="8" t="s">
        <v>170</v>
      </c>
      <c r="E752" s="6" t="s">
        <v>1202</v>
      </c>
      <c r="F752" s="6" t="s">
        <v>1203</v>
      </c>
    </row>
    <row r="753" customFormat="false" ht="79.85" hidden="false" customHeight="false" outlineLevel="0" collapsed="false">
      <c r="A753" s="5" t="s">
        <v>1065</v>
      </c>
      <c r="B753" s="6" t="s">
        <v>1201</v>
      </c>
      <c r="C753" s="5" t="n">
        <v>46.8</v>
      </c>
      <c r="D753" s="8" t="s">
        <v>170</v>
      </c>
      <c r="E753" s="6" t="s">
        <v>1202</v>
      </c>
      <c r="F753" s="6" t="s">
        <v>1203</v>
      </c>
    </row>
    <row r="754" customFormat="false" ht="79.85" hidden="false" customHeight="false" outlineLevel="0" collapsed="false">
      <c r="A754" s="5" t="s">
        <v>1065</v>
      </c>
      <c r="B754" s="6" t="s">
        <v>1207</v>
      </c>
      <c r="C754" s="5" t="n">
        <v>14.9</v>
      </c>
      <c r="D754" s="8" t="s">
        <v>170</v>
      </c>
      <c r="E754" s="6" t="s">
        <v>1202</v>
      </c>
      <c r="F754" s="6" t="s">
        <v>1203</v>
      </c>
    </row>
    <row r="755" customFormat="false" ht="79.85" hidden="false" customHeight="false" outlineLevel="0" collapsed="false">
      <c r="A755" s="5" t="s">
        <v>1065</v>
      </c>
      <c r="B755" s="6" t="s">
        <v>1213</v>
      </c>
      <c r="C755" s="5" t="n">
        <v>28.8</v>
      </c>
      <c r="D755" s="8" t="s">
        <v>170</v>
      </c>
      <c r="E755" s="6" t="s">
        <v>1202</v>
      </c>
      <c r="F755" s="6" t="s">
        <v>1203</v>
      </c>
    </row>
    <row r="756" customFormat="false" ht="79.85" hidden="false" customHeight="false" outlineLevel="0" collapsed="false">
      <c r="A756" s="5" t="s">
        <v>1065</v>
      </c>
      <c r="B756" s="6" t="s">
        <v>1205</v>
      </c>
      <c r="C756" s="5" t="n">
        <v>30.3</v>
      </c>
      <c r="D756" s="8" t="s">
        <v>170</v>
      </c>
      <c r="E756" s="6" t="s">
        <v>1202</v>
      </c>
      <c r="F756" s="6" t="s">
        <v>1203</v>
      </c>
    </row>
    <row r="757" customFormat="false" ht="79.85" hidden="false" customHeight="false" outlineLevel="0" collapsed="false">
      <c r="A757" s="5" t="s">
        <v>1065</v>
      </c>
      <c r="B757" s="6" t="s">
        <v>1209</v>
      </c>
      <c r="C757" s="5" t="n">
        <v>4.6</v>
      </c>
      <c r="D757" s="8" t="s">
        <v>170</v>
      </c>
      <c r="E757" s="6" t="s">
        <v>1202</v>
      </c>
      <c r="F757" s="6" t="s">
        <v>1203</v>
      </c>
    </row>
    <row r="758" customFormat="false" ht="91" hidden="false" customHeight="false" outlineLevel="0" collapsed="false">
      <c r="A758" s="5" t="s">
        <v>1065</v>
      </c>
      <c r="B758" s="6" t="s">
        <v>1074</v>
      </c>
      <c r="C758" s="5" t="n">
        <v>0.81</v>
      </c>
      <c r="D758" s="8" t="s">
        <v>170</v>
      </c>
      <c r="E758" s="6" t="s">
        <v>1063</v>
      </c>
      <c r="F758" s="6" t="s">
        <v>1075</v>
      </c>
    </row>
    <row r="759" customFormat="false" ht="79.85" hidden="false" customHeight="false" outlineLevel="0" collapsed="false">
      <c r="A759" s="5" t="s">
        <v>1065</v>
      </c>
      <c r="B759" s="6" t="s">
        <v>1199</v>
      </c>
      <c r="C759" s="5" t="n">
        <v>0.12</v>
      </c>
      <c r="D759" s="8" t="s">
        <v>170</v>
      </c>
      <c r="E759" s="6" t="s">
        <v>1194</v>
      </c>
      <c r="F759" s="6" t="s">
        <v>1195</v>
      </c>
    </row>
    <row r="760" customFormat="false" ht="79.85" hidden="false" customHeight="false" outlineLevel="0" collapsed="false">
      <c r="A760" s="5" t="s">
        <v>1065</v>
      </c>
      <c r="B760" s="6" t="s">
        <v>1197</v>
      </c>
      <c r="C760" s="5" t="n">
        <v>0.57</v>
      </c>
      <c r="D760" s="8" t="s">
        <v>170</v>
      </c>
      <c r="E760" s="6" t="s">
        <v>1194</v>
      </c>
      <c r="F760" s="6" t="s">
        <v>1195</v>
      </c>
    </row>
    <row r="761" customFormat="false" ht="79.85" hidden="false" customHeight="false" outlineLevel="0" collapsed="false">
      <c r="A761" s="5" t="s">
        <v>1065</v>
      </c>
      <c r="B761" s="6" t="s">
        <v>1193</v>
      </c>
      <c r="C761" s="5" t="n">
        <v>0.44</v>
      </c>
      <c r="D761" s="8" t="s">
        <v>170</v>
      </c>
      <c r="E761" s="6" t="s">
        <v>1194</v>
      </c>
      <c r="F761" s="6" t="s">
        <v>1195</v>
      </c>
    </row>
    <row r="762" customFormat="false" ht="57.45" hidden="false" customHeight="false" outlineLevel="0" collapsed="false">
      <c r="A762" s="5" t="s">
        <v>1065</v>
      </c>
      <c r="B762" s="6" t="s">
        <v>1077</v>
      </c>
      <c r="C762" s="5" t="n">
        <v>-1.6</v>
      </c>
      <c r="D762" s="8" t="s">
        <v>170</v>
      </c>
      <c r="E762" s="6" t="s">
        <v>1078</v>
      </c>
      <c r="F762" s="6" t="s">
        <v>1079</v>
      </c>
    </row>
    <row r="763" customFormat="false" ht="46.25" hidden="false" customHeight="false" outlineLevel="0" collapsed="false">
      <c r="A763" s="5" t="s">
        <v>1065</v>
      </c>
      <c r="B763" s="6" t="s">
        <v>1081</v>
      </c>
      <c r="C763" s="5" t="n">
        <v>0.81</v>
      </c>
      <c r="D763" s="8" t="s">
        <v>170</v>
      </c>
      <c r="E763" s="6" t="s">
        <v>1078</v>
      </c>
      <c r="F763" s="6" t="s">
        <v>1082</v>
      </c>
    </row>
    <row r="764" customFormat="false" ht="57.45" hidden="false" customHeight="false" outlineLevel="0" collapsed="false">
      <c r="A764" s="5" t="s">
        <v>1065</v>
      </c>
      <c r="B764" s="6" t="s">
        <v>1070</v>
      </c>
      <c r="C764" s="5" t="n">
        <v>52.43</v>
      </c>
      <c r="D764" s="8" t="s">
        <v>170</v>
      </c>
      <c r="E764" s="6" t="s">
        <v>1063</v>
      </c>
      <c r="F764" s="6" t="s">
        <v>1064</v>
      </c>
    </row>
    <row r="765" customFormat="false" ht="57.45" hidden="false" customHeight="false" outlineLevel="0" collapsed="false">
      <c r="A765" s="5" t="s">
        <v>1065</v>
      </c>
      <c r="B765" s="6" t="s">
        <v>1067</v>
      </c>
      <c r="C765" s="5" t="n">
        <v>36.97</v>
      </c>
      <c r="D765" s="8" t="s">
        <v>170</v>
      </c>
      <c r="E765" s="6" t="s">
        <v>1063</v>
      </c>
      <c r="F765" s="6" t="s">
        <v>1068</v>
      </c>
    </row>
    <row r="766" customFormat="false" ht="57.45" hidden="false" customHeight="false" outlineLevel="0" collapsed="false">
      <c r="A766" s="5" t="s">
        <v>1065</v>
      </c>
      <c r="B766" s="6" t="s">
        <v>1072</v>
      </c>
      <c r="C766" s="5" t="n">
        <v>17.96</v>
      </c>
      <c r="D766" s="8" t="s">
        <v>170</v>
      </c>
      <c r="E766" s="6" t="s">
        <v>1063</v>
      </c>
      <c r="F766" s="6" t="s">
        <v>1064</v>
      </c>
    </row>
    <row r="767" customFormat="false" ht="57.45" hidden="false" customHeight="false" outlineLevel="0" collapsed="false">
      <c r="A767" s="5" t="s">
        <v>1065</v>
      </c>
      <c r="B767" s="6" t="s">
        <v>1062</v>
      </c>
      <c r="C767" s="5" t="n">
        <v>43.11</v>
      </c>
      <c r="D767" s="8" t="s">
        <v>170</v>
      </c>
      <c r="E767" s="6" t="s">
        <v>1063</v>
      </c>
      <c r="F767" s="6" t="s">
        <v>1064</v>
      </c>
    </row>
    <row r="768" customFormat="false" ht="79.85" hidden="false" customHeight="false" outlineLevel="0" collapsed="false">
      <c r="A768" s="5" t="s">
        <v>1099</v>
      </c>
      <c r="B768" s="6" t="s">
        <v>1247</v>
      </c>
      <c r="C768" s="5" t="n">
        <v>2.92</v>
      </c>
      <c r="D768" s="8" t="s">
        <v>170</v>
      </c>
      <c r="E768" s="6" t="s">
        <v>1240</v>
      </c>
      <c r="F768" s="6" t="s">
        <v>1241</v>
      </c>
    </row>
    <row r="769" customFormat="false" ht="79.85" hidden="false" customHeight="false" outlineLevel="0" collapsed="false">
      <c r="A769" s="5" t="s">
        <v>1099</v>
      </c>
      <c r="B769" s="6" t="s">
        <v>1245</v>
      </c>
      <c r="C769" s="5" t="n">
        <v>3.35</v>
      </c>
      <c r="D769" s="8" t="s">
        <v>170</v>
      </c>
      <c r="E769" s="6" t="s">
        <v>1240</v>
      </c>
      <c r="F769" s="6" t="s">
        <v>1241</v>
      </c>
    </row>
    <row r="770" customFormat="false" ht="79.85" hidden="false" customHeight="false" outlineLevel="0" collapsed="false">
      <c r="A770" s="5" t="s">
        <v>1099</v>
      </c>
      <c r="B770" s="6" t="s">
        <v>1243</v>
      </c>
      <c r="C770" s="5" t="n">
        <v>0.69</v>
      </c>
      <c r="D770" s="8" t="s">
        <v>170</v>
      </c>
      <c r="E770" s="6" t="s">
        <v>1240</v>
      </c>
      <c r="F770" s="6" t="s">
        <v>1241</v>
      </c>
    </row>
    <row r="771" customFormat="false" ht="79.85" hidden="false" customHeight="false" outlineLevel="0" collapsed="false">
      <c r="A771" s="5" t="s">
        <v>1099</v>
      </c>
      <c r="B771" s="6" t="s">
        <v>1239</v>
      </c>
      <c r="C771" s="5" t="n">
        <v>0.86</v>
      </c>
      <c r="D771" s="8" t="s">
        <v>170</v>
      </c>
      <c r="E771" s="6" t="s">
        <v>1240</v>
      </c>
      <c r="F771" s="6" t="s">
        <v>1241</v>
      </c>
    </row>
    <row r="772" customFormat="false" ht="147" hidden="false" customHeight="false" outlineLevel="0" collapsed="false">
      <c r="A772" s="5" t="s">
        <v>1115</v>
      </c>
      <c r="B772" s="6" t="s">
        <v>1113</v>
      </c>
      <c r="C772" s="5" t="n">
        <v>37</v>
      </c>
      <c r="D772" s="8" t="s">
        <v>170</v>
      </c>
      <c r="E772" s="6" t="s">
        <v>1097</v>
      </c>
      <c r="F772" s="6" t="s">
        <v>1114</v>
      </c>
    </row>
    <row r="773" customFormat="false" ht="147" hidden="false" customHeight="false" outlineLevel="0" collapsed="false">
      <c r="A773" s="5" t="s">
        <v>1115</v>
      </c>
      <c r="B773" s="6" t="s">
        <v>1117</v>
      </c>
      <c r="C773" s="5" t="n">
        <v>0.062</v>
      </c>
      <c r="D773" s="8" t="s">
        <v>170</v>
      </c>
      <c r="E773" s="6" t="s">
        <v>1097</v>
      </c>
      <c r="F773" s="6" t="s">
        <v>1114</v>
      </c>
    </row>
    <row r="774" customFormat="false" ht="147" hidden="false" customHeight="false" outlineLevel="0" collapsed="false">
      <c r="A774" s="5" t="s">
        <v>1115</v>
      </c>
      <c r="B774" s="6" t="s">
        <v>1119</v>
      </c>
      <c r="C774" s="5" t="n">
        <v>74.2</v>
      </c>
      <c r="D774" s="8" t="s">
        <v>170</v>
      </c>
      <c r="E774" s="6" t="s">
        <v>1097</v>
      </c>
      <c r="F774" s="6" t="s">
        <v>1114</v>
      </c>
    </row>
    <row r="775" customFormat="false" ht="147" hidden="false" customHeight="false" outlineLevel="0" collapsed="false">
      <c r="A775" s="5" t="s">
        <v>1115</v>
      </c>
      <c r="B775" s="6" t="s">
        <v>1121</v>
      </c>
      <c r="C775" s="5" t="n">
        <v>0.031</v>
      </c>
      <c r="D775" s="8" t="s">
        <v>170</v>
      </c>
      <c r="E775" s="6" t="s">
        <v>1097</v>
      </c>
      <c r="F775" s="6" t="s">
        <v>1114</v>
      </c>
    </row>
    <row r="776" customFormat="false" ht="113.4" hidden="false" customHeight="false" outlineLevel="0" collapsed="false">
      <c r="A776" s="5" t="s">
        <v>1099</v>
      </c>
      <c r="B776" s="6" t="s">
        <v>1107</v>
      </c>
      <c r="C776" s="5" t="n">
        <v>10.3</v>
      </c>
      <c r="D776" s="8" t="s">
        <v>170</v>
      </c>
      <c r="E776" s="6" t="s">
        <v>1097</v>
      </c>
      <c r="F776" s="6" t="s">
        <v>1108</v>
      </c>
    </row>
    <row r="777" customFormat="false" ht="102.2" hidden="false" customHeight="false" outlineLevel="0" collapsed="false">
      <c r="A777" s="5" t="s">
        <v>1099</v>
      </c>
      <c r="B777" s="6" t="s">
        <v>1103</v>
      </c>
      <c r="C777" s="5" t="n">
        <v>42.5</v>
      </c>
      <c r="D777" s="8" t="s">
        <v>170</v>
      </c>
      <c r="E777" s="6" t="s">
        <v>1097</v>
      </c>
      <c r="F777" s="6" t="s">
        <v>1098</v>
      </c>
    </row>
    <row r="778" customFormat="false" ht="102.2" hidden="false" customHeight="false" outlineLevel="0" collapsed="false">
      <c r="A778" s="5" t="s">
        <v>1099</v>
      </c>
      <c r="B778" s="6" t="s">
        <v>1105</v>
      </c>
      <c r="C778" s="5" t="n">
        <v>0.062</v>
      </c>
      <c r="D778" s="8" t="s">
        <v>170</v>
      </c>
      <c r="E778" s="6" t="s">
        <v>1097</v>
      </c>
      <c r="F778" s="6" t="s">
        <v>1098</v>
      </c>
    </row>
    <row r="779" customFormat="false" ht="102.2" hidden="false" customHeight="false" outlineLevel="0" collapsed="false">
      <c r="A779" s="5" t="s">
        <v>1099</v>
      </c>
      <c r="B779" s="6" t="s">
        <v>1096</v>
      </c>
      <c r="C779" s="5" t="n">
        <v>71.1</v>
      </c>
      <c r="D779" s="8" t="s">
        <v>170</v>
      </c>
      <c r="E779" s="6" t="s">
        <v>1097</v>
      </c>
      <c r="F779" s="6" t="s">
        <v>1098</v>
      </c>
    </row>
    <row r="780" customFormat="false" ht="113.4" hidden="false" customHeight="false" outlineLevel="0" collapsed="false">
      <c r="A780" s="5" t="s">
        <v>1099</v>
      </c>
      <c r="B780" s="6" t="s">
        <v>1110</v>
      </c>
      <c r="C780" s="5" t="n">
        <v>54.9</v>
      </c>
      <c r="D780" s="8" t="s">
        <v>170</v>
      </c>
      <c r="E780" s="6" t="s">
        <v>1097</v>
      </c>
      <c r="F780" s="6" t="s">
        <v>1111</v>
      </c>
    </row>
    <row r="781" customFormat="false" ht="102.2" hidden="false" customHeight="false" outlineLevel="0" collapsed="false">
      <c r="A781" s="5" t="s">
        <v>1099</v>
      </c>
      <c r="B781" s="6" t="s">
        <v>1101</v>
      </c>
      <c r="C781" s="5" t="n">
        <v>0.021</v>
      </c>
      <c r="D781" s="8" t="s">
        <v>170</v>
      </c>
      <c r="E781" s="6" t="s">
        <v>1097</v>
      </c>
      <c r="F781" s="6" t="s">
        <v>1098</v>
      </c>
    </row>
    <row r="782" customFormat="false" ht="68.65" hidden="false" customHeight="false" outlineLevel="0" collapsed="false">
      <c r="A782" s="5" t="s">
        <v>1099</v>
      </c>
      <c r="B782" s="6" t="s">
        <v>1169</v>
      </c>
      <c r="C782" s="5" t="n">
        <v>87</v>
      </c>
      <c r="D782" s="8" t="s">
        <v>170</v>
      </c>
      <c r="E782" s="6" t="s">
        <v>1166</v>
      </c>
      <c r="F782" s="6" t="s">
        <v>1167</v>
      </c>
    </row>
    <row r="783" customFormat="false" ht="68.65" hidden="false" customHeight="false" outlineLevel="0" collapsed="false">
      <c r="A783" s="5" t="s">
        <v>1099</v>
      </c>
      <c r="B783" s="6" t="s">
        <v>1171</v>
      </c>
      <c r="C783" s="5" t="n">
        <v>88.6</v>
      </c>
      <c r="D783" s="8" t="s">
        <v>170</v>
      </c>
      <c r="E783" s="6" t="s">
        <v>1166</v>
      </c>
      <c r="F783" s="6" t="s">
        <v>1167</v>
      </c>
    </row>
    <row r="784" customFormat="false" ht="68.65" hidden="false" customHeight="false" outlineLevel="0" collapsed="false">
      <c r="A784" s="5" t="s">
        <v>1099</v>
      </c>
      <c r="B784" s="6" t="s">
        <v>1165</v>
      </c>
      <c r="C784" s="5" t="n">
        <v>205.7</v>
      </c>
      <c r="D784" s="8" t="s">
        <v>170</v>
      </c>
      <c r="E784" s="6" t="s">
        <v>1166</v>
      </c>
      <c r="F784" s="6" t="s">
        <v>1167</v>
      </c>
    </row>
    <row r="785" customFormat="false" ht="79.85" hidden="false" customHeight="false" outlineLevel="0" collapsed="false">
      <c r="A785" s="5" t="s">
        <v>1252</v>
      </c>
      <c r="B785" s="6" t="s">
        <v>1269</v>
      </c>
      <c r="C785" s="5" t="n">
        <v>1743</v>
      </c>
      <c r="D785" s="11" t="s">
        <v>1015</v>
      </c>
      <c r="E785" s="6" t="s">
        <v>1271</v>
      </c>
      <c r="F785" s="6" t="s">
        <v>1272</v>
      </c>
    </row>
    <row r="786" customFormat="false" ht="102.2" hidden="false" customHeight="false" outlineLevel="0" collapsed="false">
      <c r="A786" s="5" t="s">
        <v>1252</v>
      </c>
      <c r="B786" s="6" t="s">
        <v>1258</v>
      </c>
      <c r="C786" s="5" t="n">
        <v>21</v>
      </c>
      <c r="D786" s="11" t="s">
        <v>1015</v>
      </c>
      <c r="E786" s="6" t="s">
        <v>1250</v>
      </c>
      <c r="F786" s="6" t="s">
        <v>1251</v>
      </c>
    </row>
    <row r="787" customFormat="false" ht="102.2" hidden="false" customHeight="false" outlineLevel="0" collapsed="false">
      <c r="A787" s="5" t="s">
        <v>1252</v>
      </c>
      <c r="B787" s="6" t="s">
        <v>1254</v>
      </c>
      <c r="C787" s="5" t="n">
        <v>21</v>
      </c>
      <c r="D787" s="11" t="s">
        <v>1015</v>
      </c>
      <c r="E787" s="6" t="s">
        <v>1250</v>
      </c>
      <c r="F787" s="6" t="s">
        <v>1251</v>
      </c>
    </row>
    <row r="788" customFormat="false" ht="102.2" hidden="false" customHeight="false" outlineLevel="0" collapsed="false">
      <c r="A788" s="5" t="s">
        <v>1252</v>
      </c>
      <c r="B788" s="6" t="s">
        <v>1256</v>
      </c>
      <c r="C788" s="5" t="n">
        <v>28</v>
      </c>
      <c r="D788" s="11" t="s">
        <v>1015</v>
      </c>
      <c r="E788" s="6" t="s">
        <v>1250</v>
      </c>
      <c r="F788" s="6" t="s">
        <v>1251</v>
      </c>
    </row>
    <row r="789" customFormat="false" ht="102.2" hidden="false" customHeight="false" outlineLevel="0" collapsed="false">
      <c r="A789" s="5" t="s">
        <v>1252</v>
      </c>
      <c r="B789" s="6" t="s">
        <v>1249</v>
      </c>
      <c r="C789" s="5" t="n">
        <v>20.3</v>
      </c>
      <c r="D789" s="11" t="s">
        <v>1015</v>
      </c>
      <c r="E789" s="6" t="s">
        <v>1250</v>
      </c>
      <c r="F789" s="6" t="s">
        <v>1251</v>
      </c>
    </row>
    <row r="790" customFormat="false" ht="113.4" hidden="false" customHeight="false" outlineLevel="0" collapsed="false">
      <c r="A790" s="5" t="s">
        <v>1252</v>
      </c>
      <c r="B790" s="6" t="s">
        <v>1267</v>
      </c>
      <c r="C790" s="5" t="n">
        <v>18.5</v>
      </c>
      <c r="D790" s="11" t="s">
        <v>1015</v>
      </c>
      <c r="E790" s="6" t="s">
        <v>1250</v>
      </c>
      <c r="F790" s="6" t="s">
        <v>1261</v>
      </c>
    </row>
    <row r="791" customFormat="false" ht="113.4" hidden="false" customHeight="false" outlineLevel="0" collapsed="false">
      <c r="A791" s="5" t="s">
        <v>1252</v>
      </c>
      <c r="B791" s="6" t="s">
        <v>1263</v>
      </c>
      <c r="C791" s="5" t="n">
        <v>19.7</v>
      </c>
      <c r="D791" s="11" t="s">
        <v>1015</v>
      </c>
      <c r="E791" s="6" t="s">
        <v>1250</v>
      </c>
      <c r="F791" s="6" t="s">
        <v>1261</v>
      </c>
    </row>
    <row r="792" customFormat="false" ht="113.4" hidden="false" customHeight="false" outlineLevel="0" collapsed="false">
      <c r="A792" s="5" t="s">
        <v>1252</v>
      </c>
      <c r="B792" s="6" t="s">
        <v>1265</v>
      </c>
      <c r="C792" s="5" t="n">
        <v>11.5</v>
      </c>
      <c r="D792" s="11" t="s">
        <v>1015</v>
      </c>
      <c r="E792" s="6" t="s">
        <v>1250</v>
      </c>
      <c r="F792" s="6" t="s">
        <v>1261</v>
      </c>
    </row>
    <row r="793" customFormat="false" ht="113.4" hidden="false" customHeight="false" outlineLevel="0" collapsed="false">
      <c r="A793" s="5" t="s">
        <v>1252</v>
      </c>
      <c r="B793" s="6" t="s">
        <v>1260</v>
      </c>
      <c r="C793" s="5" t="n">
        <v>20</v>
      </c>
      <c r="D793" s="11" t="s">
        <v>1015</v>
      </c>
      <c r="E793" s="6" t="s">
        <v>1250</v>
      </c>
      <c r="F793" s="6" t="s">
        <v>1261</v>
      </c>
    </row>
    <row r="794" customFormat="false" ht="46.25" hidden="false" customHeight="false" outlineLevel="0" collapsed="false">
      <c r="A794" s="5" t="s">
        <v>1280</v>
      </c>
      <c r="B794" s="6" t="s">
        <v>1347</v>
      </c>
      <c r="C794" s="5" t="n">
        <v>2585187</v>
      </c>
      <c r="D794" s="7" t="s">
        <v>42</v>
      </c>
      <c r="E794" s="6" t="s">
        <v>4179</v>
      </c>
      <c r="F794" s="6" t="s">
        <v>1349</v>
      </c>
    </row>
    <row r="795" customFormat="false" ht="46.25" hidden="false" customHeight="false" outlineLevel="0" collapsed="false">
      <c r="A795" s="5" t="s">
        <v>1280</v>
      </c>
      <c r="B795" s="6" t="s">
        <v>1357</v>
      </c>
      <c r="C795" s="5" t="n">
        <v>1026354</v>
      </c>
      <c r="D795" s="7" t="s">
        <v>42</v>
      </c>
      <c r="E795" s="6" t="s">
        <v>4179</v>
      </c>
      <c r="F795" s="6" t="s">
        <v>1349</v>
      </c>
    </row>
    <row r="796" customFormat="false" ht="46.25" hidden="false" customHeight="false" outlineLevel="0" collapsed="false">
      <c r="A796" s="5" t="s">
        <v>1280</v>
      </c>
      <c r="B796" s="6" t="s">
        <v>1353</v>
      </c>
      <c r="C796" s="5" t="n">
        <v>4566850</v>
      </c>
      <c r="D796" s="7" t="s">
        <v>42</v>
      </c>
      <c r="E796" s="6" t="s">
        <v>4179</v>
      </c>
      <c r="F796" s="6" t="s">
        <v>1349</v>
      </c>
    </row>
    <row r="797" customFormat="false" ht="46.25" hidden="false" customHeight="false" outlineLevel="0" collapsed="false">
      <c r="A797" s="5" t="s">
        <v>1280</v>
      </c>
      <c r="B797" s="6" t="s">
        <v>1355</v>
      </c>
      <c r="C797" s="5" t="n">
        <v>3467041</v>
      </c>
      <c r="D797" s="7" t="s">
        <v>42</v>
      </c>
      <c r="E797" s="6" t="s">
        <v>4179</v>
      </c>
      <c r="F797" s="6" t="s">
        <v>1349</v>
      </c>
    </row>
    <row r="798" customFormat="false" ht="46.25" hidden="false" customHeight="false" outlineLevel="0" collapsed="false">
      <c r="A798" s="5" t="s">
        <v>1280</v>
      </c>
      <c r="B798" s="6" t="s">
        <v>1351</v>
      </c>
      <c r="C798" s="5" t="n">
        <v>1272901</v>
      </c>
      <c r="D798" s="7" t="s">
        <v>42</v>
      </c>
      <c r="E798" s="6" t="s">
        <v>4179</v>
      </c>
      <c r="F798" s="6" t="s">
        <v>1349</v>
      </c>
    </row>
    <row r="799" customFormat="false" ht="68.65" hidden="false" customHeight="false" outlineLevel="0" collapsed="false">
      <c r="A799" s="5" t="s">
        <v>1280</v>
      </c>
      <c r="B799" s="6" t="s">
        <v>1274</v>
      </c>
      <c r="C799" s="5" t="n">
        <v>-1.87</v>
      </c>
      <c r="D799" s="7" t="s">
        <v>42</v>
      </c>
      <c r="E799" s="6" t="s">
        <v>4180</v>
      </c>
      <c r="F799" s="6" t="s">
        <v>1279</v>
      </c>
    </row>
    <row r="800" customFormat="false" ht="79.85" hidden="false" customHeight="false" outlineLevel="0" collapsed="false">
      <c r="A800" s="5" t="s">
        <v>1280</v>
      </c>
      <c r="B800" s="6" t="s">
        <v>1323</v>
      </c>
      <c r="C800" s="5" t="n">
        <v>-2.117</v>
      </c>
      <c r="D800" s="7" t="s">
        <v>42</v>
      </c>
      <c r="E800" s="6" t="s">
        <v>4181</v>
      </c>
      <c r="F800" s="6" t="s">
        <v>1315</v>
      </c>
    </row>
    <row r="801" customFormat="false" ht="79.85" hidden="false" customHeight="false" outlineLevel="0" collapsed="false">
      <c r="A801" s="5" t="s">
        <v>1280</v>
      </c>
      <c r="B801" s="6" t="s">
        <v>1325</v>
      </c>
      <c r="C801" s="5" t="n">
        <v>-2.051</v>
      </c>
      <c r="D801" s="7" t="s">
        <v>42</v>
      </c>
      <c r="E801" s="6" t="s">
        <v>4181</v>
      </c>
      <c r="F801" s="6" t="s">
        <v>1315</v>
      </c>
    </row>
    <row r="802" customFormat="false" ht="79.85" hidden="false" customHeight="false" outlineLevel="0" collapsed="false">
      <c r="A802" s="5" t="s">
        <v>1280</v>
      </c>
      <c r="B802" s="6" t="s">
        <v>1327</v>
      </c>
      <c r="C802" s="5" t="n">
        <v>-1.93</v>
      </c>
      <c r="D802" s="7" t="s">
        <v>42</v>
      </c>
      <c r="E802" s="6" t="s">
        <v>4181</v>
      </c>
      <c r="F802" s="6" t="s">
        <v>1315</v>
      </c>
    </row>
    <row r="803" customFormat="false" ht="79.85" hidden="false" customHeight="false" outlineLevel="0" collapsed="false">
      <c r="A803" s="5" t="s">
        <v>1280</v>
      </c>
      <c r="B803" s="6" t="s">
        <v>1329</v>
      </c>
      <c r="C803" s="5" t="n">
        <v>-1.373</v>
      </c>
      <c r="D803" s="7" t="s">
        <v>42</v>
      </c>
      <c r="E803" s="6" t="s">
        <v>4181</v>
      </c>
      <c r="F803" s="6" t="s">
        <v>1315</v>
      </c>
    </row>
    <row r="804" customFormat="false" ht="79.85" hidden="false" customHeight="false" outlineLevel="0" collapsed="false">
      <c r="A804" s="5" t="s">
        <v>1280</v>
      </c>
      <c r="B804" s="6" t="s">
        <v>1331</v>
      </c>
      <c r="C804" s="5" t="n">
        <v>-1.397</v>
      </c>
      <c r="D804" s="7" t="s">
        <v>42</v>
      </c>
      <c r="E804" s="6" t="s">
        <v>4181</v>
      </c>
      <c r="F804" s="6" t="s">
        <v>1315</v>
      </c>
    </row>
    <row r="805" customFormat="false" ht="79.85" hidden="false" customHeight="false" outlineLevel="0" collapsed="false">
      <c r="A805" s="5" t="s">
        <v>1280</v>
      </c>
      <c r="B805" s="6" t="s">
        <v>1333</v>
      </c>
      <c r="C805" s="5" t="n">
        <v>-1.665</v>
      </c>
      <c r="D805" s="7" t="s">
        <v>42</v>
      </c>
      <c r="E805" s="6" t="s">
        <v>4181</v>
      </c>
      <c r="F805" s="6" t="s">
        <v>1315</v>
      </c>
    </row>
    <row r="806" customFormat="false" ht="79.85" hidden="false" customHeight="false" outlineLevel="0" collapsed="false">
      <c r="A806" s="5" t="s">
        <v>1280</v>
      </c>
      <c r="B806" s="6" t="s">
        <v>1335</v>
      </c>
      <c r="C806" s="5" t="n">
        <v>-2.018</v>
      </c>
      <c r="D806" s="7" t="s">
        <v>42</v>
      </c>
      <c r="E806" s="6" t="s">
        <v>4181</v>
      </c>
      <c r="F806" s="6" t="s">
        <v>1315</v>
      </c>
    </row>
    <row r="807" customFormat="false" ht="79.85" hidden="false" customHeight="false" outlineLevel="0" collapsed="false">
      <c r="A807" s="5" t="s">
        <v>1280</v>
      </c>
      <c r="B807" s="6" t="s">
        <v>1337</v>
      </c>
      <c r="C807" s="5" t="n">
        <v>-1.874</v>
      </c>
      <c r="D807" s="7" t="s">
        <v>42</v>
      </c>
      <c r="E807" s="6" t="s">
        <v>4181</v>
      </c>
      <c r="F807" s="6" t="s">
        <v>1315</v>
      </c>
    </row>
    <row r="808" customFormat="false" ht="68.65" hidden="false" customHeight="false" outlineLevel="0" collapsed="false">
      <c r="A808" s="5" t="s">
        <v>1280</v>
      </c>
      <c r="B808" s="6" t="s">
        <v>1284</v>
      </c>
      <c r="C808" s="5" t="n">
        <v>-1.37</v>
      </c>
      <c r="D808" s="7" t="s">
        <v>42</v>
      </c>
      <c r="E808" s="6" t="s">
        <v>4180</v>
      </c>
      <c r="F808" s="6" t="s">
        <v>1279</v>
      </c>
    </row>
    <row r="809" customFormat="false" ht="79.85" hidden="false" customHeight="false" outlineLevel="0" collapsed="false">
      <c r="A809" s="5" t="s">
        <v>1280</v>
      </c>
      <c r="B809" s="6" t="s">
        <v>1339</v>
      </c>
      <c r="C809" s="5" t="n">
        <v>-1.796</v>
      </c>
      <c r="D809" s="7" t="s">
        <v>42</v>
      </c>
      <c r="E809" s="6" t="s">
        <v>4181</v>
      </c>
      <c r="F809" s="6" t="s">
        <v>1315</v>
      </c>
    </row>
    <row r="810" customFormat="false" ht="79.85" hidden="false" customHeight="false" outlineLevel="0" collapsed="false">
      <c r="A810" s="5" t="s">
        <v>1280</v>
      </c>
      <c r="B810" s="6" t="s">
        <v>1341</v>
      </c>
      <c r="C810" s="5" t="n">
        <v>-1.844</v>
      </c>
      <c r="D810" s="7" t="s">
        <v>42</v>
      </c>
      <c r="E810" s="6" t="s">
        <v>4181</v>
      </c>
      <c r="F810" s="6" t="s">
        <v>1315</v>
      </c>
    </row>
    <row r="811" customFormat="false" ht="79.85" hidden="false" customHeight="false" outlineLevel="0" collapsed="false">
      <c r="A811" s="5" t="s">
        <v>1280</v>
      </c>
      <c r="B811" s="6" t="s">
        <v>1343</v>
      </c>
      <c r="C811" s="5" t="n">
        <v>-1.901</v>
      </c>
      <c r="D811" s="7" t="s">
        <v>42</v>
      </c>
      <c r="E811" s="6" t="s">
        <v>4181</v>
      </c>
      <c r="F811" s="6" t="s">
        <v>1315</v>
      </c>
    </row>
    <row r="812" customFormat="false" ht="79.85" hidden="false" customHeight="false" outlineLevel="0" collapsed="false">
      <c r="A812" s="5" t="s">
        <v>1280</v>
      </c>
      <c r="B812" s="6" t="s">
        <v>1345</v>
      </c>
      <c r="C812" s="5" t="n">
        <v>-1.668</v>
      </c>
      <c r="D812" s="7" t="s">
        <v>42</v>
      </c>
      <c r="E812" s="6" t="s">
        <v>4181</v>
      </c>
      <c r="F812" s="6" t="s">
        <v>1315</v>
      </c>
    </row>
    <row r="813" customFormat="false" ht="68.65" hidden="false" customHeight="false" outlineLevel="0" collapsed="false">
      <c r="A813" s="5" t="s">
        <v>1280</v>
      </c>
      <c r="B813" s="6" t="s">
        <v>1282</v>
      </c>
      <c r="C813" s="5" t="n">
        <v>-2.18</v>
      </c>
      <c r="D813" s="7" t="s">
        <v>42</v>
      </c>
      <c r="E813" s="6" t="s">
        <v>4180</v>
      </c>
      <c r="F813" s="6" t="s">
        <v>1279</v>
      </c>
    </row>
    <row r="814" customFormat="false" ht="79.85" hidden="false" customHeight="false" outlineLevel="0" collapsed="false">
      <c r="A814" s="5" t="s">
        <v>1280</v>
      </c>
      <c r="B814" s="6" t="s">
        <v>1313</v>
      </c>
      <c r="C814" s="5" t="n">
        <v>-2.376</v>
      </c>
      <c r="D814" s="7" t="s">
        <v>42</v>
      </c>
      <c r="E814" s="6" t="s">
        <v>4181</v>
      </c>
      <c r="F814" s="6" t="s">
        <v>1315</v>
      </c>
    </row>
    <row r="815" customFormat="false" ht="79.85" hidden="false" customHeight="false" outlineLevel="0" collapsed="false">
      <c r="A815" s="5" t="s">
        <v>1280</v>
      </c>
      <c r="B815" s="6" t="s">
        <v>1317</v>
      </c>
      <c r="C815" s="5" t="n">
        <v>-2.087</v>
      </c>
      <c r="D815" s="7" t="s">
        <v>42</v>
      </c>
      <c r="E815" s="6" t="s">
        <v>4181</v>
      </c>
      <c r="F815" s="6" t="s">
        <v>1315</v>
      </c>
    </row>
    <row r="816" customFormat="false" ht="79.85" hidden="false" customHeight="false" outlineLevel="0" collapsed="false">
      <c r="A816" s="5" t="s">
        <v>1280</v>
      </c>
      <c r="B816" s="6" t="s">
        <v>1319</v>
      </c>
      <c r="C816" s="5" t="n">
        <v>-1.862</v>
      </c>
      <c r="D816" s="7" t="s">
        <v>42</v>
      </c>
      <c r="E816" s="6" t="s">
        <v>4181</v>
      </c>
      <c r="F816" s="6" t="s">
        <v>1315</v>
      </c>
    </row>
    <row r="817" customFormat="false" ht="79.85" hidden="false" customHeight="false" outlineLevel="0" collapsed="false">
      <c r="A817" s="5" t="s">
        <v>1280</v>
      </c>
      <c r="B817" s="6" t="s">
        <v>1321</v>
      </c>
      <c r="C817" s="5" t="n">
        <v>-1.26</v>
      </c>
      <c r="D817" s="7" t="s">
        <v>42</v>
      </c>
      <c r="E817" s="6" t="s">
        <v>4181</v>
      </c>
      <c r="F817" s="6" t="s">
        <v>1315</v>
      </c>
    </row>
    <row r="818" customFormat="false" ht="57.45" hidden="false" customHeight="false" outlineLevel="0" collapsed="false">
      <c r="A818" s="5" t="s">
        <v>1280</v>
      </c>
      <c r="B818" s="6" t="s">
        <v>1305</v>
      </c>
      <c r="C818" s="5" t="n">
        <v>14.3</v>
      </c>
      <c r="D818" s="7" t="s">
        <v>42</v>
      </c>
      <c r="E818" s="6" t="s">
        <v>4182</v>
      </c>
      <c r="F818" s="6" t="s">
        <v>1308</v>
      </c>
    </row>
    <row r="819" customFormat="false" ht="68.65" hidden="false" customHeight="false" outlineLevel="0" collapsed="false">
      <c r="A819" s="5" t="s">
        <v>1280</v>
      </c>
      <c r="B819" s="6" t="s">
        <v>1295</v>
      </c>
      <c r="C819" s="5" t="n">
        <v>26</v>
      </c>
      <c r="D819" s="7" t="s">
        <v>42</v>
      </c>
      <c r="E819" s="6" t="s">
        <v>4183</v>
      </c>
      <c r="F819" s="6" t="s">
        <v>1300</v>
      </c>
    </row>
    <row r="820" customFormat="false" ht="68.65" hidden="false" customHeight="false" outlineLevel="0" collapsed="false">
      <c r="A820" s="5" t="s">
        <v>1280</v>
      </c>
      <c r="B820" s="6" t="s">
        <v>1310</v>
      </c>
      <c r="C820" s="5" t="n">
        <v>10</v>
      </c>
      <c r="D820" s="9" t="s">
        <v>365</v>
      </c>
      <c r="E820" s="6" t="s">
        <v>512</v>
      </c>
      <c r="F820" s="6" t="s">
        <v>1311</v>
      </c>
    </row>
    <row r="821" customFormat="false" ht="68.65" hidden="false" customHeight="false" outlineLevel="0" collapsed="false">
      <c r="A821" s="5" t="s">
        <v>1280</v>
      </c>
      <c r="B821" s="6" t="s">
        <v>1286</v>
      </c>
      <c r="C821" s="5" t="n">
        <v>1.4</v>
      </c>
      <c r="D821" s="7" t="s">
        <v>42</v>
      </c>
      <c r="E821" s="6" t="s">
        <v>4184</v>
      </c>
      <c r="F821" s="6" t="s">
        <v>1291</v>
      </c>
    </row>
    <row r="822" customFormat="false" ht="68.65" hidden="false" customHeight="false" outlineLevel="0" collapsed="false">
      <c r="A822" s="5" t="s">
        <v>1280</v>
      </c>
      <c r="B822" s="6" t="s">
        <v>1293</v>
      </c>
      <c r="C822" s="5" t="n">
        <v>2.8</v>
      </c>
      <c r="D822" s="7" t="s">
        <v>42</v>
      </c>
      <c r="E822" s="6" t="s">
        <v>4184</v>
      </c>
      <c r="F822" s="6" t="s">
        <v>1291</v>
      </c>
    </row>
    <row r="823" customFormat="false" ht="91" hidden="false" customHeight="false" outlineLevel="0" collapsed="false">
      <c r="A823" s="5" t="s">
        <v>1280</v>
      </c>
      <c r="B823" s="6" t="s">
        <v>1369</v>
      </c>
      <c r="C823" s="5" t="n">
        <v>1.4</v>
      </c>
      <c r="D823" s="8" t="s">
        <v>170</v>
      </c>
      <c r="E823" s="6" t="s">
        <v>1360</v>
      </c>
      <c r="F823" s="6" t="s">
        <v>1371</v>
      </c>
    </row>
    <row r="824" customFormat="false" ht="23.85" hidden="false" customHeight="false" outlineLevel="0" collapsed="false">
      <c r="A824" s="5" t="s">
        <v>1280</v>
      </c>
      <c r="B824" s="6" t="s">
        <v>1376</v>
      </c>
      <c r="C824" s="5" t="n">
        <v>66.7</v>
      </c>
      <c r="D824" s="8" t="s">
        <v>170</v>
      </c>
      <c r="E824" s="6" t="s">
        <v>1360</v>
      </c>
      <c r="F824" s="6" t="s">
        <v>1377</v>
      </c>
    </row>
    <row r="825" customFormat="false" ht="35.05" hidden="false" customHeight="false" outlineLevel="0" collapsed="false">
      <c r="A825" s="5" t="s">
        <v>1280</v>
      </c>
      <c r="B825" s="6" t="s">
        <v>1373</v>
      </c>
      <c r="C825" s="5" t="n">
        <v>42.9</v>
      </c>
      <c r="D825" s="8" t="s">
        <v>170</v>
      </c>
      <c r="E825" s="6" t="s">
        <v>1360</v>
      </c>
      <c r="F825" s="6" t="s">
        <v>1374</v>
      </c>
    </row>
    <row r="826" customFormat="false" ht="68.65" hidden="false" customHeight="false" outlineLevel="0" collapsed="false">
      <c r="A826" s="5" t="s">
        <v>1384</v>
      </c>
      <c r="B826" s="6" t="s">
        <v>1462</v>
      </c>
      <c r="C826" s="5" t="n">
        <v>258</v>
      </c>
      <c r="D826" s="8" t="s">
        <v>170</v>
      </c>
      <c r="E826" s="6" t="s">
        <v>1388</v>
      </c>
      <c r="F826" s="6" t="s">
        <v>1463</v>
      </c>
    </row>
    <row r="827" customFormat="false" ht="57.45" hidden="false" customHeight="false" outlineLevel="0" collapsed="false">
      <c r="A827" s="5" t="s">
        <v>1384</v>
      </c>
      <c r="B827" s="6" t="s">
        <v>1479</v>
      </c>
      <c r="C827" s="5" t="n">
        <v>10.7</v>
      </c>
      <c r="D827" s="8" t="s">
        <v>170</v>
      </c>
      <c r="E827" s="6" t="s">
        <v>1388</v>
      </c>
      <c r="F827" s="6" t="s">
        <v>1480</v>
      </c>
    </row>
    <row r="828" customFormat="false" ht="57.45" hidden="false" customHeight="false" outlineLevel="0" collapsed="false">
      <c r="A828" s="5" t="s">
        <v>1384</v>
      </c>
      <c r="B828" s="6" t="s">
        <v>1484</v>
      </c>
      <c r="C828" s="5" t="n">
        <v>15.03</v>
      </c>
      <c r="D828" s="8" t="s">
        <v>170</v>
      </c>
      <c r="E828" s="6" t="s">
        <v>1388</v>
      </c>
      <c r="F828" s="6" t="s">
        <v>1480</v>
      </c>
    </row>
    <row r="829" customFormat="false" ht="57.45" hidden="false" customHeight="false" outlineLevel="0" collapsed="false">
      <c r="A829" s="5" t="s">
        <v>1384</v>
      </c>
      <c r="B829" s="6" t="s">
        <v>1482</v>
      </c>
      <c r="C829" s="5" t="n">
        <v>1.59</v>
      </c>
      <c r="D829" s="8" t="s">
        <v>170</v>
      </c>
      <c r="E829" s="6" t="s">
        <v>1388</v>
      </c>
      <c r="F829" s="6" t="s">
        <v>1480</v>
      </c>
    </row>
    <row r="830" customFormat="false" ht="57.45" hidden="false" customHeight="false" outlineLevel="0" collapsed="false">
      <c r="A830" s="5" t="s">
        <v>1384</v>
      </c>
      <c r="B830" s="6" t="s">
        <v>1482</v>
      </c>
      <c r="C830" s="5" t="n">
        <v>2.3</v>
      </c>
      <c r="D830" s="8" t="s">
        <v>170</v>
      </c>
      <c r="E830" s="6" t="s">
        <v>1388</v>
      </c>
      <c r="F830" s="6" t="s">
        <v>1480</v>
      </c>
    </row>
    <row r="831" customFormat="false" ht="79.85" hidden="false" customHeight="false" outlineLevel="0" collapsed="false">
      <c r="A831" s="5" t="s">
        <v>1384</v>
      </c>
      <c r="B831" s="6" t="s">
        <v>1409</v>
      </c>
      <c r="C831" s="5" t="n">
        <v>6.29</v>
      </c>
      <c r="D831" s="8" t="s">
        <v>170</v>
      </c>
      <c r="E831" s="6" t="s">
        <v>1388</v>
      </c>
      <c r="F831" s="6" t="s">
        <v>1410</v>
      </c>
    </row>
    <row r="832" customFormat="false" ht="91" hidden="false" customHeight="false" outlineLevel="0" collapsed="false">
      <c r="A832" s="5" t="s">
        <v>1384</v>
      </c>
      <c r="B832" s="6" t="s">
        <v>1401</v>
      </c>
      <c r="C832" s="5" t="n">
        <v>14.81</v>
      </c>
      <c r="D832" s="8" t="s">
        <v>170</v>
      </c>
      <c r="E832" s="6" t="s">
        <v>1388</v>
      </c>
      <c r="F832" s="6" t="s">
        <v>1399</v>
      </c>
    </row>
    <row r="833" customFormat="false" ht="91" hidden="false" customHeight="false" outlineLevel="0" collapsed="false">
      <c r="A833" s="5" t="s">
        <v>1384</v>
      </c>
      <c r="B833" s="6" t="s">
        <v>1397</v>
      </c>
      <c r="C833" s="5" t="n">
        <v>12.19</v>
      </c>
      <c r="D833" s="8" t="s">
        <v>170</v>
      </c>
      <c r="E833" s="6" t="s">
        <v>1388</v>
      </c>
      <c r="F833" s="6" t="s">
        <v>1399</v>
      </c>
    </row>
    <row r="834" customFormat="false" ht="102.2" hidden="false" customHeight="false" outlineLevel="0" collapsed="false">
      <c r="A834" s="5" t="s">
        <v>1384</v>
      </c>
      <c r="B834" s="6" t="s">
        <v>1403</v>
      </c>
      <c r="C834" s="5" t="n">
        <v>4.61</v>
      </c>
      <c r="D834" s="8" t="s">
        <v>170</v>
      </c>
      <c r="E834" s="6" t="s">
        <v>1388</v>
      </c>
      <c r="F834" s="6" t="s">
        <v>1404</v>
      </c>
    </row>
    <row r="835" customFormat="false" ht="68.65" hidden="false" customHeight="false" outlineLevel="0" collapsed="false">
      <c r="A835" s="5" t="s">
        <v>1384</v>
      </c>
      <c r="B835" s="6" t="s">
        <v>1386</v>
      </c>
      <c r="C835" s="5" t="n">
        <v>3.61</v>
      </c>
      <c r="D835" s="8" t="s">
        <v>170</v>
      </c>
      <c r="E835" s="6" t="s">
        <v>1388</v>
      </c>
      <c r="F835" s="6" t="s">
        <v>1389</v>
      </c>
    </row>
    <row r="836" customFormat="false" ht="68.65" hidden="false" customHeight="false" outlineLevel="0" collapsed="false">
      <c r="A836" s="5" t="s">
        <v>1384</v>
      </c>
      <c r="B836" s="6" t="s">
        <v>1391</v>
      </c>
      <c r="C836" s="5" t="n">
        <v>4.49</v>
      </c>
      <c r="D836" s="8" t="s">
        <v>170</v>
      </c>
      <c r="E836" s="6" t="s">
        <v>1388</v>
      </c>
      <c r="F836" s="6" t="s">
        <v>1389</v>
      </c>
    </row>
    <row r="837" customFormat="false" ht="91" hidden="false" customHeight="false" outlineLevel="0" collapsed="false">
      <c r="A837" s="5" t="s">
        <v>1384</v>
      </c>
      <c r="B837" s="6" t="s">
        <v>1393</v>
      </c>
      <c r="C837" s="5" t="n">
        <v>614</v>
      </c>
      <c r="D837" s="8" t="s">
        <v>170</v>
      </c>
      <c r="E837" s="6" t="s">
        <v>1388</v>
      </c>
      <c r="F837" s="6" t="s">
        <v>1395</v>
      </c>
    </row>
    <row r="838" customFormat="false" ht="68.65" hidden="false" customHeight="false" outlineLevel="0" collapsed="false">
      <c r="A838" s="5" t="s">
        <v>1384</v>
      </c>
      <c r="B838" s="6" t="s">
        <v>1474</v>
      </c>
      <c r="C838" s="5" t="n">
        <v>0.99</v>
      </c>
      <c r="D838" s="8" t="s">
        <v>170</v>
      </c>
      <c r="E838" s="6" t="s">
        <v>1388</v>
      </c>
      <c r="F838" s="6" t="s">
        <v>1475</v>
      </c>
    </row>
    <row r="839" customFormat="false" ht="68.65" hidden="false" customHeight="false" outlineLevel="0" collapsed="false">
      <c r="A839" s="5" t="s">
        <v>1384</v>
      </c>
      <c r="B839" s="6" t="s">
        <v>1477</v>
      </c>
      <c r="C839" s="5" t="n">
        <v>0.63</v>
      </c>
      <c r="D839" s="8" t="s">
        <v>170</v>
      </c>
      <c r="E839" s="6" t="s">
        <v>1388</v>
      </c>
      <c r="F839" s="6" t="s">
        <v>1475</v>
      </c>
    </row>
    <row r="840" customFormat="false" ht="68.65" hidden="false" customHeight="false" outlineLevel="0" collapsed="false">
      <c r="A840" s="5" t="s">
        <v>1384</v>
      </c>
      <c r="B840" s="6" t="s">
        <v>1465</v>
      </c>
      <c r="C840" s="5" t="n">
        <v>873</v>
      </c>
      <c r="D840" s="8" t="s">
        <v>170</v>
      </c>
      <c r="E840" s="6" t="s">
        <v>1388</v>
      </c>
      <c r="F840" s="6" t="s">
        <v>1463</v>
      </c>
    </row>
    <row r="841" customFormat="false" ht="68.65" hidden="false" customHeight="false" outlineLevel="0" collapsed="false">
      <c r="A841" s="5" t="s">
        <v>1384</v>
      </c>
      <c r="B841" s="6" t="s">
        <v>1467</v>
      </c>
      <c r="C841" s="5" t="n">
        <v>6.38</v>
      </c>
      <c r="D841" s="8" t="s">
        <v>170</v>
      </c>
      <c r="E841" s="6" t="s">
        <v>1388</v>
      </c>
      <c r="F841" s="6" t="s">
        <v>1463</v>
      </c>
    </row>
    <row r="842" customFormat="false" ht="57.45" hidden="false" customHeight="false" outlineLevel="0" collapsed="false">
      <c r="A842" s="5" t="s">
        <v>1384</v>
      </c>
      <c r="B842" s="6" t="s">
        <v>1487</v>
      </c>
      <c r="C842" s="5" t="n">
        <v>31.9</v>
      </c>
      <c r="D842" s="8" t="s">
        <v>170</v>
      </c>
      <c r="E842" s="6" t="s">
        <v>1388</v>
      </c>
      <c r="F842" s="6" t="s">
        <v>1480</v>
      </c>
    </row>
    <row r="843" customFormat="false" ht="57.45" hidden="false" customHeight="false" outlineLevel="0" collapsed="false">
      <c r="A843" s="5" t="s">
        <v>1384</v>
      </c>
      <c r="B843" s="6" t="s">
        <v>1489</v>
      </c>
      <c r="C843" s="5" t="n">
        <v>50.2</v>
      </c>
      <c r="D843" s="8" t="s">
        <v>170</v>
      </c>
      <c r="E843" s="6" t="s">
        <v>1388</v>
      </c>
      <c r="F843" s="6" t="s">
        <v>1480</v>
      </c>
    </row>
    <row r="844" customFormat="false" ht="57.45" hidden="false" customHeight="false" outlineLevel="0" collapsed="false">
      <c r="A844" s="5" t="s">
        <v>1384</v>
      </c>
      <c r="B844" s="6" t="s">
        <v>1491</v>
      </c>
      <c r="C844" s="5" t="n">
        <v>-3.7</v>
      </c>
      <c r="D844" s="8" t="s">
        <v>170</v>
      </c>
      <c r="E844" s="6" t="s">
        <v>1388</v>
      </c>
      <c r="F844" s="6" t="s">
        <v>1480</v>
      </c>
    </row>
    <row r="845" customFormat="false" ht="91" hidden="false" customHeight="false" outlineLevel="0" collapsed="false">
      <c r="A845" s="5" t="s">
        <v>1384</v>
      </c>
      <c r="B845" s="6" t="s">
        <v>1406</v>
      </c>
      <c r="C845" s="5" t="n">
        <v>2534</v>
      </c>
      <c r="D845" s="8" t="s">
        <v>170</v>
      </c>
      <c r="E845" s="6" t="s">
        <v>1388</v>
      </c>
      <c r="F845" s="6" t="s">
        <v>1407</v>
      </c>
    </row>
    <row r="846" customFormat="false" ht="57.45" hidden="false" customHeight="false" outlineLevel="0" collapsed="false">
      <c r="A846" s="5" t="s">
        <v>1603</v>
      </c>
      <c r="B846" s="6" t="s">
        <v>1661</v>
      </c>
      <c r="C846" s="5" t="n">
        <v>2.01</v>
      </c>
      <c r="D846" s="8" t="s">
        <v>170</v>
      </c>
      <c r="E846" s="6" t="s">
        <v>1662</v>
      </c>
      <c r="F846" s="6" t="s">
        <v>1663</v>
      </c>
    </row>
    <row r="847" customFormat="false" ht="57.45" hidden="false" customHeight="false" outlineLevel="0" collapsed="false">
      <c r="A847" s="5" t="s">
        <v>1603</v>
      </c>
      <c r="B847" s="6" t="s">
        <v>1665</v>
      </c>
      <c r="C847" s="5" t="n">
        <v>1.95</v>
      </c>
      <c r="D847" s="8" t="s">
        <v>170</v>
      </c>
      <c r="E847" s="6" t="s">
        <v>1662</v>
      </c>
      <c r="F847" s="6" t="s">
        <v>1663</v>
      </c>
    </row>
    <row r="848" customFormat="false" ht="91" hidden="false" customHeight="false" outlineLevel="0" collapsed="false">
      <c r="A848" s="5" t="s">
        <v>1603</v>
      </c>
      <c r="B848" s="6" t="s">
        <v>1608</v>
      </c>
      <c r="C848" s="5" t="n">
        <v>0.109</v>
      </c>
      <c r="D848" s="8" t="s">
        <v>170</v>
      </c>
      <c r="E848" s="6" t="s">
        <v>1601</v>
      </c>
      <c r="F848" s="6" t="s">
        <v>1610</v>
      </c>
    </row>
    <row r="849" customFormat="false" ht="102.2" hidden="false" customHeight="false" outlineLevel="0" collapsed="false">
      <c r="A849" s="5" t="s">
        <v>1603</v>
      </c>
      <c r="B849" s="6" t="s">
        <v>1605</v>
      </c>
      <c r="C849" s="5" t="n">
        <v>0.941</v>
      </c>
      <c r="D849" s="8" t="s">
        <v>170</v>
      </c>
      <c r="E849" s="6" t="s">
        <v>1601</v>
      </c>
      <c r="F849" s="6" t="s">
        <v>1606</v>
      </c>
    </row>
    <row r="850" customFormat="false" ht="102.2" hidden="false" customHeight="false" outlineLevel="0" collapsed="false">
      <c r="A850" s="5" t="s">
        <v>1603</v>
      </c>
      <c r="B850" s="6" t="s">
        <v>1600</v>
      </c>
      <c r="C850" s="5" t="n">
        <v>0.873</v>
      </c>
      <c r="D850" s="8" t="s">
        <v>170</v>
      </c>
      <c r="E850" s="6" t="s">
        <v>1601</v>
      </c>
      <c r="F850" s="6" t="s">
        <v>1602</v>
      </c>
    </row>
    <row r="851" customFormat="false" ht="79.85" hidden="false" customHeight="false" outlineLevel="0" collapsed="false">
      <c r="A851" s="5" t="s">
        <v>1603</v>
      </c>
      <c r="B851" s="6" t="s">
        <v>1655</v>
      </c>
      <c r="C851" s="5" t="n">
        <v>6</v>
      </c>
      <c r="D851" s="8" t="s">
        <v>170</v>
      </c>
      <c r="E851" s="6" t="s">
        <v>1643</v>
      </c>
      <c r="F851" s="6" t="s">
        <v>1644</v>
      </c>
    </row>
    <row r="852" customFormat="false" ht="79.85" hidden="false" customHeight="false" outlineLevel="0" collapsed="false">
      <c r="A852" s="5" t="s">
        <v>1603</v>
      </c>
      <c r="B852" s="6" t="s">
        <v>1652</v>
      </c>
      <c r="C852" s="5" t="n">
        <v>0</v>
      </c>
      <c r="D852" s="8" t="s">
        <v>170</v>
      </c>
      <c r="E852" s="6" t="s">
        <v>1643</v>
      </c>
      <c r="F852" s="6" t="s">
        <v>1644</v>
      </c>
    </row>
    <row r="853" customFormat="false" ht="79.85" hidden="false" customHeight="false" outlineLevel="0" collapsed="false">
      <c r="A853" s="5" t="s">
        <v>1603</v>
      </c>
      <c r="B853" s="6" t="s">
        <v>1657</v>
      </c>
      <c r="C853" s="5" t="n">
        <v>-11.1</v>
      </c>
      <c r="D853" s="8" t="s">
        <v>170</v>
      </c>
      <c r="E853" s="6" t="s">
        <v>1643</v>
      </c>
      <c r="F853" s="6" t="s">
        <v>1644</v>
      </c>
    </row>
    <row r="854" customFormat="false" ht="79.85" hidden="false" customHeight="false" outlineLevel="0" collapsed="false">
      <c r="A854" s="5" t="s">
        <v>1603</v>
      </c>
      <c r="B854" s="6" t="s">
        <v>1650</v>
      </c>
      <c r="C854" s="5" t="n">
        <v>9.4</v>
      </c>
      <c r="D854" s="8" t="s">
        <v>170</v>
      </c>
      <c r="E854" s="6" t="s">
        <v>1643</v>
      </c>
      <c r="F854" s="6" t="s">
        <v>1644</v>
      </c>
    </row>
    <row r="855" customFormat="false" ht="79.85" hidden="false" customHeight="false" outlineLevel="0" collapsed="false">
      <c r="A855" s="5" t="s">
        <v>1603</v>
      </c>
      <c r="B855" s="6" t="s">
        <v>1646</v>
      </c>
      <c r="C855" s="5" t="n">
        <v>15.6</v>
      </c>
      <c r="D855" s="8" t="s">
        <v>170</v>
      </c>
      <c r="E855" s="6" t="s">
        <v>1643</v>
      </c>
      <c r="F855" s="6" t="s">
        <v>1644</v>
      </c>
    </row>
    <row r="856" customFormat="false" ht="79.85" hidden="false" customHeight="false" outlineLevel="0" collapsed="false">
      <c r="A856" s="5" t="s">
        <v>1603</v>
      </c>
      <c r="B856" s="6" t="s">
        <v>1648</v>
      </c>
      <c r="C856" s="5" t="n">
        <v>16.9</v>
      </c>
      <c r="D856" s="8" t="s">
        <v>170</v>
      </c>
      <c r="E856" s="6" t="s">
        <v>1643</v>
      </c>
      <c r="F856" s="6" t="s">
        <v>1644</v>
      </c>
    </row>
    <row r="857" customFormat="false" ht="79.85" hidden="false" customHeight="false" outlineLevel="0" collapsed="false">
      <c r="A857" s="5" t="s">
        <v>1603</v>
      </c>
      <c r="B857" s="6" t="s">
        <v>1641</v>
      </c>
      <c r="C857" s="5" t="n">
        <v>29.3</v>
      </c>
      <c r="D857" s="8" t="s">
        <v>170</v>
      </c>
      <c r="E857" s="6" t="s">
        <v>1643</v>
      </c>
      <c r="F857" s="6" t="s">
        <v>1644</v>
      </c>
    </row>
    <row r="858" customFormat="false" ht="79.85" hidden="false" customHeight="false" outlineLevel="0" collapsed="false">
      <c r="A858" s="5" t="s">
        <v>1603</v>
      </c>
      <c r="B858" s="6" t="s">
        <v>1659</v>
      </c>
      <c r="C858" s="5" t="n">
        <v>1.4</v>
      </c>
      <c r="D858" s="8" t="s">
        <v>170</v>
      </c>
      <c r="E858" s="6" t="s">
        <v>1643</v>
      </c>
      <c r="F858" s="6" t="s">
        <v>1644</v>
      </c>
    </row>
    <row r="859" customFormat="false" ht="124.6" hidden="false" customHeight="false" outlineLevel="0" collapsed="false">
      <c r="A859" s="5" t="s">
        <v>1603</v>
      </c>
      <c r="B859" s="6" t="s">
        <v>1608</v>
      </c>
      <c r="C859" s="5" t="n">
        <v>0.109</v>
      </c>
      <c r="D859" s="8" t="s">
        <v>170</v>
      </c>
      <c r="E859" s="6" t="s">
        <v>1601</v>
      </c>
      <c r="F859" s="6" t="s">
        <v>1619</v>
      </c>
    </row>
    <row r="860" customFormat="false" ht="124.6" hidden="false" customHeight="false" outlineLevel="0" collapsed="false">
      <c r="A860" s="5" t="s">
        <v>1603</v>
      </c>
      <c r="B860" s="6" t="s">
        <v>1618</v>
      </c>
      <c r="C860" s="5" t="n">
        <v>0.941</v>
      </c>
      <c r="D860" s="8" t="s">
        <v>170</v>
      </c>
      <c r="E860" s="6" t="s">
        <v>1601</v>
      </c>
      <c r="F860" s="6" t="s">
        <v>1619</v>
      </c>
    </row>
    <row r="861" customFormat="false" ht="57.45" hidden="false" customHeight="false" outlineLevel="0" collapsed="false">
      <c r="A861" s="5" t="s">
        <v>1603</v>
      </c>
      <c r="B861" s="6" t="s">
        <v>1634</v>
      </c>
      <c r="C861" s="5" t="n">
        <v>4</v>
      </c>
      <c r="D861" s="8" t="s">
        <v>170</v>
      </c>
      <c r="E861" s="6" t="s">
        <v>1601</v>
      </c>
      <c r="F861" s="6" t="s">
        <v>1635</v>
      </c>
    </row>
    <row r="862" customFormat="false" ht="57.45" hidden="false" customHeight="false" outlineLevel="0" collapsed="false">
      <c r="A862" s="5" t="s">
        <v>1603</v>
      </c>
      <c r="B862" s="6" t="s">
        <v>1637</v>
      </c>
      <c r="C862" s="5" t="n">
        <v>22</v>
      </c>
      <c r="D862" s="8" t="s">
        <v>170</v>
      </c>
      <c r="E862" s="6" t="s">
        <v>1601</v>
      </c>
      <c r="F862" s="6" t="s">
        <v>1635</v>
      </c>
    </row>
    <row r="863" customFormat="false" ht="57.45" hidden="false" customHeight="false" outlineLevel="0" collapsed="false">
      <c r="A863" s="5" t="s">
        <v>1603</v>
      </c>
      <c r="B863" s="6" t="s">
        <v>1639</v>
      </c>
      <c r="C863" s="5" t="n">
        <v>38</v>
      </c>
      <c r="D863" s="8" t="s">
        <v>170</v>
      </c>
      <c r="E863" s="6" t="s">
        <v>1601</v>
      </c>
      <c r="F863" s="6" t="s">
        <v>1635</v>
      </c>
    </row>
    <row r="864" customFormat="false" ht="135.8" hidden="false" customHeight="false" outlineLevel="0" collapsed="false">
      <c r="A864" s="5" t="s">
        <v>1603</v>
      </c>
      <c r="B864" s="6" t="s">
        <v>1616</v>
      </c>
      <c r="C864" s="5" t="n">
        <v>2.051</v>
      </c>
      <c r="D864" s="8" t="s">
        <v>170</v>
      </c>
      <c r="E864" s="6" t="s">
        <v>1601</v>
      </c>
      <c r="F864" s="6" t="s">
        <v>1613</v>
      </c>
    </row>
    <row r="865" customFormat="false" ht="135.8" hidden="false" customHeight="false" outlineLevel="0" collapsed="false">
      <c r="A865" s="5" t="s">
        <v>1603</v>
      </c>
      <c r="B865" s="6" t="s">
        <v>1608</v>
      </c>
      <c r="C865" s="5" t="n">
        <v>0.5</v>
      </c>
      <c r="D865" s="8" t="s">
        <v>170</v>
      </c>
      <c r="E865" s="6" t="s">
        <v>1601</v>
      </c>
      <c r="F865" s="6" t="s">
        <v>1613</v>
      </c>
    </row>
    <row r="866" customFormat="false" ht="135.8" hidden="false" customHeight="false" outlineLevel="0" collapsed="false">
      <c r="A866" s="5" t="s">
        <v>1603</v>
      </c>
      <c r="B866" s="6" t="s">
        <v>1612</v>
      </c>
      <c r="C866" s="5" t="n">
        <v>0.863</v>
      </c>
      <c r="D866" s="8" t="s">
        <v>170</v>
      </c>
      <c r="E866" s="6" t="s">
        <v>1601</v>
      </c>
      <c r="F866" s="6" t="s">
        <v>1613</v>
      </c>
    </row>
    <row r="867" customFormat="false" ht="57.45" hidden="false" customHeight="false" outlineLevel="0" collapsed="false">
      <c r="A867" s="5" t="s">
        <v>1603</v>
      </c>
      <c r="B867" s="6" t="s">
        <v>1622</v>
      </c>
      <c r="C867" s="5" t="n">
        <v>1.054</v>
      </c>
      <c r="D867" s="8" t="s">
        <v>170</v>
      </c>
      <c r="E867" s="6" t="s">
        <v>1601</v>
      </c>
      <c r="F867" s="6" t="s">
        <v>1623</v>
      </c>
    </row>
    <row r="868" customFormat="false" ht="57.45" hidden="false" customHeight="false" outlineLevel="0" collapsed="false">
      <c r="A868" s="5" t="s">
        <v>1603</v>
      </c>
      <c r="B868" s="6" t="s">
        <v>1625</v>
      </c>
      <c r="C868" s="5" t="n">
        <v>1.028</v>
      </c>
      <c r="D868" s="8" t="s">
        <v>170</v>
      </c>
      <c r="E868" s="6" t="s">
        <v>1601</v>
      </c>
      <c r="F868" s="6" t="s">
        <v>1623</v>
      </c>
    </row>
    <row r="869" customFormat="false" ht="68.65" hidden="false" customHeight="false" outlineLevel="0" collapsed="false">
      <c r="A869" s="5" t="s">
        <v>1603</v>
      </c>
      <c r="B869" s="6" t="s">
        <v>1608</v>
      </c>
      <c r="C869" s="5" t="n">
        <v>0.031</v>
      </c>
      <c r="D869" s="8" t="s">
        <v>170</v>
      </c>
      <c r="E869" s="6" t="s">
        <v>1601</v>
      </c>
      <c r="F869" s="6" t="s">
        <v>1628</v>
      </c>
    </row>
    <row r="870" customFormat="false" ht="68.65" hidden="false" customHeight="false" outlineLevel="0" collapsed="false">
      <c r="A870" s="5" t="s">
        <v>1603</v>
      </c>
      <c r="B870" s="6" t="s">
        <v>1627</v>
      </c>
      <c r="C870" s="5" t="n">
        <v>0.841</v>
      </c>
      <c r="D870" s="8" t="s">
        <v>170</v>
      </c>
      <c r="E870" s="6" t="s">
        <v>1601</v>
      </c>
      <c r="F870" s="6" t="s">
        <v>1628</v>
      </c>
    </row>
    <row r="871" customFormat="false" ht="68.65" hidden="false" customHeight="false" outlineLevel="0" collapsed="false">
      <c r="A871" s="5" t="s">
        <v>1603</v>
      </c>
      <c r="B871" s="6" t="s">
        <v>1608</v>
      </c>
      <c r="C871" s="5" t="n">
        <v>0.872</v>
      </c>
      <c r="D871" s="8" t="s">
        <v>170</v>
      </c>
      <c r="E871" s="6" t="s">
        <v>1601</v>
      </c>
      <c r="F871" s="6" t="s">
        <v>1628</v>
      </c>
    </row>
    <row r="872" customFormat="false" ht="68.65" hidden="false" customHeight="false" outlineLevel="0" collapsed="false">
      <c r="A872" s="5" t="s">
        <v>1603</v>
      </c>
      <c r="B872" s="6" t="s">
        <v>1631</v>
      </c>
      <c r="C872" s="5" t="n">
        <v>0.976</v>
      </c>
      <c r="D872" s="8" t="s">
        <v>170</v>
      </c>
      <c r="E872" s="6" t="s">
        <v>1601</v>
      </c>
      <c r="F872" s="6" t="s">
        <v>1628</v>
      </c>
    </row>
    <row r="873" customFormat="false" ht="91" hidden="false" customHeight="false" outlineLevel="0" collapsed="false">
      <c r="A873" s="5" t="s">
        <v>1677</v>
      </c>
      <c r="B873" s="6" t="s">
        <v>1704</v>
      </c>
      <c r="C873" s="5" t="n">
        <v>0.94</v>
      </c>
      <c r="D873" s="8" t="s">
        <v>170</v>
      </c>
      <c r="E873" s="6" t="s">
        <v>257</v>
      </c>
      <c r="F873" s="6" t="s">
        <v>1696</v>
      </c>
    </row>
    <row r="874" customFormat="false" ht="91" hidden="false" customHeight="false" outlineLevel="0" collapsed="false">
      <c r="A874" s="5" t="s">
        <v>1677</v>
      </c>
      <c r="B874" s="6" t="s">
        <v>1707</v>
      </c>
      <c r="C874" s="5" t="n">
        <v>100</v>
      </c>
      <c r="D874" s="8" t="s">
        <v>170</v>
      </c>
      <c r="E874" s="6" t="s">
        <v>257</v>
      </c>
      <c r="F874" s="6" t="s">
        <v>1696</v>
      </c>
    </row>
    <row r="875" customFormat="false" ht="113.4" hidden="false" customHeight="false" outlineLevel="0" collapsed="false">
      <c r="A875" s="5" t="s">
        <v>1677</v>
      </c>
      <c r="B875" s="6" t="s">
        <v>1713</v>
      </c>
      <c r="C875" s="5" t="n">
        <v>72</v>
      </c>
      <c r="D875" s="8" t="s">
        <v>170</v>
      </c>
      <c r="E875" s="6" t="s">
        <v>257</v>
      </c>
      <c r="F875" s="6" t="s">
        <v>1714</v>
      </c>
    </row>
    <row r="876" customFormat="false" ht="91" hidden="false" customHeight="false" outlineLevel="0" collapsed="false">
      <c r="A876" s="5" t="s">
        <v>1677</v>
      </c>
      <c r="B876" s="6" t="s">
        <v>1700</v>
      </c>
      <c r="C876" s="5" t="n">
        <v>0.6</v>
      </c>
      <c r="D876" s="8" t="s">
        <v>170</v>
      </c>
      <c r="E876" s="6" t="s">
        <v>257</v>
      </c>
      <c r="F876" s="6" t="s">
        <v>1696</v>
      </c>
    </row>
    <row r="877" customFormat="false" ht="91" hidden="false" customHeight="false" outlineLevel="0" collapsed="false">
      <c r="A877" s="5" t="s">
        <v>1677</v>
      </c>
      <c r="B877" s="6" t="s">
        <v>1702</v>
      </c>
      <c r="C877" s="5" t="n">
        <v>0</v>
      </c>
      <c r="D877" s="8" t="s">
        <v>170</v>
      </c>
      <c r="E877" s="6" t="s">
        <v>257</v>
      </c>
      <c r="F877" s="6" t="s">
        <v>1696</v>
      </c>
    </row>
    <row r="878" customFormat="false" ht="124.6" hidden="false" customHeight="false" outlineLevel="0" collapsed="false">
      <c r="A878" s="5" t="s">
        <v>1677</v>
      </c>
      <c r="B878" s="6" t="s">
        <v>1734</v>
      </c>
      <c r="C878" s="5" t="n">
        <v>7</v>
      </c>
      <c r="D878" s="8" t="s">
        <v>170</v>
      </c>
      <c r="E878" s="6" t="s">
        <v>257</v>
      </c>
      <c r="F878" s="6" t="s">
        <v>1720</v>
      </c>
    </row>
    <row r="879" customFormat="false" ht="124.6" hidden="false" customHeight="false" outlineLevel="0" collapsed="false">
      <c r="A879" s="5" t="s">
        <v>1677</v>
      </c>
      <c r="B879" s="6" t="s">
        <v>1732</v>
      </c>
      <c r="C879" s="5" t="n">
        <v>0</v>
      </c>
      <c r="D879" s="8" t="s">
        <v>170</v>
      </c>
      <c r="E879" s="6" t="s">
        <v>257</v>
      </c>
      <c r="F879" s="6" t="s">
        <v>1720</v>
      </c>
    </row>
    <row r="880" customFormat="false" ht="124.6" hidden="false" customHeight="false" outlineLevel="0" collapsed="false">
      <c r="A880" s="5" t="s">
        <v>1677</v>
      </c>
      <c r="B880" s="6" t="s">
        <v>1716</v>
      </c>
      <c r="C880" s="5" t="n">
        <v>8.7</v>
      </c>
      <c r="D880" s="8" t="s">
        <v>170</v>
      </c>
      <c r="E880" s="6" t="s">
        <v>257</v>
      </c>
      <c r="F880" s="6" t="s">
        <v>1717</v>
      </c>
    </row>
    <row r="881" customFormat="false" ht="124.6" hidden="false" customHeight="false" outlineLevel="0" collapsed="false">
      <c r="A881" s="5" t="s">
        <v>1677</v>
      </c>
      <c r="B881" s="6" t="s">
        <v>1722</v>
      </c>
      <c r="C881" s="5" t="n">
        <v>11.3</v>
      </c>
      <c r="D881" s="8" t="s">
        <v>170</v>
      </c>
      <c r="E881" s="6" t="s">
        <v>257</v>
      </c>
      <c r="F881" s="6" t="s">
        <v>1720</v>
      </c>
    </row>
    <row r="882" customFormat="false" ht="124.6" hidden="false" customHeight="false" outlineLevel="0" collapsed="false">
      <c r="A882" s="5" t="s">
        <v>1677</v>
      </c>
      <c r="B882" s="6" t="s">
        <v>1719</v>
      </c>
      <c r="C882" s="5" t="n">
        <v>-4.5</v>
      </c>
      <c r="D882" s="8" t="s">
        <v>170</v>
      </c>
      <c r="E882" s="6" t="s">
        <v>257</v>
      </c>
      <c r="F882" s="6" t="s">
        <v>1720</v>
      </c>
    </row>
    <row r="883" customFormat="false" ht="124.6" hidden="false" customHeight="false" outlineLevel="0" collapsed="false">
      <c r="A883" s="5" t="s">
        <v>1677</v>
      </c>
      <c r="B883" s="6" t="s">
        <v>1724</v>
      </c>
      <c r="C883" s="5" t="n">
        <v>21.6</v>
      </c>
      <c r="D883" s="8" t="s">
        <v>170</v>
      </c>
      <c r="E883" s="6" t="s">
        <v>257</v>
      </c>
      <c r="F883" s="6" t="s">
        <v>1717</v>
      </c>
    </row>
    <row r="884" customFormat="false" ht="91" hidden="false" customHeight="false" outlineLevel="0" collapsed="false">
      <c r="A884" s="5" t="s">
        <v>1677</v>
      </c>
      <c r="B884" s="6" t="s">
        <v>1695</v>
      </c>
      <c r="C884" s="5" t="n">
        <v>12.4</v>
      </c>
      <c r="D884" s="8" t="s">
        <v>170</v>
      </c>
      <c r="E884" s="6" t="s">
        <v>257</v>
      </c>
      <c r="F884" s="6" t="s">
        <v>1696</v>
      </c>
    </row>
    <row r="885" customFormat="false" ht="91" hidden="false" customHeight="false" outlineLevel="0" collapsed="false">
      <c r="A885" s="5" t="s">
        <v>1677</v>
      </c>
      <c r="B885" s="6" t="s">
        <v>1698</v>
      </c>
      <c r="C885" s="5" t="n">
        <v>21.8</v>
      </c>
      <c r="D885" s="8" t="s">
        <v>170</v>
      </c>
      <c r="E885" s="6" t="s">
        <v>257</v>
      </c>
      <c r="F885" s="6" t="s">
        <v>1696</v>
      </c>
    </row>
    <row r="886" customFormat="false" ht="68.65" hidden="false" customHeight="false" outlineLevel="0" collapsed="false">
      <c r="A886" s="5" t="s">
        <v>1677</v>
      </c>
      <c r="B886" s="6" t="s">
        <v>1687</v>
      </c>
      <c r="C886" s="5" t="n">
        <v>3.4</v>
      </c>
      <c r="D886" s="8" t="s">
        <v>170</v>
      </c>
      <c r="E886" s="6" t="s">
        <v>257</v>
      </c>
      <c r="F886" s="6" t="s">
        <v>1685</v>
      </c>
    </row>
    <row r="887" customFormat="false" ht="68.65" hidden="false" customHeight="false" outlineLevel="0" collapsed="false">
      <c r="A887" s="5" t="s">
        <v>1677</v>
      </c>
      <c r="B887" s="6" t="s">
        <v>1689</v>
      </c>
      <c r="C887" s="5" t="n">
        <v>6.7</v>
      </c>
      <c r="D887" s="8" t="s">
        <v>170</v>
      </c>
      <c r="E887" s="6" t="s">
        <v>257</v>
      </c>
      <c r="F887" s="6" t="s">
        <v>1685</v>
      </c>
    </row>
    <row r="888" customFormat="false" ht="68.65" hidden="false" customHeight="false" outlineLevel="0" collapsed="false">
      <c r="A888" s="5" t="s">
        <v>1677</v>
      </c>
      <c r="B888" s="6" t="s">
        <v>1683</v>
      </c>
      <c r="C888" s="5" t="n">
        <v>6.6</v>
      </c>
      <c r="D888" s="8" t="s">
        <v>170</v>
      </c>
      <c r="E888" s="6" t="s">
        <v>257</v>
      </c>
      <c r="F888" s="6" t="s">
        <v>1685</v>
      </c>
    </row>
    <row r="889" customFormat="false" ht="68.65" hidden="false" customHeight="false" outlineLevel="0" collapsed="false">
      <c r="A889" s="5" t="s">
        <v>1677</v>
      </c>
      <c r="B889" s="6" t="s">
        <v>1691</v>
      </c>
      <c r="C889" s="5" t="n">
        <v>51.1</v>
      </c>
      <c r="D889" s="8" t="s">
        <v>170</v>
      </c>
      <c r="E889" s="6" t="s">
        <v>257</v>
      </c>
      <c r="F889" s="6" t="s">
        <v>1685</v>
      </c>
    </row>
    <row r="890" customFormat="false" ht="124.6" hidden="false" customHeight="false" outlineLevel="0" collapsed="false">
      <c r="A890" s="5" t="s">
        <v>1677</v>
      </c>
      <c r="B890" s="6" t="s">
        <v>1726</v>
      </c>
      <c r="C890" s="5" t="n">
        <v>61.8</v>
      </c>
      <c r="D890" s="8" t="s">
        <v>170</v>
      </c>
      <c r="E890" s="6" t="s">
        <v>257</v>
      </c>
      <c r="F890" s="6" t="s">
        <v>1717</v>
      </c>
    </row>
    <row r="891" customFormat="false" ht="124.6" hidden="false" customHeight="false" outlineLevel="0" collapsed="false">
      <c r="A891" s="5" t="s">
        <v>1677</v>
      </c>
      <c r="B891" s="6" t="s">
        <v>1728</v>
      </c>
      <c r="C891" s="5" t="n">
        <v>87.1</v>
      </c>
      <c r="D891" s="8" t="s">
        <v>170</v>
      </c>
      <c r="E891" s="6" t="s">
        <v>257</v>
      </c>
      <c r="F891" s="6" t="s">
        <v>1717</v>
      </c>
    </row>
    <row r="892" customFormat="false" ht="124.6" hidden="false" customHeight="false" outlineLevel="0" collapsed="false">
      <c r="A892" s="5" t="s">
        <v>1677</v>
      </c>
      <c r="B892" s="6" t="s">
        <v>1730</v>
      </c>
      <c r="C892" s="5" t="n">
        <v>77.5</v>
      </c>
      <c r="D892" s="8" t="s">
        <v>170</v>
      </c>
      <c r="E892" s="6" t="s">
        <v>257</v>
      </c>
      <c r="F892" s="6" t="s">
        <v>1717</v>
      </c>
    </row>
    <row r="893" customFormat="false" ht="91" hidden="false" customHeight="false" outlineLevel="0" collapsed="false">
      <c r="A893" s="5" t="s">
        <v>1677</v>
      </c>
      <c r="B893" s="6" t="s">
        <v>1709</v>
      </c>
      <c r="C893" s="5" t="n">
        <v>1.16</v>
      </c>
      <c r="D893" s="8" t="s">
        <v>170</v>
      </c>
      <c r="E893" s="6" t="s">
        <v>257</v>
      </c>
      <c r="F893" s="6" t="s">
        <v>1696</v>
      </c>
    </row>
    <row r="894" customFormat="false" ht="91" hidden="false" customHeight="false" outlineLevel="0" collapsed="false">
      <c r="A894" s="5" t="s">
        <v>1677</v>
      </c>
      <c r="B894" s="6" t="s">
        <v>1711</v>
      </c>
      <c r="C894" s="5" t="n">
        <v>1.46</v>
      </c>
      <c r="D894" s="8" t="s">
        <v>170</v>
      </c>
      <c r="E894" s="6" t="s">
        <v>257</v>
      </c>
      <c r="F894" s="6" t="s">
        <v>1696</v>
      </c>
    </row>
    <row r="895" customFormat="false" ht="68.65" hidden="false" customHeight="false" outlineLevel="0" collapsed="false">
      <c r="A895" s="5" t="s">
        <v>1677</v>
      </c>
      <c r="B895" s="6" t="s">
        <v>1693</v>
      </c>
      <c r="C895" s="5" t="n">
        <v>29.8</v>
      </c>
      <c r="D895" s="8" t="s">
        <v>170</v>
      </c>
      <c r="E895" s="6" t="s">
        <v>257</v>
      </c>
      <c r="F895" s="6" t="s">
        <v>1685</v>
      </c>
    </row>
    <row r="896" customFormat="false" ht="57.45" hidden="false" customHeight="false" outlineLevel="0" collapsed="false">
      <c r="A896" s="5" t="s">
        <v>113</v>
      </c>
      <c r="B896" s="6" t="s">
        <v>1754</v>
      </c>
      <c r="C896" s="5" t="n">
        <v>-2</v>
      </c>
      <c r="D896" s="8" t="s">
        <v>170</v>
      </c>
      <c r="E896" s="6" t="s">
        <v>1737</v>
      </c>
      <c r="F896" s="6" t="s">
        <v>1750</v>
      </c>
    </row>
    <row r="897" customFormat="false" ht="57.45" hidden="false" customHeight="false" outlineLevel="0" collapsed="false">
      <c r="A897" s="5" t="s">
        <v>113</v>
      </c>
      <c r="B897" s="6" t="s">
        <v>1752</v>
      </c>
      <c r="C897" s="5" t="n">
        <v>0.9</v>
      </c>
      <c r="D897" s="8" t="s">
        <v>170</v>
      </c>
      <c r="E897" s="6" t="s">
        <v>1737</v>
      </c>
      <c r="F897" s="6" t="s">
        <v>1750</v>
      </c>
    </row>
    <row r="898" customFormat="false" ht="57.45" hidden="false" customHeight="false" outlineLevel="0" collapsed="false">
      <c r="A898" s="5" t="s">
        <v>113</v>
      </c>
      <c r="B898" s="6" t="s">
        <v>1748</v>
      </c>
      <c r="C898" s="5" t="n">
        <v>3.8</v>
      </c>
      <c r="D898" s="8" t="s">
        <v>170</v>
      </c>
      <c r="E898" s="6" t="s">
        <v>1737</v>
      </c>
      <c r="F898" s="6" t="s">
        <v>1750</v>
      </c>
    </row>
    <row r="899" customFormat="false" ht="57.45" hidden="false" customHeight="false" outlineLevel="0" collapsed="false">
      <c r="A899" s="5" t="s">
        <v>113</v>
      </c>
      <c r="B899" s="6" t="s">
        <v>1756</v>
      </c>
      <c r="C899" s="5" t="n">
        <v>-4.3</v>
      </c>
      <c r="D899" s="8" t="s">
        <v>170</v>
      </c>
      <c r="E899" s="6" t="s">
        <v>1737</v>
      </c>
      <c r="F899" s="6" t="s">
        <v>1750</v>
      </c>
    </row>
    <row r="900" customFormat="false" ht="46.25" hidden="false" customHeight="false" outlineLevel="0" collapsed="false">
      <c r="A900" s="5" t="s">
        <v>113</v>
      </c>
      <c r="B900" s="6" t="s">
        <v>1790</v>
      </c>
      <c r="C900" s="5" t="n">
        <v>79</v>
      </c>
      <c r="D900" s="8" t="s">
        <v>170</v>
      </c>
      <c r="E900" s="6" t="s">
        <v>1791</v>
      </c>
      <c r="F900" s="6" t="s">
        <v>1792</v>
      </c>
    </row>
    <row r="901" customFormat="false" ht="46.25" hidden="false" customHeight="false" outlineLevel="0" collapsed="false">
      <c r="A901" s="5" t="s">
        <v>113</v>
      </c>
      <c r="B901" s="6" t="s">
        <v>1799</v>
      </c>
      <c r="C901" s="5" t="n">
        <v>-0.9</v>
      </c>
      <c r="D901" s="8" t="s">
        <v>170</v>
      </c>
      <c r="E901" s="6" t="s">
        <v>1791</v>
      </c>
      <c r="F901" s="6" t="s">
        <v>1792</v>
      </c>
    </row>
    <row r="902" customFormat="false" ht="46.25" hidden="false" customHeight="false" outlineLevel="0" collapsed="false">
      <c r="A902" s="5" t="s">
        <v>113</v>
      </c>
      <c r="B902" s="6" t="s">
        <v>1796</v>
      </c>
      <c r="C902" s="5" t="n">
        <v>10.4</v>
      </c>
      <c r="D902" s="8" t="s">
        <v>170</v>
      </c>
      <c r="E902" s="6" t="s">
        <v>1791</v>
      </c>
      <c r="F902" s="6" t="s">
        <v>1792</v>
      </c>
    </row>
    <row r="903" customFormat="false" ht="57.45" hidden="false" customHeight="false" outlineLevel="0" collapsed="false">
      <c r="A903" s="5" t="s">
        <v>113</v>
      </c>
      <c r="B903" s="6" t="s">
        <v>1780</v>
      </c>
      <c r="C903" s="5" t="n">
        <v>10.2</v>
      </c>
      <c r="D903" s="8" t="s">
        <v>170</v>
      </c>
      <c r="E903" s="6" t="s">
        <v>1781</v>
      </c>
      <c r="F903" s="6" t="s">
        <v>1782</v>
      </c>
    </row>
    <row r="904" customFormat="false" ht="57.45" hidden="false" customHeight="false" outlineLevel="0" collapsed="false">
      <c r="A904" s="5" t="s">
        <v>113</v>
      </c>
      <c r="B904" s="6" t="s">
        <v>1788</v>
      </c>
      <c r="C904" s="5" t="n">
        <v>13.6</v>
      </c>
      <c r="D904" s="8" t="s">
        <v>170</v>
      </c>
      <c r="E904" s="6" t="s">
        <v>1781</v>
      </c>
      <c r="F904" s="6" t="s">
        <v>1782</v>
      </c>
    </row>
    <row r="905" customFormat="false" ht="57.45" hidden="false" customHeight="false" outlineLevel="0" collapsed="false">
      <c r="A905" s="5" t="s">
        <v>113</v>
      </c>
      <c r="B905" s="6" t="s">
        <v>1784</v>
      </c>
      <c r="C905" s="5" t="n">
        <v>3.7</v>
      </c>
      <c r="D905" s="8" t="s">
        <v>170</v>
      </c>
      <c r="E905" s="6" t="s">
        <v>1781</v>
      </c>
      <c r="F905" s="6" t="s">
        <v>1782</v>
      </c>
    </row>
    <row r="906" customFormat="false" ht="46.25" hidden="false" customHeight="false" outlineLevel="0" collapsed="false">
      <c r="A906" s="5" t="s">
        <v>113</v>
      </c>
      <c r="B906" s="6" t="s">
        <v>1794</v>
      </c>
      <c r="C906" s="5" t="n">
        <v>78</v>
      </c>
      <c r="D906" s="8" t="s">
        <v>170</v>
      </c>
      <c r="E906" s="6" t="s">
        <v>1791</v>
      </c>
      <c r="F906" s="6" t="s">
        <v>1792</v>
      </c>
    </row>
    <row r="907" customFormat="false" ht="46.25" hidden="false" customHeight="false" outlineLevel="0" collapsed="false">
      <c r="A907" s="5" t="s">
        <v>113</v>
      </c>
      <c r="B907" s="6" t="s">
        <v>1794</v>
      </c>
      <c r="C907" s="5" t="n">
        <v>11.2</v>
      </c>
      <c r="D907" s="8" t="s">
        <v>170</v>
      </c>
      <c r="E907" s="6" t="s">
        <v>1791</v>
      </c>
      <c r="F907" s="6" t="s">
        <v>1792</v>
      </c>
    </row>
    <row r="908" customFormat="false" ht="57.45" hidden="false" customHeight="false" outlineLevel="0" collapsed="false">
      <c r="A908" s="5" t="s">
        <v>113</v>
      </c>
      <c r="B908" s="6" t="s">
        <v>1786</v>
      </c>
      <c r="C908" s="5" t="n">
        <v>14.5</v>
      </c>
      <c r="D908" s="8" t="s">
        <v>170</v>
      </c>
      <c r="E908" s="6" t="s">
        <v>1781</v>
      </c>
      <c r="F908" s="6" t="s">
        <v>1782</v>
      </c>
    </row>
    <row r="909" customFormat="false" ht="79.85" hidden="false" customHeight="false" outlineLevel="0" collapsed="false">
      <c r="A909" s="5" t="s">
        <v>113</v>
      </c>
      <c r="B909" s="6" t="s">
        <v>1736</v>
      </c>
      <c r="C909" s="5" t="n">
        <v>-19.1</v>
      </c>
      <c r="D909" s="8" t="s">
        <v>170</v>
      </c>
      <c r="E909" s="6" t="s">
        <v>1737</v>
      </c>
      <c r="F909" s="6" t="s">
        <v>1738</v>
      </c>
    </row>
    <row r="910" customFormat="false" ht="79.85" hidden="false" customHeight="false" outlineLevel="0" collapsed="false">
      <c r="A910" s="5" t="s">
        <v>113</v>
      </c>
      <c r="B910" s="6" t="s">
        <v>1742</v>
      </c>
      <c r="C910" s="5" t="n">
        <v>-14.1</v>
      </c>
      <c r="D910" s="8" t="s">
        <v>170</v>
      </c>
      <c r="E910" s="6" t="s">
        <v>1737</v>
      </c>
      <c r="F910" s="6" t="s">
        <v>1738</v>
      </c>
    </row>
    <row r="911" customFormat="false" ht="79.85" hidden="false" customHeight="false" outlineLevel="0" collapsed="false">
      <c r="A911" s="5" t="s">
        <v>113</v>
      </c>
      <c r="B911" s="6" t="s">
        <v>1740</v>
      </c>
      <c r="C911" s="5" t="n">
        <v>-25.5</v>
      </c>
      <c r="D911" s="8" t="s">
        <v>170</v>
      </c>
      <c r="E911" s="6" t="s">
        <v>1737</v>
      </c>
      <c r="F911" s="6" t="s">
        <v>1738</v>
      </c>
    </row>
    <row r="912" customFormat="false" ht="79.85" hidden="false" customHeight="false" outlineLevel="0" collapsed="false">
      <c r="A912" s="5" t="s">
        <v>113</v>
      </c>
      <c r="B912" s="6" t="s">
        <v>1744</v>
      </c>
      <c r="C912" s="5" t="n">
        <v>-18</v>
      </c>
      <c r="D912" s="8" t="s">
        <v>170</v>
      </c>
      <c r="E912" s="6" t="s">
        <v>1737</v>
      </c>
      <c r="F912" s="6" t="s">
        <v>1738</v>
      </c>
    </row>
    <row r="913" customFormat="false" ht="79.85" hidden="false" customHeight="false" outlineLevel="0" collapsed="false">
      <c r="A913" s="5" t="s">
        <v>113</v>
      </c>
      <c r="B913" s="6" t="s">
        <v>1746</v>
      </c>
      <c r="C913" s="5" t="n">
        <v>-2.7</v>
      </c>
      <c r="D913" s="8" t="s">
        <v>170</v>
      </c>
      <c r="E913" s="6" t="s">
        <v>1737</v>
      </c>
      <c r="F913" s="6" t="s">
        <v>1738</v>
      </c>
    </row>
    <row r="914" customFormat="false" ht="68.65" hidden="false" customHeight="false" outlineLevel="0" collapsed="false">
      <c r="A914" s="5" t="s">
        <v>113</v>
      </c>
      <c r="B914" s="6" t="s">
        <v>1764</v>
      </c>
      <c r="C914" s="5" t="n">
        <v>-17.1</v>
      </c>
      <c r="D914" s="8" t="s">
        <v>170</v>
      </c>
      <c r="E914" s="6" t="s">
        <v>1759</v>
      </c>
      <c r="F914" s="6" t="s">
        <v>1760</v>
      </c>
    </row>
    <row r="915" customFormat="false" ht="68.65" hidden="false" customHeight="false" outlineLevel="0" collapsed="false">
      <c r="A915" s="5" t="s">
        <v>113</v>
      </c>
      <c r="B915" s="6" t="s">
        <v>1758</v>
      </c>
      <c r="C915" s="5" t="n">
        <v>-21.5</v>
      </c>
      <c r="D915" s="8" t="s">
        <v>170</v>
      </c>
      <c r="E915" s="6" t="s">
        <v>1759</v>
      </c>
      <c r="F915" s="6" t="s">
        <v>1760</v>
      </c>
    </row>
    <row r="916" customFormat="false" ht="68.65" hidden="false" customHeight="false" outlineLevel="0" collapsed="false">
      <c r="A916" s="5" t="s">
        <v>113</v>
      </c>
      <c r="B916" s="6" t="s">
        <v>1768</v>
      </c>
      <c r="C916" s="5" t="n">
        <v>-45.3</v>
      </c>
      <c r="D916" s="8" t="s">
        <v>170</v>
      </c>
      <c r="E916" s="6" t="s">
        <v>1759</v>
      </c>
      <c r="F916" s="6" t="s">
        <v>1760</v>
      </c>
    </row>
    <row r="917" customFormat="false" ht="68.65" hidden="false" customHeight="false" outlineLevel="0" collapsed="false">
      <c r="A917" s="5" t="s">
        <v>113</v>
      </c>
      <c r="B917" s="6" t="s">
        <v>1762</v>
      </c>
      <c r="C917" s="5" t="n">
        <v>-6.7</v>
      </c>
      <c r="D917" s="8" t="s">
        <v>170</v>
      </c>
      <c r="E917" s="6" t="s">
        <v>1759</v>
      </c>
      <c r="F917" s="6" t="s">
        <v>1760</v>
      </c>
    </row>
    <row r="918" customFormat="false" ht="68.65" hidden="false" customHeight="false" outlineLevel="0" collapsed="false">
      <c r="A918" s="5" t="s">
        <v>113</v>
      </c>
      <c r="B918" s="6" t="s">
        <v>1766</v>
      </c>
      <c r="C918" s="5" t="n">
        <v>-9</v>
      </c>
      <c r="D918" s="8" t="s">
        <v>170</v>
      </c>
      <c r="E918" s="6" t="s">
        <v>1759</v>
      </c>
      <c r="F918" s="6" t="s">
        <v>1760</v>
      </c>
    </row>
    <row r="919" customFormat="false" ht="68.65" hidden="false" customHeight="false" outlineLevel="0" collapsed="false">
      <c r="A919" s="5" t="s">
        <v>113</v>
      </c>
      <c r="B919" s="6" t="s">
        <v>1776</v>
      </c>
      <c r="C919" s="5" t="n">
        <v>1.6</v>
      </c>
      <c r="D919" s="8" t="s">
        <v>170</v>
      </c>
      <c r="E919" s="6" t="s">
        <v>1759</v>
      </c>
      <c r="F919" s="6" t="s">
        <v>1760</v>
      </c>
    </row>
    <row r="920" customFormat="false" ht="68.65" hidden="false" customHeight="false" outlineLevel="0" collapsed="false">
      <c r="A920" s="5" t="s">
        <v>113</v>
      </c>
      <c r="B920" s="6" t="s">
        <v>1774</v>
      </c>
      <c r="C920" s="5" t="n">
        <v>1.84</v>
      </c>
      <c r="D920" s="8" t="s">
        <v>170</v>
      </c>
      <c r="E920" s="6" t="s">
        <v>1759</v>
      </c>
      <c r="F920" s="6" t="s">
        <v>1760</v>
      </c>
    </row>
    <row r="921" customFormat="false" ht="68.65" hidden="false" customHeight="false" outlineLevel="0" collapsed="false">
      <c r="A921" s="5" t="s">
        <v>113</v>
      </c>
      <c r="B921" s="6" t="s">
        <v>1772</v>
      </c>
      <c r="C921" s="5" t="n">
        <v>1.06</v>
      </c>
      <c r="D921" s="8" t="s">
        <v>170</v>
      </c>
      <c r="E921" s="6" t="s">
        <v>1759</v>
      </c>
      <c r="F921" s="6" t="s">
        <v>1760</v>
      </c>
    </row>
    <row r="922" customFormat="false" ht="68.65" hidden="false" customHeight="false" outlineLevel="0" collapsed="false">
      <c r="A922" s="5" t="s">
        <v>113</v>
      </c>
      <c r="B922" s="6" t="s">
        <v>1770</v>
      </c>
      <c r="C922" s="5" t="n">
        <v>3.22</v>
      </c>
      <c r="D922" s="8" t="s">
        <v>170</v>
      </c>
      <c r="E922" s="6" t="s">
        <v>1759</v>
      </c>
      <c r="F922" s="6" t="s">
        <v>1760</v>
      </c>
    </row>
    <row r="923" customFormat="false" ht="68.65" hidden="false" customHeight="false" outlineLevel="0" collapsed="false">
      <c r="A923" s="5" t="s">
        <v>113</v>
      </c>
      <c r="B923" s="6" t="s">
        <v>1774</v>
      </c>
      <c r="C923" s="5" t="n">
        <v>3.36</v>
      </c>
      <c r="D923" s="8" t="s">
        <v>170</v>
      </c>
      <c r="E923" s="6" t="s">
        <v>1759</v>
      </c>
      <c r="F923" s="6" t="s">
        <v>1760</v>
      </c>
    </row>
    <row r="924" customFormat="false" ht="68.65" hidden="false" customHeight="false" outlineLevel="0" collapsed="false">
      <c r="A924" s="5" t="s">
        <v>113</v>
      </c>
      <c r="B924" s="6" t="s">
        <v>1772</v>
      </c>
      <c r="C924" s="5" t="n">
        <v>2.66</v>
      </c>
      <c r="D924" s="8" t="s">
        <v>170</v>
      </c>
      <c r="E924" s="6" t="s">
        <v>1759</v>
      </c>
      <c r="F924" s="6" t="s">
        <v>1760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2026-10-01T01:30:13Z</dcterms:created>
  <dc:creator>openpyxl</dc:creator>
  <dc:description/>
  <dc:language>en-IN</dc:language>
  <cp:lastModifiedBy/>
  <dcterms:modified xsi:type="dcterms:W3CDTF">2026-10-01T01:30:14Z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